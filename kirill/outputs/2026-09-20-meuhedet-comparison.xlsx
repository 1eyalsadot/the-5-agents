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מאוחדת (PPLAY1)" sheetId="2" state="visible" r:id="rId4"/>
    <sheet name="מאוחדת (NetSuite)" sheetId="3" state="visible" r:id="rId5"/>
    <sheet name="Source PPLAY1 2025" sheetId="4" state="visible" r:id="rId6"/>
    <sheet name="Source PPLAY1 2026" sheetId="5" state="visible" r:id="rId7"/>
    <sheet name="Source NetSuite" sheetId="6" state="visible" r:id="rId8"/>
    <sheet name="Code 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2025 base is 0 and annualized 2026 &gt; 0, shows "New". If both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(1/1-15/9 2026), consistent workbook-wide.</t>
        </r>
      </text>
    </comment>
    <comment ref="L8" authorId="0">
      <text>
        <r>
          <rPr>
            <sz val="10"/>
            <rFont val="Arial"/>
            <family val="2"/>
          </rPr>
          <t xml:space="preserve">If 2025 base is 0 and annualized 2026 &gt; 0, shows "New". If both 0, shows 0%.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2025 base is 0 and annualized 2026 &gt; 0, shows "New". If both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field), consistent workbook-wide.</t>
        </r>
      </text>
    </comment>
    <comment ref="L8" authorId="0">
      <text>
        <r>
          <rPr>
            <sz val="10"/>
            <rFont val="Arial"/>
            <family val="2"/>
          </rPr>
          <t xml:space="preserve">If 2025 base is 0 and annualized 2026 &gt; 0, shows "New". If both 0, shows 0%.</t>
        </r>
      </text>
    </comment>
  </commentList>
</comments>
</file>

<file path=xl/sharedStrings.xml><?xml version="1.0" encoding="utf-8"?>
<sst xmlns="http://schemas.openxmlformats.org/spreadsheetml/2006/main" count="19233" uniqueCount="1305">
  <si>
    <t xml:space="preserve">Kupat Holim Meuhedet - PPLAY1 vs NetSuite Comparison (same real-world entity, two different source systems)</t>
  </si>
  <si>
    <t xml:space="preserve">Calculation date:</t>
  </si>
  <si>
    <t xml:space="preserve">Same 18-column Index format as 2026-09-19-grouped-2025-vs-2026.xlsx / 2026-09-19-top-customers-2025-vs-2026.xlsx / 2026-09-20-salestype-2025-vs-2026.xlsx (with the shortened headers from the latest round). Row 1 = "מאוחדת" group from the PPLAY1-based workbook (customer column "0קופות חולים"). Row 2 = "113 - Kupat Holim Meuhedet" Sale Type from the NetSuite-based workbook. Both represent the same real-world customer/entity via two different source systems - compare directly to spot mapping/classification discrepancies. This is a derived comparison file only; the original grouped/top-customers/salestype workbooks were NOT modified.</t>
  </si>
  <si>
    <t xml:space="preserve">Group</t>
  </si>
  <si>
    <t xml:space="preserve">Sheet</t>
  </si>
  <si>
    <t xml:space="preserve"># Raw categories</t>
  </si>
  <si>
    <t xml:space="preserve"># Codes</t>
  </si>
  <si>
    <t xml:space="preserve"># Codes 25</t>
  </si>
  <si>
    <t xml:space="preserve"># Codes 26</t>
  </si>
  <si>
    <t xml:space="preserve"># DROP</t>
  </si>
  <si>
    <t xml:space="preserve"># NEW</t>
  </si>
  <si>
    <t xml:space="preserve">Total Units Drop 25</t>
  </si>
  <si>
    <t xml:space="preserve">Total Amount Drop 25</t>
  </si>
  <si>
    <t xml:space="preserve">NEW — Quantity 2026</t>
  </si>
  <si>
    <t xml:space="preserve">NEW — Amount 2026 (₪)</t>
  </si>
  <si>
    <t xml:space="preserve">Quantity 2025</t>
  </si>
  <si>
    <t xml:space="preserve">Quantity 2026</t>
  </si>
  <si>
    <t xml:space="preserve">Qty Change %</t>
  </si>
  <si>
    <t xml:space="preserve">Amount 2025 (₪)</t>
  </si>
  <si>
    <t xml:space="preserve">Amount 2026 (₪)</t>
  </si>
  <si>
    <t xml:space="preserve">Amount Change %</t>
  </si>
  <si>
    <t xml:space="preserve">מאוחדת (PPLAY1)</t>
  </si>
  <si>
    <t xml:space="preserve">113 - Kupat Holim Meuhedet (NetSuite)</t>
  </si>
  <si>
    <t xml:space="preserve">מאוחדת (NetSuite)</t>
  </si>
  <si>
    <t xml:space="preserve">N/A</t>
  </si>
  <si>
    <t xml:space="preserve">מאוחדת (Combined)</t>
  </si>
  <si>
    <t xml:space="preserve">Sales Comparison 2025 vs 2026 (Annualized) - Source: PPLAY1 - Group: מאוחדת (Kupat Holim Meuhedet) (by Product CODE)</t>
  </si>
  <si>
    <t xml:space="preserve">Source: PPlay1 of uriel (Reporter) product x customer pivot reports for 2025 and 2026, customer column "0קופות חולים" (mapped to daily-report group "מאוחדת" / group #8). This sheet is a copy of the "מאוחדת" sheet from 2026-09-19-grouped-2025-vs-2026.xlsx, rebuilt here (same data, same formulas) purely for side-by-side comparison against the NetSuite-based view of the same real-world entity (Kupat Holim Meuhedet). Product CODE parsed as the first token of column B in the original PPLAY1 file; variants sharing the same base CODE are summed via SUMIFS. Rows below only include codes with non-zero quantity or amount in at least one of the two years.</t>
  </si>
  <si>
    <t xml:space="preserve">Annualization note: 2026 actual data covers approximately 9.5 months (1 Jan - 15 Sep 2026). Scaled to a full year via factor = 12 / 9.5 (≈ 1.263158) - straight-line extrapolation, no seasonality adjustment.</t>
  </si>
  <si>
    <t xml:space="preserve">Months in full year:</t>
  </si>
  <si>
    <t xml:space="preserve">Months covered by 2026 actual:</t>
  </si>
  <si>
    <t xml:space="preserve"># DROP (sold 2025, 0 in 2026):</t>
  </si>
  <si>
    <t xml:space="preserve"># NEW (sold 2026, 0 in 2025):</t>
  </si>
  <si>
    <t xml:space="preserve">Normalization factor (J4/L4):</t>
  </si>
  <si>
    <t xml:space="preserve">DROP — Quantity 2025:</t>
  </si>
  <si>
    <t xml:space="preserve">DROP — Amount 2025 (₪):</t>
  </si>
  <si>
    <t xml:space="preserve">NEW — Quantity 2026:</t>
  </si>
  <si>
    <t xml:space="preserve">NEW — Amount 2026 (₪):</t>
  </si>
  <si>
    <t xml:space="preserve">Product Code</t>
  </si>
  <si>
    <t xml:space="preserve">Product Name</t>
  </si>
  <si>
    <t xml:space="preserve">Quantity 2026 (Actual, partial year)</t>
  </si>
  <si>
    <t xml:space="preserve">Quantity 2026 (Annualized)</t>
  </si>
  <si>
    <t xml:space="preserve">Quantity Change (Annualized vs 2025)</t>
  </si>
  <si>
    <t xml:space="preserve">Quantity Change % (Annualized vs 2025)</t>
  </si>
  <si>
    <t xml:space="preserve">Amount 2026 (Actual, partial year) (₪)</t>
  </si>
  <si>
    <t xml:space="preserve">Amount 2026 (Annualized) (₪)</t>
  </si>
  <si>
    <t xml:space="preserve">Amount Change (Annualized vs 2025) (₪)</t>
  </si>
  <si>
    <t xml:space="preserve">Amount Change % (Annualized vs 2025)</t>
  </si>
  <si>
    <t xml:space="preserve">266</t>
  </si>
  <si>
    <t xml:space="preserve">268</t>
  </si>
  <si>
    <t xml:space="preserve">397A-גרבי</t>
  </si>
  <si>
    <t xml:space="preserve">307</t>
  </si>
  <si>
    <t xml:space="preserve">SH422</t>
  </si>
  <si>
    <t xml:space="preserve">34</t>
  </si>
  <si>
    <t xml:space="preserve">85</t>
  </si>
  <si>
    <t xml:space="preserve">45</t>
  </si>
  <si>
    <t xml:space="preserve">21</t>
  </si>
  <si>
    <t xml:space="preserve">45E</t>
  </si>
  <si>
    <t xml:space="preserve">87</t>
  </si>
  <si>
    <t xml:space="preserve">11</t>
  </si>
  <si>
    <t xml:space="preserve">302</t>
  </si>
  <si>
    <t xml:space="preserve">078G-L</t>
  </si>
  <si>
    <t xml:space="preserve">ST25</t>
  </si>
  <si>
    <t xml:space="preserve">35</t>
  </si>
  <si>
    <t xml:space="preserve">34+</t>
  </si>
  <si>
    <t xml:space="preserve">95</t>
  </si>
  <si>
    <t xml:space="preserve">078</t>
  </si>
  <si>
    <t xml:space="preserve">16</t>
  </si>
  <si>
    <t xml:space="preserve">FC335</t>
  </si>
  <si>
    <t xml:space="preserve">078XL</t>
  </si>
  <si>
    <t xml:space="preserve">078G-XLחגורת</t>
  </si>
  <si>
    <t xml:space="preserve">3655</t>
  </si>
  <si>
    <t xml:space="preserve">AC-28</t>
  </si>
  <si>
    <t xml:space="preserve">07AU</t>
  </si>
  <si>
    <t xml:space="preserve">PD340-קוצץ</t>
  </si>
  <si>
    <t xml:space="preserve">S-XLST422</t>
  </si>
  <si>
    <t xml:space="preserve">76</t>
  </si>
  <si>
    <t xml:space="preserve">ST91</t>
  </si>
  <si>
    <t xml:space="preserve">70N</t>
  </si>
  <si>
    <t xml:space="preserve">078G-XXLחגורת</t>
  </si>
  <si>
    <t xml:space="preserve">369</t>
  </si>
  <si>
    <t xml:space="preserve">FCתרסיס</t>
  </si>
  <si>
    <t xml:space="preserve">3674</t>
  </si>
  <si>
    <t xml:space="preserve">M078</t>
  </si>
  <si>
    <t xml:space="preserve">11TO</t>
  </si>
  <si>
    <t xml:space="preserve">T78</t>
  </si>
  <si>
    <t xml:space="preserve">ST37</t>
  </si>
  <si>
    <t xml:space="preserve">078G-M</t>
  </si>
  <si>
    <t xml:space="preserve">SH333</t>
  </si>
  <si>
    <t xml:space="preserve">3611</t>
  </si>
  <si>
    <t xml:space="preserve">388B</t>
  </si>
  <si>
    <t xml:space="preserve">372</t>
  </si>
  <si>
    <t xml:space="preserve">213CTSR</t>
  </si>
  <si>
    <t xml:space="preserve">364S</t>
  </si>
  <si>
    <t xml:space="preserve">213CTSL</t>
  </si>
  <si>
    <t xml:space="preserve">808KT-B</t>
  </si>
  <si>
    <t xml:space="preserve">ST433</t>
  </si>
  <si>
    <t xml:space="preserve">59R</t>
  </si>
  <si>
    <t xml:space="preserve">365</t>
  </si>
  <si>
    <t xml:space="preserve">808KT-C</t>
  </si>
  <si>
    <t xml:space="preserve">כרית</t>
  </si>
  <si>
    <t xml:space="preserve">59D</t>
  </si>
  <si>
    <t xml:space="preserve">URI</t>
  </si>
  <si>
    <t xml:space="preserve">59L</t>
  </si>
  <si>
    <t xml:space="preserve">364</t>
  </si>
  <si>
    <t xml:space="preserve">ST20</t>
  </si>
  <si>
    <t xml:space="preserve">3623</t>
  </si>
  <si>
    <t xml:space="preserve">11STO</t>
  </si>
  <si>
    <t xml:space="preserve">PD341-מקצוע</t>
  </si>
  <si>
    <t xml:space="preserve">4022</t>
  </si>
  <si>
    <t xml:space="preserve">320</t>
  </si>
  <si>
    <t xml:space="preserve">34+XL</t>
  </si>
  <si>
    <t xml:space="preserve">801</t>
  </si>
  <si>
    <t xml:space="preserve">808KT-BL</t>
  </si>
  <si>
    <t xml:space="preserve">311'מדב.ג'ל</t>
  </si>
  <si>
    <t xml:space="preserve">3675</t>
  </si>
  <si>
    <t xml:space="preserve">PD342-פומפיה</t>
  </si>
  <si>
    <t xml:space="preserve">366S-'מדבק.לשחרור</t>
  </si>
  <si>
    <t xml:space="preserve">ST28</t>
  </si>
  <si>
    <t xml:space="preserve">3622S</t>
  </si>
  <si>
    <t xml:space="preserve">808KT-P</t>
  </si>
  <si>
    <t xml:space="preserve">PD</t>
  </si>
  <si>
    <t xml:space="preserve">394W</t>
  </si>
  <si>
    <t xml:space="preserve">370</t>
  </si>
  <si>
    <t xml:space="preserve">40-רצועת</t>
  </si>
  <si>
    <t xml:space="preserve">363</t>
  </si>
  <si>
    <t xml:space="preserve">333</t>
  </si>
  <si>
    <t xml:space="preserve">3666</t>
  </si>
  <si>
    <t xml:space="preserve">820</t>
  </si>
  <si>
    <t xml:space="preserve">390B</t>
  </si>
  <si>
    <t xml:space="preserve">213CTS</t>
  </si>
  <si>
    <t xml:space="preserve">312</t>
  </si>
  <si>
    <t xml:space="preserve">14</t>
  </si>
  <si>
    <t xml:space="preserve">394B</t>
  </si>
  <si>
    <t xml:space="preserve">FC334</t>
  </si>
  <si>
    <t xml:space="preserve">3677S-מד.לשחרור</t>
  </si>
  <si>
    <t xml:space="preserve">374</t>
  </si>
  <si>
    <t xml:space="preserve">49</t>
  </si>
  <si>
    <t xml:space="preserve">078G-S</t>
  </si>
  <si>
    <t xml:space="preserve">41</t>
  </si>
  <si>
    <t xml:space="preserve">LF360</t>
  </si>
  <si>
    <t xml:space="preserve">FC321-מלח</t>
  </si>
  <si>
    <t xml:space="preserve">S078</t>
  </si>
  <si>
    <t xml:space="preserve">LFריפוד</t>
  </si>
  <si>
    <t xml:space="preserve">LF374</t>
  </si>
  <si>
    <t xml:space="preserve">ST11</t>
  </si>
  <si>
    <t xml:space="preserve">34+XXL</t>
  </si>
  <si>
    <t xml:space="preserve">LF370</t>
  </si>
  <si>
    <t xml:space="preserve">390G</t>
  </si>
  <si>
    <t xml:space="preserve">T90</t>
  </si>
  <si>
    <t xml:space="preserve">PD346-10</t>
  </si>
  <si>
    <t xml:space="preserve">239TR</t>
  </si>
  <si>
    <t xml:space="preserve">ST49</t>
  </si>
  <si>
    <t xml:space="preserve">G390.43-46</t>
  </si>
  <si>
    <t xml:space="preserve">LF377</t>
  </si>
  <si>
    <t xml:space="preserve">TOTAL</t>
  </si>
  <si>
    <t xml:space="preserve">Sales Comparison 2025 vs 2026 (Annualized) - Source: NetSuite - Sale Type: 113 - Kupat Holim Meuhedet (by Product CODE)</t>
  </si>
  <si>
    <t xml:space="preserve">Source: NetSuite report "1-Sales: Customer by Item" (01/01/2025-31/12/2026), Sale Type = "113 - Kupat Holim Meuhedet" only. This sheet is a copy of the "113 - Kupat Holim Meuhedet" sheet from 2026-09-20-salestype-2025-vs-2026.xlsx, rebuilt here (same data, same formulas) purely for side-by-side comparison against the PPLAY1-based view of the same real-world entity (Kupat Holim Meuhedet). Product CODE = column "Item: Name" (F in the original report). Multiple rows per CODE (one per unit-price tier / customer within this category) are summed (SUMIFS) per CODE, not taken from a single row. Raw rows for this Sale Type only are kept unchanged in the "Source NetSuite" sheet.</t>
  </si>
  <si>
    <t xml:space="preserve">Annualization note: 2026 actual data is assumed to cover approximately 9.5 months (1 Jan - 15 Sep 2026), consistent workbook-wide. Scaled to a full year via factor = 12 / 9.5 (≈ 1.263158) - straight-line extrapolation, no seasonality adjustment.</t>
  </si>
  <si>
    <t xml:space="preserve">Item Display Name</t>
  </si>
  <si>
    <t xml:space="preserve">Note</t>
  </si>
  <si>
    <t xml:space="preserve">266 0</t>
  </si>
  <si>
    <t xml:space="preserve">268 0</t>
  </si>
  <si>
    <t xml:space="preserve">078G L</t>
  </si>
  <si>
    <t xml:space="preserve">307 M</t>
  </si>
  <si>
    <t xml:space="preserve">078G XL</t>
  </si>
  <si>
    <t xml:space="preserve">307 L</t>
  </si>
  <si>
    <t xml:space="preserve">FC335 0</t>
  </si>
  <si>
    <t xml:space="preserve">397-39-42</t>
  </si>
  <si>
    <t xml:space="preserve">397-43-46</t>
  </si>
  <si>
    <t xml:space="preserve">FC333 0</t>
  </si>
  <si>
    <t xml:space="preserve">302M 0</t>
  </si>
  <si>
    <t xml:space="preserve">3655 0</t>
  </si>
  <si>
    <t xml:space="preserve">07AU XL</t>
  </si>
  <si>
    <t xml:space="preserve">302W 0</t>
  </si>
  <si>
    <t xml:space="preserve">07AU L</t>
  </si>
  <si>
    <t xml:space="preserve">85 M</t>
  </si>
  <si>
    <t xml:space="preserve">07AU XXL</t>
  </si>
  <si>
    <t xml:space="preserve">85 L</t>
  </si>
  <si>
    <t xml:space="preserve">87 L</t>
  </si>
  <si>
    <t xml:space="preserve">45 L</t>
  </si>
  <si>
    <t xml:space="preserve">078G M</t>
  </si>
  <si>
    <t xml:space="preserve">AC28 0</t>
  </si>
  <si>
    <t xml:space="preserve">21 M</t>
  </si>
  <si>
    <t xml:space="preserve">078G XXL</t>
  </si>
  <si>
    <t xml:space="preserve">87 M</t>
  </si>
  <si>
    <t xml:space="preserve">34 M</t>
  </si>
  <si>
    <t xml:space="preserve">307 XL</t>
  </si>
  <si>
    <t xml:space="preserve">34 L</t>
  </si>
  <si>
    <t xml:space="preserve">45 M</t>
  </si>
  <si>
    <t xml:space="preserve">21 L</t>
  </si>
  <si>
    <t xml:space="preserve">11 XL</t>
  </si>
  <si>
    <t xml:space="preserve">397-35-38</t>
  </si>
  <si>
    <t xml:space="preserve">45E M</t>
  </si>
  <si>
    <t xml:space="preserve">372 0</t>
  </si>
  <si>
    <t xml:space="preserve">87 XL</t>
  </si>
  <si>
    <t xml:space="preserve">ST422 0</t>
  </si>
  <si>
    <t xml:space="preserve">078 L</t>
  </si>
  <si>
    <t xml:space="preserve">45E L</t>
  </si>
  <si>
    <t xml:space="preserve">45 XL</t>
  </si>
  <si>
    <t xml:space="preserve">T90 0</t>
  </si>
  <si>
    <t xml:space="preserve">34+ M</t>
  </si>
  <si>
    <t xml:space="preserve">364-S-L</t>
  </si>
  <si>
    <t xml:space="preserve">ST25 0</t>
  </si>
  <si>
    <t xml:space="preserve">11 XXL</t>
  </si>
  <si>
    <t xml:space="preserve">45E XL</t>
  </si>
  <si>
    <t xml:space="preserve">333 0</t>
  </si>
  <si>
    <t xml:space="preserve">078 XL</t>
  </si>
  <si>
    <t xml:space="preserve">11 L</t>
  </si>
  <si>
    <t xml:space="preserve">4022 0</t>
  </si>
  <si>
    <t xml:space="preserve">34 XL</t>
  </si>
  <si>
    <t xml:space="preserve">ST28 0</t>
  </si>
  <si>
    <t xml:space="preserve">ST433 0</t>
  </si>
  <si>
    <t xml:space="preserve">3674 0</t>
  </si>
  <si>
    <t xml:space="preserve">34+ XL</t>
  </si>
  <si>
    <t xml:space="preserve">369-XL</t>
  </si>
  <si>
    <t xml:space="preserve">16-L-XL</t>
  </si>
  <si>
    <t xml:space="preserve">394B-43-46</t>
  </si>
  <si>
    <t xml:space="preserve">21 S</t>
  </si>
  <si>
    <t xml:space="preserve">35 M</t>
  </si>
  <si>
    <t xml:space="preserve">PD340 0</t>
  </si>
  <si>
    <t xml:space="preserve">11 M</t>
  </si>
  <si>
    <t xml:space="preserve">307 S</t>
  </si>
  <si>
    <t xml:space="preserve">35 XL</t>
  </si>
  <si>
    <t xml:space="preserve">85 XL</t>
  </si>
  <si>
    <t xml:space="preserve">394B-39-42</t>
  </si>
  <si>
    <t xml:space="preserve">ST91 0</t>
  </si>
  <si>
    <t xml:space="preserve">בונוסים ללקוחות</t>
  </si>
  <si>
    <t xml:space="preserve">801 0</t>
  </si>
  <si>
    <t xml:space="preserve">3611 0</t>
  </si>
  <si>
    <t xml:space="preserve">07AU M</t>
  </si>
  <si>
    <t xml:space="preserve">21 XL</t>
  </si>
  <si>
    <t xml:space="preserve">369-S-L</t>
  </si>
  <si>
    <t xml:space="preserve">PD342 0</t>
  </si>
  <si>
    <t xml:space="preserve">95 M</t>
  </si>
  <si>
    <t xml:space="preserve">85 S</t>
  </si>
  <si>
    <t xml:space="preserve">16-S-M</t>
  </si>
  <si>
    <t xml:space="preserve">362-L-R</t>
  </si>
  <si>
    <t xml:space="preserve">34+ L</t>
  </si>
  <si>
    <t xml:space="preserve">34 S</t>
  </si>
  <si>
    <t xml:space="preserve">95 L</t>
  </si>
  <si>
    <t xml:space="preserve">35 L</t>
  </si>
  <si>
    <t xml:space="preserve">3666 0</t>
  </si>
  <si>
    <t xml:space="preserve">3641 0</t>
  </si>
  <si>
    <t xml:space="preserve">364 XL</t>
  </si>
  <si>
    <t xml:space="preserve">11 S</t>
  </si>
  <si>
    <t xml:space="preserve">363 L/R</t>
  </si>
  <si>
    <t xml:space="preserve">95 S</t>
  </si>
  <si>
    <t xml:space="preserve">ST37 0</t>
  </si>
  <si>
    <t xml:space="preserve">76 M</t>
  </si>
  <si>
    <t xml:space="preserve">45 XXL</t>
  </si>
  <si>
    <t xml:space="preserve">365-S-L</t>
  </si>
  <si>
    <t xml:space="preserve">ST20 0</t>
  </si>
  <si>
    <t xml:space="preserve">078 M</t>
  </si>
  <si>
    <t xml:space="preserve">59R M</t>
  </si>
  <si>
    <t xml:space="preserve">370 0</t>
  </si>
  <si>
    <t xml:space="preserve">45E XXL</t>
  </si>
  <si>
    <t xml:space="preserve">820 0</t>
  </si>
  <si>
    <t xml:space="preserve">ST11 0</t>
  </si>
  <si>
    <t xml:space="preserve">59R L</t>
  </si>
  <si>
    <t xml:space="preserve">76 S</t>
  </si>
  <si>
    <t xml:space="preserve">3667 0</t>
  </si>
  <si>
    <t xml:space="preserve">T78 M</t>
  </si>
  <si>
    <t xml:space="preserve">320 0</t>
  </si>
  <si>
    <t xml:space="preserve">PD344 0</t>
  </si>
  <si>
    <t xml:space="preserve">388BL 0</t>
  </si>
  <si>
    <t xml:space="preserve">3623 0</t>
  </si>
  <si>
    <t xml:space="preserve">45 S</t>
  </si>
  <si>
    <t xml:space="preserve">40 0</t>
  </si>
  <si>
    <t xml:space="preserve">366S 0</t>
  </si>
  <si>
    <t xml:space="preserve">311 0</t>
  </si>
  <si>
    <t xml:space="preserve">3622S 0</t>
  </si>
  <si>
    <t xml:space="preserve">59L M</t>
  </si>
  <si>
    <t xml:space="preserve">87 XXL</t>
  </si>
  <si>
    <t xml:space="preserve">FC321 0</t>
  </si>
  <si>
    <t xml:space="preserve">PD341 0</t>
  </si>
  <si>
    <t xml:space="preserve">388BR 0</t>
  </si>
  <si>
    <t xml:space="preserve">76 L</t>
  </si>
  <si>
    <t xml:space="preserve">34 XXL</t>
  </si>
  <si>
    <t xml:space="preserve">374 0</t>
  </si>
  <si>
    <t xml:space="preserve">11TO L</t>
  </si>
  <si>
    <t xml:space="preserve">3677S 0</t>
  </si>
  <si>
    <t xml:space="preserve">59D L</t>
  </si>
  <si>
    <t xml:space="preserve">16 XXL</t>
  </si>
  <si>
    <t xml:space="preserve">T78 XL</t>
  </si>
  <si>
    <t xml:space="preserve">394B-35-38</t>
  </si>
  <si>
    <t xml:space="preserve">239B-L-XL</t>
  </si>
  <si>
    <t xml:space="preserve">35 XXL</t>
  </si>
  <si>
    <t xml:space="preserve">3675 0</t>
  </si>
  <si>
    <t xml:space="preserve">239B-S-M</t>
  </si>
  <si>
    <t xml:space="preserve">078G S</t>
  </si>
  <si>
    <t xml:space="preserve">11U L</t>
  </si>
  <si>
    <t xml:space="preserve">35 S</t>
  </si>
  <si>
    <t xml:space="preserve">13 XL</t>
  </si>
  <si>
    <t xml:space="preserve">LF373 0</t>
  </si>
  <si>
    <t xml:space="preserve">(NO ITEM CODE)</t>
  </si>
  <si>
    <t xml:space="preserve">74-S-M</t>
  </si>
  <si>
    <t xml:space="preserve">59R XL</t>
  </si>
  <si>
    <t xml:space="preserve">11TO M</t>
  </si>
  <si>
    <t xml:space="preserve">38 0</t>
  </si>
  <si>
    <t xml:space="preserve">95 XL</t>
  </si>
  <si>
    <t xml:space="preserve">T33 L</t>
  </si>
  <si>
    <t xml:space="preserve">45E S</t>
  </si>
  <si>
    <t xml:space="preserve">808KTP-B</t>
  </si>
  <si>
    <t xml:space="preserve">11STO XXL</t>
  </si>
  <si>
    <t xml:space="preserve">11STO XL</t>
  </si>
  <si>
    <t xml:space="preserve">59D M</t>
  </si>
  <si>
    <t xml:space="preserve">312 0</t>
  </si>
  <si>
    <t xml:space="preserve">365-XL</t>
  </si>
  <si>
    <t xml:space="preserve">34+ XXL</t>
  </si>
  <si>
    <t xml:space="preserve">T33 M</t>
  </si>
  <si>
    <t xml:space="preserve">11TO XL</t>
  </si>
  <si>
    <t xml:space="preserve">ST49 0</t>
  </si>
  <si>
    <t xml:space="preserve">394G-35-38</t>
  </si>
  <si>
    <t xml:space="preserve">34+ S</t>
  </si>
  <si>
    <t xml:space="preserve">LF374 0</t>
  </si>
  <si>
    <t xml:space="preserve">394G-39-42</t>
  </si>
  <si>
    <t xml:space="preserve">388L 0</t>
  </si>
  <si>
    <t xml:space="preserve">390W-43-46</t>
  </si>
  <si>
    <t xml:space="preserve">11STO L</t>
  </si>
  <si>
    <t xml:space="preserve">34 XS</t>
  </si>
  <si>
    <t xml:space="preserve">390W-39-42</t>
  </si>
  <si>
    <t xml:space="preserve">394W-35-38</t>
  </si>
  <si>
    <t xml:space="preserve">LF370 0</t>
  </si>
  <si>
    <t xml:space="preserve">239P-S-M</t>
  </si>
  <si>
    <t xml:space="preserve">394W-43-46</t>
  </si>
  <si>
    <t xml:space="preserve">390B-39-42</t>
  </si>
  <si>
    <t xml:space="preserve">11TO XXL</t>
  </si>
  <si>
    <t xml:space="preserve">95 XS</t>
  </si>
  <si>
    <t xml:space="preserve">07AU S</t>
  </si>
  <si>
    <t xml:space="preserve">74-L-XL</t>
  </si>
  <si>
    <t xml:space="preserve">390G-39-42</t>
  </si>
  <si>
    <t xml:space="preserve">59L L</t>
  </si>
  <si>
    <t xml:space="preserve">11STO M</t>
  </si>
  <si>
    <t xml:space="preserve">LF360 0</t>
  </si>
  <si>
    <t xml:space="preserve">394G-43-46</t>
  </si>
  <si>
    <t xml:space="preserve">422ED XXL</t>
  </si>
  <si>
    <t xml:space="preserve">239TR-L-XL</t>
  </si>
  <si>
    <t xml:space="preserve">390B-43-46</t>
  </si>
  <si>
    <t xml:space="preserve">11U M</t>
  </si>
  <si>
    <t xml:space="preserve">T78 L</t>
  </si>
  <si>
    <t xml:space="preserve">59R S</t>
  </si>
  <si>
    <t xml:space="preserve">390G-43-46</t>
  </si>
  <si>
    <t xml:space="preserve">T33 XL</t>
  </si>
  <si>
    <t xml:space="preserve">T39 M</t>
  </si>
  <si>
    <t xml:space="preserve">T402 L</t>
  </si>
  <si>
    <t xml:space="preserve">14 0</t>
  </si>
  <si>
    <t xml:space="preserve">T39 XL</t>
  </si>
  <si>
    <t xml:space="preserve">PD346 0</t>
  </si>
  <si>
    <t xml:space="preserve">T78 XXL</t>
  </si>
  <si>
    <t xml:space="preserve">T402 M</t>
  </si>
  <si>
    <t xml:space="preserve">390B-35-38</t>
  </si>
  <si>
    <t xml:space="preserve">59D XL</t>
  </si>
  <si>
    <t xml:space="preserve">59D S</t>
  </si>
  <si>
    <t xml:space="preserve">49 L</t>
  </si>
  <si>
    <t xml:space="preserve">41 S</t>
  </si>
  <si>
    <t xml:space="preserve">76 XL</t>
  </si>
  <si>
    <t xml:space="preserve">078C L</t>
  </si>
  <si>
    <t xml:space="preserve">078C M</t>
  </si>
  <si>
    <t xml:space="preserve">LF377 S</t>
  </si>
  <si>
    <t xml:space="preserve">87 S</t>
  </si>
  <si>
    <t xml:space="preserve">808KTP-BL</t>
  </si>
  <si>
    <t xml:space="preserve">390G-35-38</t>
  </si>
  <si>
    <t xml:space="preserve">11STO S</t>
  </si>
  <si>
    <t xml:space="preserve">394W-39-42</t>
  </si>
  <si>
    <t xml:space="preserve">13 L</t>
  </si>
  <si>
    <t xml:space="preserve">T33 XXL</t>
  </si>
  <si>
    <t xml:space="preserve">95 XXL</t>
  </si>
  <si>
    <t xml:space="preserve">35 XS</t>
  </si>
  <si>
    <t xml:space="preserve">49 XL</t>
  </si>
  <si>
    <t xml:space="preserve">T11C XL</t>
  </si>
  <si>
    <t xml:space="preserve">078C XL</t>
  </si>
  <si>
    <t xml:space="preserve">11U XL</t>
  </si>
  <si>
    <t xml:space="preserve">LF377 L</t>
  </si>
  <si>
    <t xml:space="preserve">390W-35-38</t>
  </si>
  <si>
    <t xml:space="preserve">49 S</t>
  </si>
  <si>
    <t xml:space="preserve">49 XXL</t>
  </si>
  <si>
    <t xml:space="preserve">LF371 0</t>
  </si>
  <si>
    <t xml:space="preserve">49 M</t>
  </si>
  <si>
    <t xml:space="preserve">305GA-45-46</t>
  </si>
  <si>
    <t xml:space="preserve">59L XL</t>
  </si>
  <si>
    <t xml:space="preserve">67813000</t>
  </si>
  <si>
    <t xml:space="preserve">59L S</t>
  </si>
  <si>
    <t xml:space="preserve">67800020</t>
  </si>
  <si>
    <t xml:space="preserve">T39 L</t>
  </si>
  <si>
    <t xml:space="preserve">078 S</t>
  </si>
  <si>
    <t xml:space="preserve">LUPD340 0</t>
  </si>
  <si>
    <t xml:space="preserve">T78 S</t>
  </si>
  <si>
    <t xml:space="preserve">87 XS</t>
  </si>
  <si>
    <t xml:space="preserve">Raw source rows - 2025 - customer column "0קופות חולים" only (from PPLAY1 of uriel report), unchanged</t>
  </si>
  <si>
    <t xml:space="preserve">Block</t>
  </si>
  <si>
    <t xml:space="preserve">CODE</t>
  </si>
  <si>
    <t xml:space="preserve">Item description (raw)</t>
  </si>
  <si>
    <t xml:space="preserve">Value</t>
  </si>
  <si>
    <t xml:space="preserve">Amount (NIS)</t>
  </si>
  <si>
    <t xml:space="preserve">S-L אצבעון מסיליקון יחידה</t>
  </si>
  <si>
    <t xml:space="preserve">XL אצבעון מסיליקון יחידה</t>
  </si>
  <si>
    <t xml:space="preserve">344-אבן טבעית להסרת עור קשה</t>
  </si>
  <si>
    <t xml:space="preserve">805AT-Cאתלטיק</t>
  </si>
  <si>
    <t xml:space="preserve">טייפ בז' 20מ""מ20</t>
  </si>
  <si>
    <t xml:space="preserve">805AT-B</t>
  </si>
  <si>
    <t xml:space="preserve">אתלטיק טייפ שחור 20מ""מ</t>
  </si>
  <si>
    <t xml:space="preserve">805AT-BLאתלטיק</t>
  </si>
  <si>
    <t xml:space="preserve">טייפ כחול 20מ""מ</t>
  </si>
  <si>
    <t xml:space="preserve">805AT-W</t>
  </si>
  <si>
    <t xml:space="preserve">אתלטיק טייפ לבן 20מ""מ</t>
  </si>
  <si>
    <t xml:space="preserve">בננה לתמיכת אצבעות ז.כרית</t>
  </si>
  <si>
    <t xml:space="preserve">בליסטר פלסטר</t>
  </si>
  <si>
    <t xml:space="preserve">גרב.כסף לסכרתים שחור35-38</t>
  </si>
  <si>
    <t xml:space="preserve">39-42.גרב.כסף לסכרתיים שח</t>
  </si>
  <si>
    <t xml:space="preserve">43-46.גרב.כסף לסכרתיים שח</t>
  </si>
  <si>
    <t xml:space="preserve">ג.כסף לסכרתיים אפור35-38</t>
  </si>
  <si>
    <t xml:space="preserve">39-42.גרב.כסף לסכרתיים אפ</t>
  </si>
  <si>
    <t xml:space="preserve">גרבי כסף לסכרת מידה</t>
  </si>
  <si>
    <t xml:space="preserve">390W</t>
  </si>
  <si>
    <t xml:space="preserve">גרב כסף לסכרתיים לבן35-38</t>
  </si>
  <si>
    <t xml:space="preserve">גרב.כסף לסכרתיים לבן39-42</t>
  </si>
  <si>
    <t xml:space="preserve">גרב.כסף לסכרתיים לבן43-46</t>
  </si>
  <si>
    <t xml:space="preserve">3444</t>
  </si>
  <si>
    <t xml:space="preserve">0   גרביים+סיליקון</t>
  </si>
  <si>
    <t xml:space="preserve">גרב.כסף לסכרתים שחור39-42</t>
  </si>
  <si>
    <t xml:space="preserve">גרב.כסף לסכרתים שחור43-46</t>
  </si>
  <si>
    <t xml:space="preserve">394G</t>
  </si>
  <si>
    <t xml:space="preserve">גרב.כסף לסכרתים אפור35-38</t>
  </si>
  <si>
    <t xml:space="preserve">גרב.כסף לסכרתים אפור39-42</t>
  </si>
  <si>
    <t xml:space="preserve">גרב.כסף לסכרתים אפור43-46</t>
  </si>
  <si>
    <t xml:space="preserve">35-38 גרב.כסף לסכרתים לבן</t>
  </si>
  <si>
    <t xml:space="preserve">39-42 גרב.כסף לסכרתים לבן</t>
  </si>
  <si>
    <t xml:space="preserve">43-46 גרב.כסף לסכרתים לבן</t>
  </si>
  <si>
    <t xml:space="preserve">FC330Z-תתדאו'אנטי</t>
  </si>
  <si>
    <t xml:space="preserve">בקט.לנעל120</t>
  </si>
  <si>
    <t xml:space="preserve">06</t>
  </si>
  <si>
    <t xml:space="preserve">L  ""ח.גב קלה ""מיקדו</t>
  </si>
  <si>
    <t xml:space="preserve">M  ""ח.גב קלה ""מיקדו</t>
  </si>
  <si>
    <t xml:space="preserve">XL ""ח.גב קלה ""מיקדו</t>
  </si>
  <si>
    <t xml:space="preserve">XXL ""ח.גב קלה ""מיקדו</t>
  </si>
  <si>
    <t xml:space="preserve">079</t>
  </si>
  <si>
    <t xml:space="preserve">S ח.גב סג. כפולה שחור+אדום</t>
  </si>
  <si>
    <t xml:space="preserve">L ח.גב סג.כפולה שחור+אדום</t>
  </si>
  <si>
    <t xml:space="preserve">M ח.גב סג.כפולה שחור+אדום</t>
  </si>
  <si>
    <t xml:space="preserve">XL ח.גב סג.כפולה שחור+אדום</t>
  </si>
  <si>
    <t xml:space="preserve">XXLח.גב סג.כפולה שחור+אדום</t>
  </si>
  <si>
    <t xml:space="preserve">S ח.גב ""איטלקית"" אורירית</t>
  </si>
  <si>
    <t xml:space="preserve">L ח.גב ""איטלקית"" אורירית</t>
  </si>
  <si>
    <t xml:space="preserve">M ח.גב ""איטלקית"" אורירית</t>
  </si>
  <si>
    <t xml:space="preserve">XL ח.גב ""איטלקית"" אורירית</t>
  </si>
  <si>
    <t xml:space="preserve">XXL.ח.גב ""איטלקית"" אוריר</t>
  </si>
  <si>
    <t xml:space="preserve">07UC</t>
  </si>
  <si>
    <t xml:space="preserve">L-XLח.גב אמר+סגירה כפ.חום</t>
  </si>
  <si>
    <t xml:space="preserve">10</t>
  </si>
  <si>
    <t xml:space="preserve">S ""חגורת גב ""לומבו</t>
  </si>
  <si>
    <t xml:space="preserve">L ""חגורת גב ""לומבו</t>
  </si>
  <si>
    <t xml:space="preserve">M ""חגורת גב ""לומבו</t>
  </si>
  <si>
    <t xml:space="preserve">XL ""חגורת גב ""לומבו</t>
  </si>
  <si>
    <t xml:space="preserve">XXL""חגורת גב ""לומבו</t>
  </si>
  <si>
    <t xml:space="preserve">S""חגורת בטן""אורירית</t>
  </si>
  <si>
    <t xml:space="preserve">L""חגורת בטן""אורירית</t>
  </si>
  <si>
    <t xml:space="preserve">M""חגורת בטן""אורירית</t>
  </si>
  <si>
    <t xml:space="preserve">XL""חגורת בטן""אורירית</t>
  </si>
  <si>
    <t xml:space="preserve">XXL""חגורת בטן""אורירית</t>
  </si>
  <si>
    <t xml:space="preserve">12</t>
  </si>
  <si>
    <t xml:space="preserve">M ח.גב מגנטית+מוטות תמיכה</t>
  </si>
  <si>
    <t xml:space="preserve">18</t>
  </si>
  <si>
    <t xml:space="preserve">L ח.הריון מכנס למניעת כאבים</t>
  </si>
  <si>
    <t xml:space="preserve">XL.ח.הריון מכנס למניעת כאב</t>
  </si>
  <si>
    <t xml:space="preserve">20</t>
  </si>
  <si>
    <t xml:space="preserve">L חבק יד מתכוון עם צמדן</t>
  </si>
  <si>
    <t xml:space="preserve">M חבק יד מתכוון עם צמדן</t>
  </si>
  <si>
    <t xml:space="preserve">S חבק יד מתכוון עם צמדן</t>
  </si>
  <si>
    <t xml:space="preserve">XL חבק יד מתכוון עם צמדן</t>
  </si>
  <si>
    <t xml:space="preserve">XXL חבק יד מתכוון עם צמדן</t>
  </si>
  <si>
    <t xml:space="preserve">S  חבק יד ארוך</t>
  </si>
  <si>
    <t xml:space="preserve">L  חבק יד ארוך</t>
  </si>
  <si>
    <t xml:space="preserve">M  חבק יד ארוך</t>
  </si>
  <si>
    <t xml:space="preserve">XL חבק יד ארוך</t>
  </si>
  <si>
    <t xml:space="preserve">25</t>
  </si>
  <si>
    <t xml:space="preserve">L חבק יד אגודלי</t>
  </si>
  <si>
    <t xml:space="preserve">M חבק יד אגודלי</t>
  </si>
  <si>
    <t xml:space="preserve">S חבק יד אגודלי</t>
  </si>
  <si>
    <t xml:space="preserve">XL חבק יד אגודלי</t>
  </si>
  <si>
    <t xml:space="preserve">38</t>
  </si>
  <si>
    <t xml:space="preserve">.חבישת""הלוקס ולגוס""לאחר נית</t>
  </si>
  <si>
    <t xml:space="preserve">S חגורת שבר דו צדדי</t>
  </si>
  <si>
    <t xml:space="preserve">L חגורת שבר דו צדדי</t>
  </si>
  <si>
    <t xml:space="preserve">M חגורת שבר דו צדדי</t>
  </si>
  <si>
    <t xml:space="preserve">XL חגורת שבר דו צדדי</t>
  </si>
  <si>
    <t xml:space="preserve">L חגורת שבר לצד שמאל</t>
  </si>
  <si>
    <t xml:space="preserve">M חגורת שבר לצד שמאל</t>
  </si>
  <si>
    <t xml:space="preserve">S חגורת שבר לצד ימין</t>
  </si>
  <si>
    <t xml:space="preserve">L חגורת שבר לצד ימין</t>
  </si>
  <si>
    <t xml:space="preserve">M חגורת שבר לצד ימין</t>
  </si>
  <si>
    <t xml:space="preserve">XL חגורת שבר לצד ימין</t>
  </si>
  <si>
    <t xml:space="preserve">922L.חבק</t>
  </si>
  <si>
    <t xml:space="preserve">יד לטניס כרית סיליק</t>
  </si>
  <si>
    <t xml:space="preserve">922M.מחבק</t>
  </si>
  <si>
    <t xml:space="preserve">יד לטניס כרית סילי</t>
  </si>
  <si>
    <t xml:space="preserve">91</t>
  </si>
  <si>
    <t xml:space="preserve">חבק ""טניס אלבו רצועה</t>
  </si>
  <si>
    <t xml:space="preserve">T11C</t>
  </si>
  <si>
    <t xml:space="preserve">S  חגורת גב פוג'יאמה</t>
  </si>
  <si>
    <t xml:space="preserve">L  חגורת גב פוג'יאמה</t>
  </si>
  <si>
    <t xml:space="preserve">M  חגורת גב פוג'יאמה</t>
  </si>
  <si>
    <t xml:space="preserve">XL חגורת גב פוג'יאמה</t>
  </si>
  <si>
    <t xml:space="preserve">XXL חגורת גב פוג'יאמה</t>
  </si>
  <si>
    <t xml:space="preserve">T20</t>
  </si>
  <si>
    <t xml:space="preserve">S-M חבק יד עם צמדן</t>
  </si>
  <si>
    <t xml:space="preserve">L-XL  חבק יד עם צמדן</t>
  </si>
  <si>
    <t xml:space="preserve">T20C</t>
  </si>
  <si>
    <t xml:space="preserve">S-M חבק יד עם צמדןחום</t>
  </si>
  <si>
    <t xml:space="preserve">L-XL חבק יד עם צמדן חום</t>
  </si>
  <si>
    <t xml:space="preserve">T25-חבק</t>
  </si>
  <si>
    <t xml:space="preserve">יד אגודלי</t>
  </si>
  <si>
    <t xml:space="preserve">T25C-חבק</t>
  </si>
  <si>
    <t xml:space="preserve">11U</t>
  </si>
  <si>
    <t xml:space="preserve">Lחגורת בטן וחזה אחרי ניתוח</t>
  </si>
  <si>
    <t xml:space="preserve">19</t>
  </si>
  <si>
    <t xml:space="preserve">S-M חגורת הריון בכאב חזק</t>
  </si>
  <si>
    <t xml:space="preserve">11EU</t>
  </si>
  <si>
    <t xml:space="preserve">S ח.בטן לאחר ניתוח</t>
  </si>
  <si>
    <t xml:space="preserve">M ח.בטן לאחר ניתוח</t>
  </si>
  <si>
    <t xml:space="preserve">L ח.בטן לאחר ניתוח</t>
  </si>
  <si>
    <t xml:space="preserve">XLח.בטן לאחר ניתוח</t>
  </si>
  <si>
    <t xml:space="preserve">06U</t>
  </si>
  <si>
    <t xml:space="preserve">L ח.בטן מותנית צר</t>
  </si>
  <si>
    <t xml:space="preserve">XL ח.בטן מותנית צר</t>
  </si>
  <si>
    <t xml:space="preserve">15M</t>
  </si>
  <si>
    <t xml:space="preserve">L חגורת צלעות לגבר</t>
  </si>
  <si>
    <t xml:space="preserve">15W</t>
  </si>
  <si>
    <t xml:space="preserve">XL חגורת צלעות לאשה</t>
  </si>
  <si>
    <t xml:space="preserve">M חגורת צלעות לגבר</t>
  </si>
  <si>
    <t xml:space="preserve">XXL חגורת בטןלאחר ניתוח</t>
  </si>
  <si>
    <t xml:space="preserve">077A</t>
  </si>
  <si>
    <t xml:space="preserve">S-M חגורת גב</t>
  </si>
  <si>
    <t xml:space="preserve">L-XLחגורת גב</t>
  </si>
  <si>
    <t xml:space="preserve">06W</t>
  </si>
  <si>
    <t xml:space="preserve">S חגורת גב לנשים</t>
  </si>
  <si>
    <t xml:space="preserve">776</t>
  </si>
  <si>
    <t xml:space="preserve">S  ח.גב גבוהה</t>
  </si>
  <si>
    <t xml:space="preserve">M  ח.גב גבוהה</t>
  </si>
  <si>
    <t xml:space="preserve">11PS</t>
  </si>
  <si>
    <t xml:space="preserve">Sחגורה למנותחי בטן</t>
  </si>
  <si>
    <t xml:space="preserve">Mחגורה למנותחי בטן</t>
  </si>
  <si>
    <t xml:space="preserve">Lחגורה למנותחי בטן</t>
  </si>
  <si>
    <t xml:space="preserve">XLחגורה למנותחי בטן</t>
  </si>
  <si>
    <t xml:space="preserve">XXLחגורה למנותחי בטן</t>
  </si>
  <si>
    <t xml:space="preserve">S חגורה למנותחי בית החזה</t>
  </si>
  <si>
    <t xml:space="preserve">M חגורה למנותחי בית החזה</t>
  </si>
  <si>
    <t xml:space="preserve">L חגורה למנותחי בית החזה</t>
  </si>
  <si>
    <t xml:space="preserve">XLחגורה למנותחי בית החזה</t>
  </si>
  <si>
    <t xml:space="preserve">XXLחגורה למנותחי בית החזה</t>
  </si>
  <si>
    <t xml:space="preserve">XS  חגורת בטן</t>
  </si>
  <si>
    <t xml:space="preserve">13</t>
  </si>
  <si>
    <t xml:space="preserve">M חגורה לשבר טבור</t>
  </si>
  <si>
    <t xml:space="preserve">L חגורה לשבר טבור</t>
  </si>
  <si>
    <t xml:space="preserve">XL חגורה לשבר טבור</t>
  </si>
  <si>
    <t xml:space="preserve">XXL חגורה לשבר טבור</t>
  </si>
  <si>
    <t xml:space="preserve">חגורת גב +סגירה כפולה</t>
  </si>
  <si>
    <t xml:space="preserve">L חגורת גב +סגירה</t>
  </si>
  <si>
    <t xml:space="preserve">0 חגורה למנותחי בית חזה</t>
  </si>
  <si>
    <t xml:space="preserve">AC-07</t>
  </si>
  <si>
    <t xml:space="preserve">חגורת גב עם תמיכות</t>
  </si>
  <si>
    <t xml:space="preserve">AC-11</t>
  </si>
  <si>
    <t xml:space="preserve">חגורת בטן קלה</t>
  </si>
  <si>
    <t xml:space="preserve">AC-25</t>
  </si>
  <si>
    <t xml:space="preserve">חבק לשורש כף היד</t>
  </si>
  <si>
    <t xml:space="preserve">AC91</t>
  </si>
  <si>
    <t xml:space="preserve">חבק טניס</t>
  </si>
  <si>
    <t xml:space="preserve">S-Lטבעת אלסטית מסיליקון</t>
  </si>
  <si>
    <t xml:space="preserve">X-Lטבעת אלסטית מסיליקון</t>
  </si>
  <si>
    <t xml:space="preserve">FC341-טיפות</t>
  </si>
  <si>
    <t xml:space="preserve">נגד פטרת הציפורן</t>
  </si>
  <si>
    <t xml:space="preserve">FC314-תתטלק</t>
  </si>
  <si>
    <t xml:space="preserve">נוזלי</t>
  </si>
  <si>
    <t xml:space="preserve">טלק מעושר באלוורה</t>
  </si>
  <si>
    <t xml:space="preserve">מטטרזלי סיליקון362</t>
  </si>
  <si>
    <t xml:space="preserve">כרית ליישור אצבע פטיש</t>
  </si>
  <si>
    <t xml:space="preserve">67</t>
  </si>
  <si>
    <t xml:space="preserve">כרית שינה חלומי</t>
  </si>
  <si>
    <t xml:space="preserve">0 כרית חום וקור</t>
  </si>
  <si>
    <t xml:space="preserve">30</t>
  </si>
  <si>
    <t xml:space="preserve">S מגן קרסול מתכוון עם סקוטש</t>
  </si>
  <si>
    <t xml:space="preserve">L מגן קרסול מתכוון עם סקוטש</t>
  </si>
  <si>
    <t xml:space="preserve">M מגן קרסול מתכוון עם סקוטש</t>
  </si>
  <si>
    <t xml:space="preserve">XL מגן קרסול מתכוון סקוטש</t>
  </si>
  <si>
    <t xml:space="preserve">XXL מגן קרסול מתכוון+סקוטש</t>
  </si>
  <si>
    <t xml:space="preserve">300M</t>
  </si>
  <si>
    <t xml:space="preserve">תתמדרס.ציפוי עור גבר זו43</t>
  </si>
  <si>
    <t xml:space="preserve">תתמדרס/ציפוי עור גבר זו44</t>
  </si>
  <si>
    <t xml:space="preserve">303</t>
  </si>
  <si>
    <t xml:space="preserve">37-38 מדרסי סיליק.לח.סכרת</t>
  </si>
  <si>
    <t xml:space="preserve">39-40 מדרסי סיליק.לח.סכרת</t>
  </si>
  <si>
    <t xml:space="preserve">41-42 מדרסי סיליק.לח.סכרת</t>
  </si>
  <si>
    <t xml:space="preserve">43-44 מדרסי סיליק.לח.סכרת</t>
  </si>
  <si>
    <t xml:space="preserve">45-46 מדרסי סיליק.לח.סכרת</t>
  </si>
  <si>
    <t xml:space="preserve">למניעת שפשוף 5 יח</t>
  </si>
  <si>
    <t xml:space="preserve">9 מ""ס להתאמהX5 מדבקה גדולה</t>
  </si>
  <si>
    <t xml:space="preserve">M מגן קרסול עקב סגור</t>
  </si>
  <si>
    <t xml:space="preserve">S מגן קרסול עקב סגור</t>
  </si>
  <si>
    <t xml:space="preserve">L מגן קרסול עקב סגור</t>
  </si>
  <si>
    <t xml:space="preserve">XL מגן קרסול עקב סגור</t>
  </si>
  <si>
    <t xml:space="preserve">XS מגן קרסול עקב סגור</t>
  </si>
  <si>
    <t xml:space="preserve">XXL מגן קרסול עקב סגור</t>
  </si>
  <si>
    <t xml:space="preserve">S מגן קרסול לבן</t>
  </si>
  <si>
    <t xml:space="preserve">L מגן קרסול לבן</t>
  </si>
  <si>
    <t xml:space="preserve">M מגן קרסול לבן</t>
  </si>
  <si>
    <t xml:space="preserve">XL מגן קרסול לבן</t>
  </si>
  <si>
    <t xml:space="preserve">XXL מגן קרסול לבן</t>
  </si>
  <si>
    <t xml:space="preserve">35C</t>
  </si>
  <si>
    <t xml:space="preserve">S מגן קרסול חום</t>
  </si>
  <si>
    <t xml:space="preserve">L מגן קרסול חום</t>
  </si>
  <si>
    <t xml:space="preserve">M מגן קרסול חום</t>
  </si>
  <si>
    <t xml:space="preserve">XL מגן קרסול חום</t>
  </si>
  <si>
    <t xml:space="preserve">מדרס מטטרזלי לנעלי עקב</t>
  </si>
  <si>
    <t xml:space="preserve">מדבקה לשחרור לחץ 2 יח</t>
  </si>
  <si>
    <t xml:space="preserve">Lמפר.אצבע סיליק. ליבל.זוג</t>
  </si>
  <si>
    <t xml:space="preserve">XLמפריד אצבע סיליקון ליבלת</t>
  </si>
  <si>
    <t xml:space="preserve">3641-מיישר</t>
  </si>
  <si>
    <t xml:space="preserve">בוהן סיליקון קשיח</t>
  </si>
  <si>
    <t xml:space="preserve">לחץ מיבלת2יח</t>
  </si>
  <si>
    <t xml:space="preserve">לחץ א.הבוניון</t>
  </si>
  <si>
    <t xml:space="preserve">388L</t>
  </si>
  <si>
    <t xml:space="preserve">סד לילה לבוהן</t>
  </si>
  <si>
    <t xml:space="preserve">388R</t>
  </si>
  <si>
    <t xml:space="preserve">Sמ.ברך מוצלב+ספירלות בצדדים</t>
  </si>
  <si>
    <t xml:space="preserve">Lמ.ברך מוצלב+ספירלות בצדדים</t>
  </si>
  <si>
    <t xml:space="preserve">Mמ.ברך מוצלב+ספירלות בצדדים</t>
  </si>
  <si>
    <t xml:space="preserve">XL.מ.ברך מוצלב+ספירלות בצד</t>
  </si>
  <si>
    <t xml:space="preserve">41X</t>
  </si>
  <si>
    <t xml:space="preserve">L מגן ברך מוצלב+מוט</t>
  </si>
  <si>
    <t xml:space="preserve">S מגן ברך מוצלב+מוט</t>
  </si>
  <si>
    <t xml:space="preserve">XL מגן ברך מוצלב+מוט</t>
  </si>
  <si>
    <t xml:space="preserve">422</t>
  </si>
  <si>
    <t xml:space="preserve">Lמ.ברך+כרית סיל.סביב לפיקה</t>
  </si>
  <si>
    <t xml:space="preserve">Mמ.ברך+כרית סיל.סביב לפיקה</t>
  </si>
  <si>
    <t xml:space="preserve">Sמ.ברך+כרית סיל.סביב לפיקה</t>
  </si>
  <si>
    <t xml:space="preserve">XLמ.ברך+כרית סיל.סביב לפיק</t>
  </si>
  <si>
    <t xml:space="preserve">XXLמ.ברך+כרית סיל.סב. פיקה</t>
  </si>
  <si>
    <t xml:space="preserve">L מגן ברך לבן</t>
  </si>
  <si>
    <t xml:space="preserve">M מגן ברך לבן</t>
  </si>
  <si>
    <t xml:space="preserve">S מגן ברך לבן</t>
  </si>
  <si>
    <t xml:space="preserve">XL מגן ברך לבן</t>
  </si>
  <si>
    <t xml:space="preserve">XXL מגן ברך לבן</t>
  </si>
  <si>
    <t xml:space="preserve">45C</t>
  </si>
  <si>
    <t xml:space="preserve">S מגן ברך חום</t>
  </si>
  <si>
    <t xml:space="preserve">L מגן ברך חום</t>
  </si>
  <si>
    <t xml:space="preserve">M מגן ברך חום</t>
  </si>
  <si>
    <t xml:space="preserve">XL מגן ברך חום</t>
  </si>
  <si>
    <t xml:space="preserve">Sמגן ברך ארוך לבן</t>
  </si>
  <si>
    <t xml:space="preserve">L        מגן ברך ארוך לבן</t>
  </si>
  <si>
    <t xml:space="preserve">Mמגן ברך ארוך לבן</t>
  </si>
  <si>
    <t xml:space="preserve">XLמגן ברך ארוך לבן</t>
  </si>
  <si>
    <t xml:space="preserve">XXLמגן ברך ארוך לבן</t>
  </si>
  <si>
    <t xml:space="preserve">48</t>
  </si>
  <si>
    <t xml:space="preserve">S מגן ברך מחמם</t>
  </si>
  <si>
    <t xml:space="preserve">L מגן ברך מחמם</t>
  </si>
  <si>
    <t xml:space="preserve">M מגן ברך מחמם</t>
  </si>
  <si>
    <t xml:space="preserve">XL מגן ברך מחמם</t>
  </si>
  <si>
    <t xml:space="preserve">XXL מגן ברך מחמם</t>
  </si>
  <si>
    <t xml:space="preserve">S מגן ירך</t>
  </si>
  <si>
    <t xml:space="preserve">L מגן ירך</t>
  </si>
  <si>
    <t xml:space="preserve">M מגן ירך</t>
  </si>
  <si>
    <t xml:space="preserve">XL מגן ירך</t>
  </si>
  <si>
    <t xml:space="preserve">XXL מגן ירך</t>
  </si>
  <si>
    <t xml:space="preserve">50</t>
  </si>
  <si>
    <t xml:space="preserve">L מתלה אשכים לאחר ניתוח</t>
  </si>
  <si>
    <t xml:space="preserve">M מתלה אשכים לאחר ניתוח</t>
  </si>
  <si>
    <t xml:space="preserve">XL מתלה אשכים לאחר ניתוח</t>
  </si>
  <si>
    <t xml:space="preserve">XXL מתלה אשכים לאחר ניתוח</t>
  </si>
  <si>
    <t xml:space="preserve">55</t>
  </si>
  <si>
    <t xml:space="preserve">L מתלה אשכים לספורטאים</t>
  </si>
  <si>
    <t xml:space="preserve">M מתלה אשכים לספורטאים</t>
  </si>
  <si>
    <t xml:space="preserve">75</t>
  </si>
  <si>
    <t xml:space="preserve">Sמיישר כתף יציב יישור גב צר</t>
  </si>
  <si>
    <t xml:space="preserve">Lמיישר כתף יציב יישור גב צר</t>
  </si>
  <si>
    <t xml:space="preserve">Mמיישר כתף יציב יישור גב צר</t>
  </si>
  <si>
    <t xml:space="preserve">XLמיישר כתף יציב יישור ג.צר</t>
  </si>
  <si>
    <t xml:space="preserve">XXL מיישר כתף יציב ישור צר</t>
  </si>
  <si>
    <t xml:space="preserve">Sמיישר כתף יציב יישור ג.רחב</t>
  </si>
  <si>
    <t xml:space="preserve">Lמיישר כתף יציב יישור רחב</t>
  </si>
  <si>
    <t xml:space="preserve">Mמיישר כתף יציב,יישור רחב</t>
  </si>
  <si>
    <t xml:space="preserve">XLמיישר כתף יציב יישור רחב</t>
  </si>
  <si>
    <t xml:space="preserve">L (מתלה ליד )כיס</t>
  </si>
  <si>
    <t xml:space="preserve">M (מתלה ליד )כיס</t>
  </si>
  <si>
    <t xml:space="preserve">S (מתלה ליד )כיס</t>
  </si>
  <si>
    <t xml:space="preserve">XL (מתלה ליד )כיס</t>
  </si>
  <si>
    <t xml:space="preserve">L מגן מרפק רגיל לבן</t>
  </si>
  <si>
    <t xml:space="preserve">M מגן מרפק רגיל לבן</t>
  </si>
  <si>
    <t xml:space="preserve">S מגן מרפק רגיל לבן</t>
  </si>
  <si>
    <t xml:space="preserve">XL מגן מרפק רגיל לבן</t>
  </si>
  <si>
    <t xml:space="preserve">XS מגן מרפק רגיל לבן</t>
  </si>
  <si>
    <t xml:space="preserve">XXL מגן מרפק רגיל לבן</t>
  </si>
  <si>
    <t xml:space="preserve">אמבט לכף הרגל</t>
  </si>
  <si>
    <t xml:space="preserve">להסרת עור קשה</t>
  </si>
  <si>
    <t xml:space="preserve">305GA</t>
  </si>
  <si>
    <t xml:space="preserve">מדרס אורטופ.מתכוון35-36</t>
  </si>
  <si>
    <t xml:space="preserve">מדרס אורטופ.מתכוון37-38</t>
  </si>
  <si>
    <t xml:space="preserve">מדרס אורטופ.מתכוון39-40</t>
  </si>
  <si>
    <t xml:space="preserve">מדרס אורטופ.מתכוון41-42</t>
  </si>
  <si>
    <t xml:space="preserve">מדרס אורטופ.מתכוון43-44</t>
  </si>
  <si>
    <t xml:space="preserve">מדרס אורטופ.מתכוון45-46</t>
  </si>
  <si>
    <t xml:space="preserve">S מגן קרסול עקב סגור+רצוע</t>
  </si>
  <si>
    <t xml:space="preserve">M מגן קרסול עקב סגור+רצוע</t>
  </si>
  <si>
    <t xml:space="preserve">L מגן קרסול עקב סגור+רצוע</t>
  </si>
  <si>
    <t xml:space="preserve">מגן קרסול עקב סגור+רצוע</t>
  </si>
  <si>
    <t xml:space="preserve">80</t>
  </si>
  <si>
    <t xml:space="preserve">S תתמתלה ליד רצועה</t>
  </si>
  <si>
    <t xml:space="preserve">M תתמתלה ליד רצועה</t>
  </si>
  <si>
    <t xml:space="preserve">T402</t>
  </si>
  <si>
    <t xml:space="preserve">S מיצב פיקה</t>
  </si>
  <si>
    <t xml:space="preserve">M מיצב פיקה</t>
  </si>
  <si>
    <t xml:space="preserve">L מיצב פיקה</t>
  </si>
  <si>
    <t xml:space="preserve">XL מיצב פיקה</t>
  </si>
  <si>
    <t xml:space="preserve">XXL מיצב פיקה</t>
  </si>
  <si>
    <t xml:space="preserve">85+</t>
  </si>
  <si>
    <t xml:space="preserve">Sמתלה ליד)כיס(+רצועת חיזוק</t>
  </si>
  <si>
    <t xml:space="preserve">Mמתלה ליד)כיס(+רצועת חיזוק</t>
  </si>
  <si>
    <t xml:space="preserve">Lמתלה ליד)כיס(+רצועת חיזוק</t>
  </si>
  <si>
    <t xml:space="preserve">XLמתלה ליד)כיס(רצועת חיזוק</t>
  </si>
  <si>
    <t xml:space="preserve">T39</t>
  </si>
  <si>
    <t xml:space="preserve">XL מגן שוק</t>
  </si>
  <si>
    <t xml:space="preserve">M מגן שוק</t>
  </si>
  <si>
    <t xml:space="preserve">S מגן שוק</t>
  </si>
  <si>
    <t xml:space="preserve">L מגן שוק</t>
  </si>
  <si>
    <t xml:space="preserve">T45</t>
  </si>
  <si>
    <t xml:space="preserve">S מגן ברך רגיל</t>
  </si>
  <si>
    <t xml:space="preserve">T</t>
  </si>
  <si>
    <t xml:space="preserve">45 M מגן ברך רגיל</t>
  </si>
  <si>
    <t xml:space="preserve">45 L מגן ברך רגיל</t>
  </si>
  <si>
    <t xml:space="preserve">45XL מגן ברך רגיל</t>
  </si>
  <si>
    <t xml:space="preserve">S מקבע כתף ויד</t>
  </si>
  <si>
    <t xml:space="preserve">M מקבע כתף ויד</t>
  </si>
  <si>
    <t xml:space="preserve">L מקבע כתף ויד</t>
  </si>
  <si>
    <t xml:space="preserve">XL מקבע כתף ויד</t>
  </si>
  <si>
    <t xml:space="preserve">XXL מקבע כתף ויד</t>
  </si>
  <si>
    <t xml:space="preserve">T95</t>
  </si>
  <si>
    <t xml:space="preserve">S מגן מרפק רגיל</t>
  </si>
  <si>
    <t xml:space="preserve">L מגן מרפק רגיל</t>
  </si>
  <si>
    <t xml:space="preserve">T35</t>
  </si>
  <si>
    <t xml:space="preserve">Mמגן קרסול+ צמדן</t>
  </si>
  <si>
    <t xml:space="preserve">Lמגן קרסול+ צמדן</t>
  </si>
  <si>
    <t xml:space="preserve">XLמגן קרסול+ צמדן</t>
  </si>
  <si>
    <t xml:space="preserve">T45X</t>
  </si>
  <si>
    <t xml:space="preserve">XL מגן ברך רגיל</t>
  </si>
  <si>
    <t xml:space="preserve">M מגן ברך רגיל</t>
  </si>
  <si>
    <t xml:space="preserve">L מגן ברך רגיל</t>
  </si>
  <si>
    <t xml:space="preserve">XXL מישר כתפיים רחב</t>
  </si>
  <si>
    <t xml:space="preserve">L-מדרס סיליקון לנעלי עקב</t>
  </si>
  <si>
    <t xml:space="preserve">M-מדרס סיליקון לנעלי עקב</t>
  </si>
  <si>
    <t xml:space="preserve">S-מדרס סיליקון לנעלי עקב</t>
  </si>
  <si>
    <t xml:space="preserve">422E</t>
  </si>
  <si>
    <t xml:space="preserve">L מגן ברך ארוך עם כרית</t>
  </si>
  <si>
    <t xml:space="preserve">S מגן ברך ארוך עם כרית</t>
  </si>
  <si>
    <t xml:space="preserve">XL מגן ברך ארוך עם כרית</t>
  </si>
  <si>
    <t xml:space="preserve">XXL מגן ברך ארוך עם כרית</t>
  </si>
  <si>
    <t xml:space="preserve">XXXL מגן ברך ארוך עם כרית</t>
  </si>
  <si>
    <t xml:space="preserve">מדרס מתכוונן47-48</t>
  </si>
  <si>
    <t xml:space="preserve">XXL מגן ברך רגיל</t>
  </si>
  <si>
    <t xml:space="preserve">מ.קרסול+עכב סגור+רצועות</t>
  </si>
  <si>
    <t xml:space="preserve">3667 מגן בוניון</t>
  </si>
  <si>
    <t xml:space="preserve">XS מגן קרסול לבן</t>
  </si>
  <si>
    <t xml:space="preserve">AC37</t>
  </si>
  <si>
    <t xml:space="preserve">מגן קרסול נושם</t>
  </si>
  <si>
    <t xml:space="preserve">AC43D</t>
  </si>
  <si>
    <t xml:space="preserve">מגן ברך + צירים</t>
  </si>
  <si>
    <t xml:space="preserve">AC45X</t>
  </si>
  <si>
    <t xml:space="preserve">מגן ברך עם תמיכות</t>
  </si>
  <si>
    <t xml:space="preserve">AC49</t>
  </si>
  <si>
    <t xml:space="preserve">מגן ירך</t>
  </si>
  <si>
    <t xml:space="preserve">AC95</t>
  </si>
  <si>
    <t xml:space="preserve">מגן מרפק</t>
  </si>
  <si>
    <t xml:space="preserve">XS מגן ברך רגיל לבן</t>
  </si>
  <si>
    <t xml:space="preserve">מפריד הלוקס</t>
  </si>
  <si>
    <t xml:space="preserve">422N</t>
  </si>
  <si>
    <t xml:space="preserve">L מ.ברך אפור+כרית סיליקון</t>
  </si>
  <si>
    <t xml:space="preserve">M מ.ברך אפור+כרית סיליקון</t>
  </si>
  <si>
    <t xml:space="preserve">XLמ.ברך אפור+כרית סיליקון</t>
  </si>
  <si>
    <t xml:space="preserve">XXL.מ.ברך אפור+כרית סיליק</t>
  </si>
  <si>
    <t xml:space="preserve">FC342-נוזל</t>
  </si>
  <si>
    <t xml:space="preserve">לציפורן חודרנית</t>
  </si>
  <si>
    <t xml:space="preserve">26</t>
  </si>
  <si>
    <t xml:space="preserve">L סד ליד דו צדדי לאחר שבר</t>
  </si>
  <si>
    <t xml:space="preserve">M סד ליד דו צדדי לאחר שבר</t>
  </si>
  <si>
    <t xml:space="preserve">S סד ליד דו צדדי לאחר שבר</t>
  </si>
  <si>
    <t xml:space="preserve">XL סד ליד דו צדדי לאחר שבר</t>
  </si>
  <si>
    <t xml:space="preserve">XXL סד ליד דו צדדי לאחר שבר</t>
  </si>
  <si>
    <t xml:space="preserve">28</t>
  </si>
  <si>
    <t xml:space="preserve">L סד לאגודל לאחר שבר</t>
  </si>
  <si>
    <t xml:space="preserve">M סד לאגודל לאחר שבר</t>
  </si>
  <si>
    <t xml:space="preserve">S סד לאגודל לאחר שבר</t>
  </si>
  <si>
    <t xml:space="preserve">XL סד לאגודל לאחר שבר</t>
  </si>
  <si>
    <t xml:space="preserve">32</t>
  </si>
  <si>
    <t xml:space="preserve">M  סד קרסול+מוטות אלומיניום</t>
  </si>
  <si>
    <t xml:space="preserve">סד לקרסול עם כריות אויר</t>
  </si>
  <si>
    <t xml:space="preserve">28-XS</t>
  </si>
  <si>
    <t xml:space="preserve">סד לאגודל לאחר שבר</t>
  </si>
  <si>
    <t xml:space="preserve">AC-27L</t>
  </si>
  <si>
    <t xml:space="preserve">סד לש.כף יד שמאל</t>
  </si>
  <si>
    <t xml:space="preserve">AC-27R</t>
  </si>
  <si>
    <t xml:space="preserve">סד לש.כף יד ימין</t>
  </si>
  <si>
    <t xml:space="preserve">סד לאגודל</t>
  </si>
  <si>
    <t xml:space="preserve">T28</t>
  </si>
  <si>
    <t xml:space="preserve">S סד לאגודל כפפה</t>
  </si>
  <si>
    <t xml:space="preserve">XL סד לאגודל כפפה</t>
  </si>
  <si>
    <t xml:space="preserve">T28C</t>
  </si>
  <si>
    <t xml:space="preserve">L סד לאגודל כפפה</t>
  </si>
  <si>
    <t xml:space="preserve">M סד לאגודל כפפה</t>
  </si>
  <si>
    <t xml:space="preserve">T28A</t>
  </si>
  <si>
    <t xml:space="preserve">S-M סד לאגודל</t>
  </si>
  <si>
    <t xml:space="preserve">L-XL סד לאגודל</t>
  </si>
  <si>
    <t xml:space="preserve">T28AC</t>
  </si>
  <si>
    <t xml:space="preserve">סכינים למקצוע</t>
  </si>
  <si>
    <t xml:space="preserve">T33</t>
  </si>
  <si>
    <t xml:space="preserve">M  סד לקרסול</t>
  </si>
  <si>
    <t xml:space="preserve">L  סד לקרסול</t>
  </si>
  <si>
    <t xml:space="preserve">27L</t>
  </si>
  <si>
    <t xml:space="preserve">M סד ליד שמאל</t>
  </si>
  <si>
    <t xml:space="preserve">L סד ליד שמאל</t>
  </si>
  <si>
    <t xml:space="preserve">XXL סד לקרסול</t>
  </si>
  <si>
    <t xml:space="preserve">T27L</t>
  </si>
  <si>
    <t xml:space="preserve">XS סד ליד דו צדדי לאחר שבר</t>
  </si>
  <si>
    <t xml:space="preserve">L עקבים לדורבן-זוג כריות</t>
  </si>
  <si>
    <t xml:space="preserve">M עקבים לדורבן-זוג כריות</t>
  </si>
  <si>
    <t xml:space="preserve">S עקבים לדורבן-זוג כריות</t>
  </si>
  <si>
    <t xml:space="preserve">308</t>
  </si>
  <si>
    <t xml:space="preserve">Lעקבים סיליקון כחול לדורבן</t>
  </si>
  <si>
    <t xml:space="preserve">Mעקבים סיליק.כחול לדורבן</t>
  </si>
  <si>
    <t xml:space="preserve">Sעקבים סיליק.כחול לדורבן</t>
  </si>
  <si>
    <t xml:space="preserve">309</t>
  </si>
  <si>
    <t xml:space="preserve">S תתמוקפאעקב סיליקון+ קשת</t>
  </si>
  <si>
    <t xml:space="preserve">PD343-פומפיה</t>
  </si>
  <si>
    <t xml:space="preserve">מאבן להסר.עור</t>
  </si>
  <si>
    <t xml:space="preserve">60</t>
  </si>
  <si>
    <t xml:space="preserve">L צוארון ספוגי</t>
  </si>
  <si>
    <t xml:space="preserve">M צוארון ספוגי</t>
  </si>
  <si>
    <t xml:space="preserve">S צוארון ספוגי</t>
  </si>
  <si>
    <t xml:space="preserve">XL צוארון ספוגי</t>
  </si>
  <si>
    <t xml:space="preserve">XXL צוארון ספוגי</t>
  </si>
  <si>
    <t xml:space="preserve">63</t>
  </si>
  <si>
    <t xml:space="preserve">M צוארון פלסטי מתכוון</t>
  </si>
  <si>
    <t xml:space="preserve">60XS</t>
  </si>
  <si>
    <t xml:space="preserve">צוארון ספוגי</t>
  </si>
  <si>
    <t xml:space="preserve">FC311-תתקרם</t>
  </si>
  <si>
    <t xml:space="preserve">דאודורנט לכף הרגל</t>
  </si>
  <si>
    <t xml:space="preserve">FC310-תתקרם</t>
  </si>
  <si>
    <t xml:space="preserve">הגנה לכף הרגל</t>
  </si>
  <si>
    <t xml:space="preserve">FC312-תתקרם</t>
  </si>
  <si>
    <t xml:space="preserve">מירוק גרגרי פילינג</t>
  </si>
  <si>
    <t xml:space="preserve">ציפורניים</t>
  </si>
  <si>
    <t xml:space="preserve">FC316</t>
  </si>
  <si>
    <t xml:space="preserve">קרם רגליים שיקומי</t>
  </si>
  <si>
    <t xml:space="preserve">רפידת נוחות-זוג</t>
  </si>
  <si>
    <t xml:space="preserve">371</t>
  </si>
  <si>
    <t xml:space="preserve">רפידת מגבת כותנה-זוג</t>
  </si>
  <si>
    <t xml:space="preserve">רפידת אנטי ריח -זוג</t>
  </si>
  <si>
    <t xml:space="preserve">רפידת בולמת זעזועים -זוג</t>
  </si>
  <si>
    <t xml:space="preserve">377</t>
  </si>
  <si>
    <t xml:space="preserve">רפ.אורטופדית ספורט זוג35</t>
  </si>
  <si>
    <t xml:space="preserve">רפ.אורטופדית ספורט זוג36</t>
  </si>
  <si>
    <t xml:space="preserve">רפ.אורטופדית ספורט זוג37</t>
  </si>
  <si>
    <t xml:space="preserve">רפ.ורטופדית ספורט זוג38</t>
  </si>
  <si>
    <t xml:space="preserve">רפ.אורטופדית ספורט זוג39</t>
  </si>
  <si>
    <t xml:space="preserve">רפידה אורטופ.ספורט זוג41</t>
  </si>
  <si>
    <t xml:space="preserve">רפידה אורטופ.ספורט זוג42</t>
  </si>
  <si>
    <t xml:space="preserve">רפידה אורט.ספורט זוג43</t>
  </si>
  <si>
    <t xml:space="preserve">רפידה אורט.ספורט זוג44</t>
  </si>
  <si>
    <t xml:space="preserve">רפ.אורטופדית ספורט זוג45</t>
  </si>
  <si>
    <t xml:space="preserve">רפ.אורטופדית ספורט זוג46</t>
  </si>
  <si>
    <t xml:space="preserve">פיקה לברך</t>
  </si>
  <si>
    <t xml:space="preserve">רצועת ""פיקה""+כרית</t>
  </si>
  <si>
    <t xml:space="preserve">רצועת טניס אלבו עם פלסטיק</t>
  </si>
  <si>
    <t xml:space="preserve">T91</t>
  </si>
  <si>
    <t xml:space="preserve">L-XL רצועת טניס אלבו</t>
  </si>
  <si>
    <t xml:space="preserve">S-M רצועת טניס אלבו</t>
  </si>
  <si>
    <t xml:space="preserve">T40</t>
  </si>
  <si>
    <t xml:space="preserve">רצועת פיקה לברך</t>
  </si>
  <si>
    <t xml:space="preserve">ריפוד סיליקון לעקב אחורי</t>
  </si>
  <si>
    <t xml:space="preserve">LF371</t>
  </si>
  <si>
    <t xml:space="preserve">ריפוד סיליקון לנעלי אצבע</t>
  </si>
  <si>
    <t xml:space="preserve">סיליק.לכרית כף הרגל373</t>
  </si>
  <si>
    <t xml:space="preserve">ריפוד סיליק.לעקב תחתון</t>
  </si>
  <si>
    <t xml:space="preserve">שרוול מסיליקון לאצבע</t>
  </si>
  <si>
    <t xml:space="preserve">שרוול מטטרזלי מסיליקון</t>
  </si>
  <si>
    <t xml:space="preserve">תחבושת אלסטית מקררת</t>
  </si>
  <si>
    <t xml:space="preserve">FC331Z-</t>
  </si>
  <si>
    <t xml:space="preserve">120 תתתרסיס מרענן לרגל</t>
  </si>
  <si>
    <t xml:space="preserve">S תומך זרוע וכתף</t>
  </si>
  <si>
    <t xml:space="preserve">M תומך זרוע וכתף</t>
  </si>
  <si>
    <t xml:space="preserve">L תומך זרוע וכתף</t>
  </si>
  <si>
    <t xml:space="preserve">XLתומך זרוע וכתף</t>
  </si>
  <si>
    <t xml:space="preserve">XXL תומך זרוע וכתף</t>
  </si>
  <si>
    <t xml:space="preserve">סד ליד דו צדדי</t>
  </si>
  <si>
    <t xml:space="preserve">397</t>
  </si>
  <si>
    <t xml:space="preserve">35-38 גרבי טיסה מידה</t>
  </si>
  <si>
    <t xml:space="preserve">39-42 גרבי טיסה מידה</t>
  </si>
  <si>
    <t xml:space="preserve">43-46 גרבי טיסה מידה</t>
  </si>
  <si>
    <t xml:space="preserve">AC40</t>
  </si>
  <si>
    <t xml:space="preserve">רצועה לפיקת הברך</t>
  </si>
  <si>
    <t xml:space="preserve">חגורת גב אפורה</t>
  </si>
  <si>
    <t xml:space="preserve">גב אפורה</t>
  </si>
  <si>
    <t xml:space="preserve">S</t>
  </si>
  <si>
    <t xml:space="preserve">11 אפורUGחגורת בטן</t>
  </si>
  <si>
    <t xml:space="preserve">M</t>
  </si>
  <si>
    <t xml:space="preserve">11 אפורUG חגורת בטן</t>
  </si>
  <si>
    <t xml:space="preserve">L</t>
  </si>
  <si>
    <t xml:space="preserve">XL</t>
  </si>
  <si>
    <t xml:space="preserve">XXL</t>
  </si>
  <si>
    <t xml:space="preserve">11אפורUGחגורת בטן</t>
  </si>
  <si>
    <t xml:space="preserve">322-S</t>
  </si>
  <si>
    <t xml:space="preserve">מגן קרסול+כרית סילקון</t>
  </si>
  <si>
    <t xml:space="preserve">322-M</t>
  </si>
  <si>
    <t xml:space="preserve">322XL</t>
  </si>
  <si>
    <t xml:space="preserve">322XXLמגן</t>
  </si>
  <si>
    <t xml:space="preserve">קרסול+כרית סילקון</t>
  </si>
  <si>
    <t xml:space="preserve">322-L</t>
  </si>
  <si>
    <t xml:space="preserve">L-XL חגורת הריון</t>
  </si>
  <si>
    <t xml:space="preserve">S-M חגורת הריון</t>
  </si>
  <si>
    <t xml:space="preserve">XXL חגורת הריון</t>
  </si>
  <si>
    <t xml:space="preserve">078C</t>
  </si>
  <si>
    <t xml:space="preserve">L'חגורת גב+סגירה כפו בז</t>
  </si>
  <si>
    <t xml:space="preserve">M'חגורת גב+סגירה כפו בז</t>
  </si>
  <si>
    <t xml:space="preserve">S'חגורת גב+סגירה כפו בז</t>
  </si>
  <si>
    <t xml:space="preserve">XLתתחגורת גב+סגירה כפו בז</t>
  </si>
  <si>
    <t xml:space="preserve">XXL חגורת גב עם חיזוקים</t>
  </si>
  <si>
    <t xml:space="preserve">804AT-W</t>
  </si>
  <si>
    <t xml:space="preserve">טייפ חבישה לספורט</t>
  </si>
  <si>
    <t xml:space="preserve">804AT-B</t>
  </si>
  <si>
    <t xml:space="preserve">804AT-C</t>
  </si>
  <si>
    <t xml:space="preserve">804AT-BL</t>
  </si>
  <si>
    <t xml:space="preserve">טייפ קינזיולוגי</t>
  </si>
  <si>
    <t xml:space="preserve">XL כרית סיליקון לעקב</t>
  </si>
  <si>
    <t xml:space="preserve">מדרס ג'ל לגבר</t>
  </si>
  <si>
    <t xml:space="preserve">95C</t>
  </si>
  <si>
    <t xml:space="preserve">M 'מגן מרפק בז</t>
  </si>
  <si>
    <t xml:space="preserve">L 'מגן מרפק בז</t>
  </si>
  <si>
    <t xml:space="preserve">S 'מגן מרפק בז</t>
  </si>
  <si>
    <t xml:space="preserve">XL'מגן מרפק בז</t>
  </si>
  <si>
    <t xml:space="preserve">XS'מגן מרפק בז</t>
  </si>
  <si>
    <t xml:space="preserve">XXL'מגן מרפק בז</t>
  </si>
  <si>
    <t xml:space="preserve">0 מ.בוניון+מפריד אצבע</t>
  </si>
  <si>
    <t xml:space="preserve">מגן זרת מסיליקון</t>
  </si>
  <si>
    <t xml:space="preserve">W מדרס לאישה</t>
  </si>
  <si>
    <t xml:space="preserve">45EC</t>
  </si>
  <si>
    <t xml:space="preserve">S 'מגן ברך ארוך בז</t>
  </si>
  <si>
    <t xml:space="preserve">M 'מגן ברך ארוך בז</t>
  </si>
  <si>
    <t xml:space="preserve">L 'מגן ברך ארוך בז</t>
  </si>
  <si>
    <t xml:space="preserve">XL'מגן ברך ארוך בז</t>
  </si>
  <si>
    <t xml:space="preserve">XXL'מגן ברך ארוך בז</t>
  </si>
  <si>
    <t xml:space="preserve">XS מגן יד</t>
  </si>
  <si>
    <t xml:space="preserve">78A</t>
  </si>
  <si>
    <t xml:space="preserve">L מגן למפרק כתף</t>
  </si>
  <si>
    <t xml:space="preserve">238S</t>
  </si>
  <si>
    <t xml:space="preserve">סד ליישור אצבע</t>
  </si>
  <si>
    <t xml:space="preserve">238M</t>
  </si>
  <si>
    <t xml:space="preserve">238L</t>
  </si>
  <si>
    <t xml:space="preserve">238XL</t>
  </si>
  <si>
    <t xml:space="preserve">313</t>
  </si>
  <si>
    <t xml:space="preserve">סט פלסטרים נגד שפשופים</t>
  </si>
  <si>
    <t xml:space="preserve">370K</t>
  </si>
  <si>
    <t xml:space="preserve">0 רפידת לילדים אנטי ריח</t>
  </si>
  <si>
    <t xml:space="preserve">35-37</t>
  </si>
  <si>
    <t xml:space="preserve">רפידת ספורט 376 מידה</t>
  </si>
  <si>
    <t xml:space="preserve">41-43</t>
  </si>
  <si>
    <t xml:space="preserve">46-47</t>
  </si>
  <si>
    <t xml:space="preserve">3672</t>
  </si>
  <si>
    <t xml:space="preserve">שרוול מגן לבוניון</t>
  </si>
  <si>
    <t xml:space="preserve">806CB-BEIGE</t>
  </si>
  <si>
    <t xml:space="preserve">תחבושת א.נצמ</t>
  </si>
  <si>
    <t xml:space="preserve">806CB-BLACK</t>
  </si>
  <si>
    <t xml:space="preserve">806CB-GREEN</t>
  </si>
  <si>
    <t xml:space="preserve">806CB-PINK</t>
  </si>
  <si>
    <t xml:space="preserve">SC25</t>
  </si>
  <si>
    <t xml:space="preserve">S חבק יד</t>
  </si>
  <si>
    <t xml:space="preserve">M חבק יד</t>
  </si>
  <si>
    <t xml:space="preserve">L חבק יד</t>
  </si>
  <si>
    <t xml:space="preserve">XL חבק יד</t>
  </si>
  <si>
    <t xml:space="preserve">SC95</t>
  </si>
  <si>
    <t xml:space="preserve">S מגן מרפק</t>
  </si>
  <si>
    <t xml:space="preserve">M מגן מרפק</t>
  </si>
  <si>
    <t xml:space="preserve">L מגן מרפק</t>
  </si>
  <si>
    <t xml:space="preserve">XLמגן מרפק</t>
  </si>
  <si>
    <t xml:space="preserve">SC39</t>
  </si>
  <si>
    <t xml:space="preserve">XXLמגן שוק</t>
  </si>
  <si>
    <t xml:space="preserve">SC35L</t>
  </si>
  <si>
    <t xml:space="preserve">S מגן קרסול שמאל</t>
  </si>
  <si>
    <t xml:space="preserve">M מגן קרסול שמאל</t>
  </si>
  <si>
    <t xml:space="preserve">L מגן קרסול שמאל</t>
  </si>
  <si>
    <t xml:space="preserve">XL מגן קרסול שמאל</t>
  </si>
  <si>
    <t xml:space="preserve">SC35R</t>
  </si>
  <si>
    <t xml:space="preserve">S מגן קרסול ימין</t>
  </si>
  <si>
    <t xml:space="preserve">M מגן קרסול ימין</t>
  </si>
  <si>
    <t xml:space="preserve">L מגן קרסול ימין</t>
  </si>
  <si>
    <t xml:space="preserve">XLמגן קרסול ימין</t>
  </si>
  <si>
    <t xml:space="preserve">332CL'מייצב</t>
  </si>
  <si>
    <t xml:space="preserve">קרסול עם שרוכים בז</t>
  </si>
  <si>
    <t xml:space="preserve">332CM'מייצב</t>
  </si>
  <si>
    <t xml:space="preserve">332CS'מייצב</t>
  </si>
  <si>
    <t xml:space="preserve">332CXLמייצב</t>
  </si>
  <si>
    <t xml:space="preserve">SC422</t>
  </si>
  <si>
    <t xml:space="preserve">S מגן ברך</t>
  </si>
  <si>
    <t xml:space="preserve">M מגן ברך</t>
  </si>
  <si>
    <t xml:space="preserve">L מגן ברך</t>
  </si>
  <si>
    <t xml:space="preserve">XL מגן ברך</t>
  </si>
  <si>
    <t xml:space="preserve">XXLמגן ברך</t>
  </si>
  <si>
    <t xml:space="preserve">XXL מגן למפרק כתף</t>
  </si>
  <si>
    <t xml:space="preserve">267LC</t>
  </si>
  <si>
    <t xml:space="preserve">L-XL 'סד יד שמאל בז</t>
  </si>
  <si>
    <t xml:space="preserve">S-M'סד יד שמאל בז</t>
  </si>
  <si>
    <t xml:space="preserve">267RC</t>
  </si>
  <si>
    <t xml:space="preserve">L-XL 'סד יד ימין בז</t>
  </si>
  <si>
    <t xml:space="preserve">S-M 'סד יד ימין בז</t>
  </si>
  <si>
    <t xml:space="preserve">267LB</t>
  </si>
  <si>
    <t xml:space="preserve">L-XLסד יד שמאל שחור</t>
  </si>
  <si>
    <t xml:space="preserve">S-M סד יד שמאל שחור</t>
  </si>
  <si>
    <t xml:space="preserve">267RB</t>
  </si>
  <si>
    <t xml:space="preserve">L-XLסד יד ימין שחור</t>
  </si>
  <si>
    <t xml:space="preserve">S-M סד יד ימין שחור</t>
  </si>
  <si>
    <t xml:space="preserve">BE</t>
  </si>
  <si>
    <t xml:space="preserve">CARE  תחבושת אלסטית 5 ס""מ</t>
  </si>
  <si>
    <t xml:space="preserve">CARE KT BLACK</t>
  </si>
  <si>
    <t xml:space="preserve">CARE KT BLUE</t>
  </si>
  <si>
    <t xml:space="preserve">211L</t>
  </si>
  <si>
    <t xml:space="preserve">כפפות לחץ</t>
  </si>
  <si>
    <t xml:space="preserve">211M</t>
  </si>
  <si>
    <t xml:space="preserve">211S</t>
  </si>
  <si>
    <t xml:space="preserve">211XL</t>
  </si>
  <si>
    <t xml:space="preserve">212L</t>
  </si>
  <si>
    <t xml:space="preserve">כפפות אגודל לחץ</t>
  </si>
  <si>
    <t xml:space="preserve">212M</t>
  </si>
  <si>
    <t xml:space="preserve">212S</t>
  </si>
  <si>
    <t xml:space="preserve">212XL</t>
  </si>
  <si>
    <t xml:space="preserve">302SP</t>
  </si>
  <si>
    <t xml:space="preserve">M מדרס ג'ל ספורט לגבר</t>
  </si>
  <si>
    <t xml:space="preserve">Wמדרס ג'ל ספורט לאישה</t>
  </si>
  <si>
    <t xml:space="preserve">386</t>
  </si>
  <si>
    <t xml:space="preserve">מיישר בוניון-האלוקס ולגוס</t>
  </si>
  <si>
    <t xml:space="preserve">AC75</t>
  </si>
  <si>
    <t xml:space="preserve">מישר כתפיים אקטיב</t>
  </si>
  <si>
    <t xml:space="preserve">85K</t>
  </si>
  <si>
    <t xml:space="preserve">מתלה ליד לילדים</t>
  </si>
  <si>
    <t xml:space="preserve">XXL  מיישר כתפיים אקטיב</t>
  </si>
  <si>
    <t xml:space="preserve">605XL</t>
  </si>
  <si>
    <t xml:space="preserve">מסכה אלה</t>
  </si>
  <si>
    <t xml:space="preserve">35B</t>
  </si>
  <si>
    <t xml:space="preserve">L מגן קרסול שחור</t>
  </si>
  <si>
    <t xml:space="preserve">XL מגן קרסול שחור</t>
  </si>
  <si>
    <t xml:space="preserve">M מגן קרסול שחור</t>
  </si>
  <si>
    <t xml:space="preserve">S מגן קרסול שחור</t>
  </si>
  <si>
    <t xml:space="preserve">XXL מגן קרסול שחור</t>
  </si>
  <si>
    <t xml:space="preserve">45B</t>
  </si>
  <si>
    <t xml:space="preserve">L מגן ברך שחור</t>
  </si>
  <si>
    <t xml:space="preserve">XL מגן ברך שחור</t>
  </si>
  <si>
    <t xml:space="preserve">M מגן ברך שחור</t>
  </si>
  <si>
    <t xml:space="preserve">S מגן ברך שחור</t>
  </si>
  <si>
    <t xml:space="preserve">XXLמגן ברך שחור</t>
  </si>
  <si>
    <t xml:space="preserve">95B</t>
  </si>
  <si>
    <t xml:space="preserve">L מגן מרפק שחור</t>
  </si>
  <si>
    <t xml:space="preserve">M מגן מרפק שחור</t>
  </si>
  <si>
    <t xml:space="preserve">S מגן מרפק שחור</t>
  </si>
  <si>
    <t xml:space="preserve">XL מגן מרפק שחור</t>
  </si>
  <si>
    <t xml:space="preserve">XXLמגן מרפק שחור</t>
  </si>
  <si>
    <t xml:space="preserve">סד</t>
  </si>
  <si>
    <t xml:space="preserve">קיבוע לאצבע הדק</t>
  </si>
  <si>
    <t xml:space="preserve">381</t>
  </si>
  <si>
    <t xml:space="preserve">HV רצועה אלסטית</t>
  </si>
  <si>
    <t xml:space="preserve">301CW</t>
  </si>
  <si>
    <t xml:space="preserve">36-40 'רפידת ג'ל בז</t>
  </si>
  <si>
    <t xml:space="preserve">301CM</t>
  </si>
  <si>
    <t xml:space="preserve">41-45 'רפידת ג'ל בז</t>
  </si>
  <si>
    <t xml:space="preserve">301JW</t>
  </si>
  <si>
    <t xml:space="preserve">רפידת ג'ל כחול36-40</t>
  </si>
  <si>
    <t xml:space="preserve">שרוול</t>
  </si>
  <si>
    <t xml:space="preserve">לגבס קצר יד</t>
  </si>
  <si>
    <t xml:space="preserve">לגבס ארוך יד</t>
  </si>
  <si>
    <t xml:space="preserve">לגבס קצר רגל</t>
  </si>
  <si>
    <t xml:space="preserve">לגבס ארוך רגל</t>
  </si>
  <si>
    <t xml:space="preserve">807CB-Cתחבושת</t>
  </si>
  <si>
    <t xml:space="preserve">נצמדת בז' 20 מ""מ</t>
  </si>
  <si>
    <t xml:space="preserve">807B-Bתחבושת</t>
  </si>
  <si>
    <t xml:space="preserve">נצמדת שחור 20 מ""מ</t>
  </si>
  <si>
    <t xml:space="preserve">807CB-BLתחבושת</t>
  </si>
  <si>
    <t xml:space="preserve">נצמדת כחול20מ""מ</t>
  </si>
  <si>
    <t xml:space="preserve">807CB-P</t>
  </si>
  <si>
    <t xml:space="preserve">תחבושת נצמדת ורוד 20ממ</t>
  </si>
  <si>
    <t xml:space="preserve">ST3555</t>
  </si>
  <si>
    <t xml:space="preserve">S-Mגרב לילה לטיפ.בדורבן</t>
  </si>
  <si>
    <t xml:space="preserve">M חגורה אחרי ניתוח</t>
  </si>
  <si>
    <t xml:space="preserve">310Lמדרס</t>
  </si>
  <si>
    <t xml:space="preserve">3/4לכאבי דורבן וספורט</t>
  </si>
  <si>
    <t xml:space="preserve">85B</t>
  </si>
  <si>
    <t xml:space="preserve">L מתלה רשת לזרוע שחור</t>
  </si>
  <si>
    <t xml:space="preserve">M מתלה רשת לזרוע שחור</t>
  </si>
  <si>
    <t xml:space="preserve">XL מתלה רשת לזרוע שחור</t>
  </si>
  <si>
    <t xml:space="preserve">S מתלה רשת לזרוע שחור</t>
  </si>
  <si>
    <t xml:space="preserve">239B</t>
  </si>
  <si>
    <t xml:space="preserve">S-M STRAP4U</t>
  </si>
  <si>
    <t xml:space="preserve">239P</t>
  </si>
  <si>
    <t xml:space="preserve">L-XL STRAP4U</t>
  </si>
  <si>
    <t xml:space="preserve">דאודורנט אנטיבק.נעל333</t>
  </si>
  <si>
    <t xml:space="preserve">3444B</t>
  </si>
  <si>
    <t xml:space="preserve">גרבי ג'ל לריכוך עור העקב</t>
  </si>
  <si>
    <t xml:space="preserve">T25B</t>
  </si>
  <si>
    <t xml:space="preserve">חבק יד אגודלי</t>
  </si>
  <si>
    <t xml:space="preserve">078XXL</t>
  </si>
  <si>
    <t xml:space="preserve">91B</t>
  </si>
  <si>
    <t xml:space="preserve">חבק טניס אלבו</t>
  </si>
  <si>
    <t xml:space="preserve">מדרסי</t>
  </si>
  <si>
    <t xml:space="preserve">אפיק ג'ל מולט.ספורט35-38</t>
  </si>
  <si>
    <t xml:space="preserve">אפיק ג'ל מולטי ספור39-42</t>
  </si>
  <si>
    <t xml:space="preserve">אפיק ג'ל מולט.ספורט43-47</t>
  </si>
  <si>
    <t xml:space="preserve">35-38</t>
  </si>
  <si>
    <t xml:space="preserve">מדרסי אפיק ג'ל נוחות</t>
  </si>
  <si>
    <t xml:space="preserve">39-42</t>
  </si>
  <si>
    <t xml:space="preserve">43-47</t>
  </si>
  <si>
    <t xml:space="preserve">מדרסי אפיק ג'ל עבודה</t>
  </si>
  <si>
    <t xml:space="preserve">XXL מגן קרסול חום</t>
  </si>
  <si>
    <t xml:space="preserve">L סד לילה שחור לבוהן שמאל</t>
  </si>
  <si>
    <t xml:space="preserve">L סד לילה שחור לבוהן ימין</t>
  </si>
  <si>
    <t xml:space="preserve">תרסיס דאודורנט לכף הרגל</t>
  </si>
  <si>
    <t xml:space="preserve">1 תומך ברך גנושילד</t>
  </si>
  <si>
    <t xml:space="preserve">2 תומך ברך גנושילד</t>
  </si>
  <si>
    <t xml:space="preserve">3 תומך ברך גנושילד</t>
  </si>
  <si>
    <t xml:space="preserve">4 תומך ברך גנושילד</t>
  </si>
  <si>
    <t xml:space="preserve">5 תומך ברך גנושילד</t>
  </si>
  <si>
    <t xml:space="preserve">Quantity (units)</t>
  </si>
  <si>
    <t xml:space="preserve">922S.חבק</t>
  </si>
  <si>
    <t xml:space="preserve">95+</t>
  </si>
  <si>
    <t xml:space="preserve">L מגן מרפק+רצועה לטניס</t>
  </si>
  <si>
    <t xml:space="preserve">Raw source rows - 2026 - customer column "0קופות חולים" only (from PPLAY1 of uriel report), unchanged</t>
  </si>
  <si>
    <t xml:space="preserve">מגן ברך+כרית ג'ל</t>
  </si>
  <si>
    <t xml:space="preserve">XL ח.גב מגנטית+מוטות תמיכה</t>
  </si>
  <si>
    <t xml:space="preserve">S ח.הריון מכנס למניעת כאבים</t>
  </si>
  <si>
    <t xml:space="preserve">M ח.הריון מכנס למניעת כאבים</t>
  </si>
  <si>
    <t xml:space="preserve">S חגורת שבר לצד שמאל</t>
  </si>
  <si>
    <t xml:space="preserve">XLחגורת שבר לצד שמאל</t>
  </si>
  <si>
    <t xml:space="preserve">922XLחבק</t>
  </si>
  <si>
    <t xml:space="preserve">L-XLחגורת הריון בכאב.חזק</t>
  </si>
  <si>
    <t xml:space="preserve">M חגורת צלעות לאשה</t>
  </si>
  <si>
    <t xml:space="preserve">L חגורת צלעות לאשה</t>
  </si>
  <si>
    <t xml:space="preserve">M מגן ברך מוצלב+מוט</t>
  </si>
  <si>
    <t xml:space="preserve">S מתלה אשכים לאחר ניתוח</t>
  </si>
  <si>
    <t xml:space="preserve">XL מתלה אשכים לספורטאים</t>
  </si>
  <si>
    <t xml:space="preserve">74</t>
  </si>
  <si>
    <t xml:space="preserve">L-XL מיצב כתפיים</t>
  </si>
  <si>
    <t xml:space="preserve">T43SKI</t>
  </si>
  <si>
    <t xml:space="preserve">L מגן ברך לסקי</t>
  </si>
  <si>
    <t xml:space="preserve">T45X-XXLמגן</t>
  </si>
  <si>
    <t xml:space="preserve">ברך רגיל</t>
  </si>
  <si>
    <t xml:space="preserve">XL סד קרסול+מוטות אלומיניום</t>
  </si>
  <si>
    <t xml:space="preserve">XLסד ליד שמאל</t>
  </si>
  <si>
    <t xml:space="preserve">27</t>
  </si>
  <si>
    <t xml:space="preserve">R-M סד ליד ימין</t>
  </si>
  <si>
    <t xml:space="preserve">רפ.אורטופדית ספורט זוג40</t>
  </si>
  <si>
    <t xml:space="preserve">922XXLמגן</t>
  </si>
  <si>
    <t xml:space="preserve">מרפק+כרית סילקון</t>
  </si>
  <si>
    <t xml:space="preserve">11UC</t>
  </si>
  <si>
    <t xml:space="preserve">S'תתחגורת בטן עממית בז</t>
  </si>
  <si>
    <t xml:space="preserve">44-45</t>
  </si>
  <si>
    <t xml:space="preserve">S-M</t>
  </si>
  <si>
    <t xml:space="preserve">099 חגורת גב שרוכים</t>
  </si>
  <si>
    <t xml:space="preserve">L-XL</t>
  </si>
  <si>
    <t xml:space="preserve">LF378</t>
  </si>
  <si>
    <t xml:space="preserve">S מדרס ג'ל לנעלי עקב</t>
  </si>
  <si>
    <t xml:space="preserve">M מדרס ג'ל לנעלי עקב</t>
  </si>
  <si>
    <t xml:space="preserve">L מדרס ג'ל לנעלי עקב</t>
  </si>
  <si>
    <t xml:space="preserve">ST3555L-XLגרב</t>
  </si>
  <si>
    <t xml:space="preserve">לילה לטיפ.בדורבן</t>
  </si>
  <si>
    <t xml:space="preserve">S חגורה אחרי ניתוח</t>
  </si>
  <si>
    <t xml:space="preserve">L חגורה אחרי ניתוח</t>
  </si>
  <si>
    <t xml:space="preserve">XL  חגורה אחרי ניתוח</t>
  </si>
  <si>
    <t xml:space="preserve">XXL חגורה אחרי ניתוח</t>
  </si>
  <si>
    <t xml:space="preserve">טיסה אנטי בקטרי35-38</t>
  </si>
  <si>
    <t xml:space="preserve">טיסה אנטי בקטרי39-42</t>
  </si>
  <si>
    <t xml:space="preserve">טיסה אנטי בקטרי43-46</t>
  </si>
  <si>
    <t xml:space="preserve">395B</t>
  </si>
  <si>
    <t xml:space="preserve">גרבי קיץ אנטי בקטריא39-42</t>
  </si>
  <si>
    <t xml:space="preserve">גרבי קיץ אנטי בקטריא43-46</t>
  </si>
  <si>
    <t xml:space="preserve">חבק שורש לכף היד</t>
  </si>
  <si>
    <t xml:space="preserve">חבק יד</t>
  </si>
  <si>
    <t xml:space="preserve">חבק לקרסול</t>
  </si>
  <si>
    <t xml:space="preserve">חגורת בטן</t>
  </si>
  <si>
    <t xml:space="preserve">XS חגורת פאבליק</t>
  </si>
  <si>
    <t xml:space="preserve">S חגורת פאבליק</t>
  </si>
  <si>
    <t xml:space="preserve">M חגורת פאבליק</t>
  </si>
  <si>
    <t xml:space="preserve">L חגורת פאבליק</t>
  </si>
  <si>
    <t xml:space="preserve">202</t>
  </si>
  <si>
    <t xml:space="preserve">ONE SIZE חבק יד</t>
  </si>
  <si>
    <t xml:space="preserve">L שמאל CTS כפפות</t>
  </si>
  <si>
    <t xml:space="preserve">M שמאל CTS כפפות</t>
  </si>
  <si>
    <t xml:space="preserve">S שמאל CTS כפפות</t>
  </si>
  <si>
    <t xml:space="preserve">L ימין CTS כפפות</t>
  </si>
  <si>
    <t xml:space="preserve">M ימין CTS כפפות</t>
  </si>
  <si>
    <t xml:space="preserve">S ימין CTS כפפות</t>
  </si>
  <si>
    <t xml:space="preserve">מגן מרפק לטניס</t>
  </si>
  <si>
    <t xml:space="preserve">H מגן ברך עם ציר</t>
  </si>
  <si>
    <t xml:space="preserve">מקבע קרסול</t>
  </si>
  <si>
    <t xml:space="preserve">סד אגודלי עם מוט תמיכה</t>
  </si>
  <si>
    <t xml:space="preserve">T40B</t>
  </si>
  <si>
    <t xml:space="preserve">רצועה לפיקה</t>
  </si>
  <si>
    <t xml:space="preserve">6 תומך ברך גנושילד</t>
  </si>
  <si>
    <t xml:space="preserve">M מגן מרפק+רצועה לטניס</t>
  </si>
  <si>
    <t xml:space="preserve">27R</t>
  </si>
  <si>
    <t xml:space="preserve">XLסד ליד ימין</t>
  </si>
  <si>
    <t xml:space="preserve">Raw source rows - Sale Type = "113 - Kupat Holim Meuhedet" only (from NetSuite "1-Sales: Customer by Item", 01/01/2025-31/12/2026), unchanged</t>
  </si>
  <si>
    <t xml:space="preserve">Item Name (CODE)</t>
  </si>
  <si>
    <t xml:space="preserve">Item: Display Name</t>
  </si>
  <si>
    <t xml:space="preserve">Amount 2025 (Net, ₪)</t>
  </si>
  <si>
    <t xml:space="preserve">Amount 2026 (Net, ₪)</t>
  </si>
  <si>
    <t xml:space="preserve">(Unassigned / adjustment row - no item code in source)</t>
  </si>
  <si>
    <t xml:space="preserve">סד יד דו צדדי</t>
  </si>
  <si>
    <t xml:space="preserve">סד לתמיכה פרק כף יד ואגודל</t>
  </si>
  <si>
    <t xml:space="preserve">מדרס מג'ל</t>
  </si>
  <si>
    <t xml:space="preserve">כרית סיליקון לעקב</t>
  </si>
  <si>
    <t xml:space="preserve">כ.הפרדת אצבעות ס</t>
  </si>
  <si>
    <t xml:space="preserve">מפריד אצבע</t>
  </si>
  <si>
    <t xml:space="preserve">שרוול מסיליקון ל</t>
  </si>
  <si>
    <t xml:space="preserve">מגן בוניון עדין לנעל צרה</t>
  </si>
  <si>
    <t xml:space="preserve">מגן ברך רגיל</t>
  </si>
  <si>
    <t xml:space="preserve">מגן ברך ארוך</t>
  </si>
  <si>
    <t xml:space="preserve">חגורת קיבוע לכתף</t>
  </si>
  <si>
    <t xml:space="preserve">מלח אמבט לכף הרגל</t>
  </si>
  <si>
    <t xml:space="preserve">דאודורנט ספרי לנעל 100 מל</t>
  </si>
  <si>
    <t xml:space="preserve">אבן שיוף להסירת</t>
  </si>
  <si>
    <t xml:space="preserve">חגורת גב+סגירה כפולה</t>
  </si>
  <si>
    <t xml:space="preserve">חגורת היריון</t>
  </si>
  <si>
    <t xml:space="preserve">מגן יד</t>
  </si>
  <si>
    <t xml:space="preserve">מגן קרסול סגור</t>
  </si>
  <si>
    <t xml:space="preserve">מגן קרסול+ עקב סגור+רצועות</t>
  </si>
  <si>
    <t xml:space="preserve">מגן קרסול פתוח</t>
  </si>
  <si>
    <t xml:space="preserve">כרית עם סרט אלסט</t>
  </si>
  <si>
    <t xml:space="preserve">טבעת אלסטית מסיליקון</t>
  </si>
  <si>
    <t xml:space="preserve">מפריד הלוקס עם כרית</t>
  </si>
  <si>
    <t xml:space="preserve">מדבקה רב פעמית ל</t>
  </si>
  <si>
    <t xml:space="preserve">מ. בוניון + מפריד אצבע</t>
  </si>
  <si>
    <t xml:space="preserve">אצבעון מסיליקון</t>
  </si>
  <si>
    <t xml:space="preserve">רצועות פיקה לברך</t>
  </si>
  <si>
    <t xml:space="preserve">סטנד URIEL שחור מסתובב מתכת 35 ס''מ לבתי מרקחת</t>
  </si>
  <si>
    <t xml:space="preserve">מתלה יד-כיס</t>
  </si>
  <si>
    <t xml:space="preserve">גרבי נוחות קיץ שחור</t>
  </si>
  <si>
    <t xml:space="preserve">טלק לכף הרגל מועשר באלוורה</t>
  </si>
  <si>
    <t xml:space="preserve">רפידת אנטי-ריח</t>
  </si>
  <si>
    <t xml:space="preserve">גרבי טיסה</t>
  </si>
  <si>
    <t xml:space="preserve">מגן ברך מוצלב+מוטות</t>
  </si>
  <si>
    <t xml:space="preserve">מגן קרסול</t>
  </si>
  <si>
    <t xml:space="preserve">מגן ברך עם כרית ג'ל</t>
  </si>
  <si>
    <t xml:space="preserve">חגורה אוורירית איטלקית</t>
  </si>
  <si>
    <t xml:space="preserve">רצועה לפיקה+כרית</t>
  </si>
  <si>
    <t xml:space="preserve">חגורת שבר לצד שמאל</t>
  </si>
  <si>
    <t xml:space="preserve">קינזיולוגי טייפ</t>
  </si>
  <si>
    <t xml:space="preserve">קוצץ ציפורניים</t>
  </si>
  <si>
    <t xml:space="preserve">פומפיה להסרת עור</t>
  </si>
  <si>
    <t xml:space="preserve">סד יד</t>
  </si>
  <si>
    <t xml:space="preserve">מדבקה ג'ל למניעת יבלות</t>
  </si>
  <si>
    <t xml:space="preserve">מדבקה גדולה מסיליקון</t>
  </si>
  <si>
    <t xml:space="preserve">מיישר בוהן</t>
  </si>
  <si>
    <t xml:space="preserve">מדבקה לשחרור לחץ</t>
  </si>
  <si>
    <t xml:space="preserve">גרבי נוחות חורף אפור</t>
  </si>
  <si>
    <t xml:space="preserve">גרבי נוחות חורף לבן</t>
  </si>
  <si>
    <t xml:space="preserve">מכשיר להסרת עור</t>
  </si>
  <si>
    <t xml:space="preserve">סד לקרסול</t>
  </si>
  <si>
    <t xml:space="preserve">כרית מטטרזלי מס</t>
  </si>
  <si>
    <t xml:space="preserve">מדבקה מסיליקון ל</t>
  </si>
  <si>
    <t xml:space="preserve">בננה לתמכת אצבעו</t>
  </si>
  <si>
    <t xml:space="preserve">טבעת אלסטית מסי</t>
  </si>
  <si>
    <t xml:space="preserve">מכשיר ליצוב הבוהן</t>
  </si>
  <si>
    <t xml:space="preserve">גרבי נוחות קיץ לבן</t>
  </si>
  <si>
    <t xml:space="preserve">חגורת שבר לצד ימין</t>
  </si>
  <si>
    <t xml:space="preserve">ריפוד סיליקון לעקב תחתון</t>
  </si>
  <si>
    <t xml:space="preserve">מגן לכתף ימין/שמאל</t>
  </si>
  <si>
    <t xml:space="preserve">חגורה אחרי ניתוח</t>
  </si>
  <si>
    <t xml:space="preserve">URIEL STRAP4U BLACK L-XL</t>
  </si>
  <si>
    <t xml:space="preserve">URIEL STRAP4U BLACK S-M</t>
  </si>
  <si>
    <t xml:space="preserve">URIEL STRAP4U PINK S-M</t>
  </si>
  <si>
    <t xml:space="preserve">URIEL STRAP4U TR L-XL</t>
  </si>
  <si>
    <t xml:space="preserve">רפידת נוחות</t>
  </si>
  <si>
    <t xml:space="preserve">רפידה בולמת זעזועים</t>
  </si>
  <si>
    <t xml:space="preserve">ICE &amp; GO</t>
  </si>
  <si>
    <t xml:space="preserve">מדרס מטטרזלי</t>
  </si>
  <si>
    <t xml:space="preserve">סכין להחלפה</t>
  </si>
  <si>
    <t xml:space="preserve">מגן ברך+ציר H</t>
  </si>
  <si>
    <t xml:space="preserve">חבק טניס תוספת מ</t>
  </si>
  <si>
    <t xml:space="preserve">חגורת גב+סגירה כפולה בז'</t>
  </si>
  <si>
    <t xml:space="preserve">גרבי נוחות חורף שחור</t>
  </si>
  <si>
    <t xml:space="preserve">חגורה למנותחי בית החזה</t>
  </si>
  <si>
    <t xml:space="preserve">חגורת שבר דו צדדית</t>
  </si>
  <si>
    <t xml:space="preserve">כרית חום וקור</t>
  </si>
  <si>
    <t xml:space="preserve">מישר כתפיים רחב+תמיכה לבית השח</t>
  </si>
  <si>
    <t xml:space="preserve">חגורת בטן עממית</t>
  </si>
  <si>
    <t xml:space="preserve">חגורה למנותחי בית חזה</t>
  </si>
  <si>
    <t xml:space="preserve">מגן קרסול עם תמיכה</t>
  </si>
  <si>
    <t xml:space="preserve">ריפוד סיליקון לכרית כף הרגל</t>
  </si>
  <si>
    <t xml:space="preserve">LF377 M</t>
  </si>
  <si>
    <t xml:space="preserve">מדרס סיליקון לנעלי עקב</t>
  </si>
  <si>
    <t xml:space="preserve">חגורה לשבר טבור</t>
  </si>
  <si>
    <t xml:space="preserve">מגן שוק רגיל</t>
  </si>
  <si>
    <t xml:space="preserve">גרבי נוחות קיץ אפור</t>
  </si>
  <si>
    <t xml:space="preserve">מיצב כתפיים</t>
  </si>
  <si>
    <t xml:space="preserve">388R 0</t>
  </si>
  <si>
    <t xml:space="preserve">סטנד שחור URIEL  מתפרק גב</t>
  </si>
  <si>
    <t xml:space="preserve">מדרס מתכוונן לגיל</t>
  </si>
  <si>
    <t xml:space="preserve">מ.ברך ארוך+כ. סיל.+ציר D</t>
  </si>
  <si>
    <t xml:space="preserve">מיצב פיקה</t>
  </si>
  <si>
    <t xml:space="preserve">Product Code List Comparison - מאוחדת (PPLAY1) vs 113 - Kupat Holim Meuhedet (NetSuite)</t>
  </si>
  <si>
    <t xml:space="preserve">Two independent lists, each sorted on its own (NOT row-matched against each other). Yellow highlight = this code appears to represent the same product as some code in the other list (by visual/manual judgement based on the base-code pattern found during analysis - e.g. PPLAY1 "078" vs NetSuite "078 L"/"078 XL"/"078 M"/"078 S"; PPLAY1 "34+" vs NetSuite "34+ M"/"34+ L" etc). No percentages/formulas here - visual reference only.</t>
  </si>
  <si>
    <t xml:space="preserve">מאוחדת (PPLAY1) - Product Code (107)</t>
  </si>
  <si>
    <t xml:space="preserve">113 - Kupat Holim Meuhedet (NetSuite) - Product Code (232)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</si>
</sst>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#,##0"/>
    <numFmt numFmtId="167" formatCode="0%"/>
    <numFmt numFmtId="168" formatCode="0.0"/>
    <numFmt numFmtId="169" formatCode="0.000000"/>
    <numFmt numFmtId="170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E1F2"/>
      </patternFill>
    </fill>
    <fill>
      <patternFill patternType="solid">
        <fgColor rgb="FFED7D31"/>
        <bgColor rgb="FFFF8080"/>
      </patternFill>
    </fill>
    <fill>
      <patternFill patternType="solid">
        <fgColor rgb="FFC6E0B4"/>
        <bgColor rgb="FFD9D9D9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8" min="5" style="1" width="14"/>
    <col collapsed="false" customWidth="true" hidden="false" outlineLevel="0" max="9" min="9" style="1" width="13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4" min="13" style="1" width="13"/>
    <col collapsed="false" customWidth="true" hidden="false" outlineLevel="0" max="15" min="15" style="1" width="11"/>
    <col collapsed="false" customWidth="true" hidden="false" outlineLevel="0" max="17" min="16" style="1" width="14"/>
    <col collapsed="false" customWidth="true" hidden="false" outlineLevel="0" max="18" min="18" style="1" width="1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4" t="n">
        <v>46284</v>
      </c>
    </row>
    <row r="3" customFormat="false" ht="54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5" customFormat="false" ht="31.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</row>
    <row r="6" customFormat="false" ht="15" hidden="false" customHeight="true" outlineLevel="0" collapsed="false">
      <c r="A6" s="7" t="s">
        <v>21</v>
      </c>
      <c r="B6" s="8" t="s">
        <v>21</v>
      </c>
      <c r="C6" s="8" t="n">
        <v>1</v>
      </c>
      <c r="D6" s="9" t="n">
        <f aca="false">COUNTA('מאוחדת (PPLAY1)'!$A$9:$A$115)</f>
        <v>107</v>
      </c>
      <c r="E6" s="9" t="n">
        <f aca="false">SUMPRODUCT(--(('מאוחדת (PPLAY1)'!$C$9:$C$115&lt;&gt;0)+('מאוחדת (PPLAY1)'!$H$9:$H$115&lt;&gt;0)&gt;0))</f>
        <v>0</v>
      </c>
      <c r="F6" s="9" t="n">
        <f aca="false">SUMPRODUCT(--(('מאוחדת (PPLAY1)'!$D$9:$D$115&lt;&gt;0)+('מאוחדת (PPLAY1)'!$I$9:$I$115&lt;&gt;0)&gt;0))</f>
        <v>107</v>
      </c>
      <c r="G6" s="9" t="n">
        <f aca="false">'מאוחדת (PPLAY1)'!B5</f>
        <v>0</v>
      </c>
      <c r="H6" s="9" t="n">
        <f aca="false">'מאוחדת (PPLAY1)'!D5</f>
        <v>107</v>
      </c>
      <c r="I6" s="9" t="n">
        <f aca="false">'מאוחדת (PPLAY1)'!B6</f>
        <v>0</v>
      </c>
      <c r="J6" s="9" t="n">
        <f aca="false">'מאוחדת (PPLAY1)'!D6</f>
        <v>0</v>
      </c>
      <c r="K6" s="9" t="n">
        <f aca="false">'מאוחדת (PPLAY1)'!F6</f>
        <v>10037</v>
      </c>
      <c r="L6" s="9" t="n">
        <f aca="false">'מאוחדת (PPLAY1)'!H6</f>
        <v>307514.4</v>
      </c>
      <c r="M6" s="9" t="n">
        <f aca="false">'מאוחדת (PPLAY1)'!C117</f>
        <v>0</v>
      </c>
      <c r="N6" s="9" t="n">
        <f aca="false">'מאוחדת (PPLAY1)'!D117</f>
        <v>10037</v>
      </c>
      <c r="O6" s="10" t="str">
        <f aca="false">IF('מאוחדת (PPLAY1)'!C117=0,"N/A",('מאוחדת (PPLAY1)'!D117-'מאוחדת (PPLAY1)'!C117)/'מאוחדת (PPLAY1)'!C117)</f>
        <v>N/A</v>
      </c>
      <c r="P6" s="9" t="n">
        <f aca="false">'מאוחדת (PPLAY1)'!H117</f>
        <v>0</v>
      </c>
      <c r="Q6" s="9" t="n">
        <f aca="false">'מאוחדת (PPLAY1)'!I117</f>
        <v>307514.4</v>
      </c>
      <c r="R6" s="10" t="str">
        <f aca="false">IF('מאוחדת (PPLAY1)'!H117=0,"N/A",('מאוחדת (PPLAY1)'!I117-'מאוחדת (PPLAY1)'!H117)/'מאוחדת (PPLAY1)'!H117)</f>
        <v>N/A</v>
      </c>
    </row>
    <row r="7" customFormat="false" ht="15" hidden="false" customHeight="true" outlineLevel="0" collapsed="false">
      <c r="A7" s="7" t="s">
        <v>22</v>
      </c>
      <c r="B7" s="8" t="s">
        <v>23</v>
      </c>
      <c r="C7" s="8" t="s">
        <v>24</v>
      </c>
      <c r="D7" s="9" t="n">
        <f aca="false">COUNTA('מאוחדת (NetSuite)'!$A$9:$A$240)</f>
        <v>232</v>
      </c>
      <c r="E7" s="9" t="n">
        <f aca="false">SUMPRODUCT(--(('מאוחדת (NetSuite)'!$C$9:$C$240&lt;&gt;0)+('מאוחדת (NetSuite)'!$H$9:$H$240&lt;&gt;0)&gt;0))</f>
        <v>223</v>
      </c>
      <c r="F7" s="9" t="n">
        <f aca="false">SUMPRODUCT(--(('מאוחדת (NetSuite)'!$D$9:$D$240&lt;&gt;0)+('מאוחדת (NetSuite)'!$I$9:$I$240&lt;&gt;0)&gt;0))</f>
        <v>206</v>
      </c>
      <c r="G7" s="9" t="n">
        <f aca="false">'מאוחדת (NetSuite)'!B5</f>
        <v>26</v>
      </c>
      <c r="H7" s="9" t="n">
        <f aca="false">'מאוחדת (NetSuite)'!D5</f>
        <v>9</v>
      </c>
      <c r="I7" s="9" t="n">
        <f aca="false">'מאוחדת (NetSuite)'!B6</f>
        <v>301</v>
      </c>
      <c r="J7" s="9" t="n">
        <f aca="false">'מאוחדת (NetSuite)'!D6</f>
        <v>12248.01</v>
      </c>
      <c r="K7" s="9" t="n">
        <f aca="false">'מאוחדת (NetSuite)'!F6</f>
        <v>23</v>
      </c>
      <c r="L7" s="9" t="n">
        <f aca="false">'מאוחדת (NetSuite)'!H6</f>
        <v>1236.65</v>
      </c>
      <c r="M7" s="9" t="n">
        <f aca="false">'מאוחדת (NetSuite)'!C242</f>
        <v>29601</v>
      </c>
      <c r="N7" s="9" t="n">
        <f aca="false">'מאוחדת (NetSuite)'!D242</f>
        <v>7385</v>
      </c>
      <c r="O7" s="10" t="n">
        <f aca="false">IF('מאוחדת (NetSuite)'!C242=0,"N/A",('מאוחדת (NetSuite)'!D242-'מאוחדת (NetSuite)'!C242)/'מאוחדת (NetSuite)'!C242)</f>
        <v>-0.750515185297794</v>
      </c>
      <c r="P7" s="9" t="n">
        <f aca="false">'מאוחדת (NetSuite)'!H242</f>
        <v>860680.72</v>
      </c>
      <c r="Q7" s="9" t="n">
        <f aca="false">'מאוחדת (NetSuite)'!I242</f>
        <v>186688.02</v>
      </c>
      <c r="R7" s="10" t="n">
        <f aca="false">IF('מאוחדת (NetSuite)'!H242=0,"N/A",('מאוחדת (NetSuite)'!I242-'מאוחדת (NetSuite)'!H242)/'מאוחדת (NetSuite)'!H242)</f>
        <v>-0.783092596752952</v>
      </c>
    </row>
    <row r="8" customFormat="false" ht="15" hidden="false" customHeight="false" outlineLevel="0" collapsed="false">
      <c r="A8" s="11" t="s">
        <v>25</v>
      </c>
      <c r="H8" s="12" t="n">
        <f aca="false">H6+H7</f>
        <v>116</v>
      </c>
      <c r="L8" s="12" t="n">
        <f aca="false">L6+L7</f>
        <v>308751.05</v>
      </c>
      <c r="P8" s="12" t="n">
        <f aca="false">P6+P7</f>
        <v>860680.72</v>
      </c>
      <c r="Q8" s="12" t="n">
        <f aca="false">Q6+Q7</f>
        <v>494202.42</v>
      </c>
    </row>
  </sheetData>
  <mergeCells count="1">
    <mergeCell ref="A3:R3"/>
  </mergeCells>
  <hyperlinks>
    <hyperlink ref="A6" location="'מאוחדת (PPLAY1)'!A1" display="מאוחדת (PPLAY1)"/>
    <hyperlink ref="A7" location="'מאוחדת (NetSuite)'!A1" display="113 - Kupat Holim Meuhedet (NetSuite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13"/>
    <col collapsed="false" customWidth="true" hidden="false" outlineLevel="0" max="6" min="4" style="1" width="15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17"/>
    <col collapsed="false" customWidth="true" hidden="false" outlineLevel="0" max="11" min="10" style="1" width="15"/>
    <col collapsed="false" customWidth="true" hidden="false" outlineLevel="0" max="12" min="12" style="1" width="16"/>
  </cols>
  <sheetData>
    <row r="1" customFormat="false" ht="15" hidden="false" customHeight="true" outlineLevel="0" collapsed="false">
      <c r="A1" s="2" t="s">
        <v>26</v>
      </c>
    </row>
    <row r="2" customFormat="false" ht="15" hidden="false" customHeight="true" outlineLevel="0" collapsed="false">
      <c r="A2" s="3" t="s">
        <v>1</v>
      </c>
      <c r="B2" s="4" t="n">
        <v>46284</v>
      </c>
    </row>
    <row r="3" customFormat="false" ht="90" hidden="false" customHeight="true" outlineLevel="0" collapsed="false">
      <c r="A3" s="5" t="s">
        <v>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45" hidden="false" customHeight="true" outlineLevel="0" collapsed="false">
      <c r="A4" s="5" t="s">
        <v>28</v>
      </c>
      <c r="B4" s="5"/>
      <c r="C4" s="5"/>
      <c r="D4" s="5"/>
      <c r="E4" s="5"/>
      <c r="F4" s="5"/>
      <c r="G4" s="5"/>
      <c r="H4" s="5"/>
      <c r="I4" s="13" t="s">
        <v>29</v>
      </c>
      <c r="J4" s="14" t="n">
        <v>12</v>
      </c>
      <c r="K4" s="15" t="s">
        <v>30</v>
      </c>
      <c r="L4" s="14" t="n">
        <v>9.5</v>
      </c>
    </row>
    <row r="5" customFormat="false" ht="30" hidden="false" customHeight="true" outlineLevel="0" collapsed="false">
      <c r="A5" s="16" t="s">
        <v>31</v>
      </c>
      <c r="B5" s="17" t="n">
        <f aca="false">SUMPRODUCT(--(((C9:C115&lt;&gt;0)+(H9:H115&lt;&gt;0)&gt;0)*((D9:D115=0)*(I9:I115=0))))</f>
        <v>0</v>
      </c>
      <c r="C5" s="16" t="s">
        <v>32</v>
      </c>
      <c r="D5" s="17" t="n">
        <f aca="false">SUMPRODUCT(--(((D9:D115&lt;&gt;0)+(I9:I115&lt;&gt;0)&gt;0)*((C9:C115=0)*(H9:H115=0))))</f>
        <v>107</v>
      </c>
      <c r="I5" s="16" t="s">
        <v>33</v>
      </c>
      <c r="J5" s="18" t="n">
        <f aca="false">J4/L4</f>
        <v>1.26315789473684</v>
      </c>
    </row>
    <row r="6" customFormat="false" ht="30" hidden="false" customHeight="true" outlineLevel="0" collapsed="false">
      <c r="A6" s="16" t="s">
        <v>34</v>
      </c>
      <c r="B6" s="17" t="n">
        <f aca="false">SUMPRODUCT(--(((C9:C115&lt;&gt;0)+(H9:H115&lt;&gt;0)&gt;0)*((D9:D115=0)*(I9:I115=0)))*C9:C115)</f>
        <v>0</v>
      </c>
      <c r="C6" s="16" t="s">
        <v>35</v>
      </c>
      <c r="D6" s="17" t="n">
        <f aca="false">SUMPRODUCT(--(((C9:C115&lt;&gt;0)+(H9:H115&lt;&gt;0)&gt;0)*((D9:D115=0)*(I9:I115=0)))*H9:H115)</f>
        <v>0</v>
      </c>
      <c r="E6" s="16" t="s">
        <v>36</v>
      </c>
      <c r="F6" s="17" t="n">
        <f aca="false">SUMPRODUCT(--(((D9:D115&lt;&gt;0)+(I9:I115&lt;&gt;0)&gt;0)*((C9:C115=0)*(H9:H115=0)))*D9:D115)</f>
        <v>10037</v>
      </c>
      <c r="G6" s="16" t="s">
        <v>37</v>
      </c>
      <c r="H6" s="17" t="n">
        <f aca="false">SUMPRODUCT(--(((D9:D115&lt;&gt;0)+(I9:I115&lt;&gt;0)&gt;0)*((C9:C115=0)*(H9:H115=0)))*I9:I115)</f>
        <v>307514.4</v>
      </c>
    </row>
    <row r="8" customFormat="false" ht="43.5" hidden="false" customHeight="true" outlineLevel="0" collapsed="false">
      <c r="A8" s="6" t="s">
        <v>38</v>
      </c>
      <c r="B8" s="6" t="s">
        <v>39</v>
      </c>
      <c r="C8" s="6" t="s">
        <v>15</v>
      </c>
      <c r="D8" s="19" t="s">
        <v>40</v>
      </c>
      <c r="E8" s="6" t="s">
        <v>41</v>
      </c>
      <c r="F8" s="6" t="s">
        <v>42</v>
      </c>
      <c r="G8" s="6" t="s">
        <v>43</v>
      </c>
      <c r="H8" s="6" t="s">
        <v>18</v>
      </c>
      <c r="I8" s="19" t="s">
        <v>44</v>
      </c>
      <c r="J8" s="6" t="s">
        <v>45</v>
      </c>
      <c r="K8" s="6" t="s">
        <v>46</v>
      </c>
      <c r="L8" s="6" t="s">
        <v>47</v>
      </c>
    </row>
    <row r="9" customFormat="false" ht="15" hidden="false" customHeight="true" outlineLevel="0" collapsed="false">
      <c r="A9" s="8" t="s">
        <v>48</v>
      </c>
      <c r="B9" s="8" t="str">
        <f aca="false">IFERROR(INDEX('Source PPLAY1 2026'!$C:$C,MATCH($A9,'Source PPLAY1 2026'!$B:$B,0)),IFERROR(INDEX('Source PPLAY1 2025'!$C:$C,MATCH($A9,'Source PPLAY1 2025'!$B:$B,0)),""))</f>
        <v>סד ליד דו צדדי</v>
      </c>
      <c r="C9" s="9" t="n">
        <f aca="false">SUMIFS('Source PPLAY1 2025'!$D:$D,'Source PPLAY1 2025'!$B:$B,$A9,'Source PPLAY1 2025'!$A:$A,"Quantity (units)")</f>
        <v>0</v>
      </c>
      <c r="D9" s="9" t="n">
        <f aca="false">SUMIFS('Source PPLAY1 2026'!$D:$D,'Source PPLAY1 2026'!$B:$B,$A9,'Source PPLAY1 2026'!$A:$A,"Quantity (units)")</f>
        <v>648</v>
      </c>
      <c r="E9" s="9" t="n">
        <f aca="false">D9*$J$5</f>
        <v>818.526315789474</v>
      </c>
      <c r="F9" s="9" t="n">
        <f aca="false">E9-C9</f>
        <v>818.526315789474</v>
      </c>
      <c r="G9" s="10" t="str">
        <f aca="false">IF(AND(C9=0,E9=0),0,IF(C9=0,"New",(E9-C9)/C9))</f>
        <v>New</v>
      </c>
      <c r="H9" s="9" t="n">
        <f aca="false">SUMIFS('Source PPLAY1 2025'!$D:$D,'Source PPLAY1 2025'!$B:$B,$A9,'Source PPLAY1 2025'!$A:$A,"Amount (NIS)")</f>
        <v>0</v>
      </c>
      <c r="I9" s="9" t="n">
        <f aca="false">SUMIFS('Source PPLAY1 2026'!$D:$D,'Source PPLAY1 2026'!$B:$B,$A9,'Source PPLAY1 2026'!$A:$A,"Amount (NIS)")</f>
        <v>29484</v>
      </c>
      <c r="J9" s="9" t="n">
        <f aca="false">I9*$J$5</f>
        <v>37242.9473684211</v>
      </c>
      <c r="K9" s="9" t="n">
        <f aca="false">J9-H9</f>
        <v>37242.9473684211</v>
      </c>
      <c r="L9" s="10" t="str">
        <f aca="false">IF(AND(H9=0,J9=0),0,IF(H9=0,"New",(J9-H9)/H9))</f>
        <v>New</v>
      </c>
    </row>
    <row r="10" customFormat="false" ht="15" hidden="false" customHeight="true" outlineLevel="0" collapsed="false">
      <c r="A10" s="8" t="s">
        <v>49</v>
      </c>
      <c r="B10" s="8" t="str">
        <f aca="false">IFERROR(INDEX('Source PPLAY1 2026'!$C:$C,MATCH($A10,'Source PPLAY1 2026'!$B:$B,0)),IFERROR(INDEX('Source PPLAY1 2025'!$C:$C,MATCH($A10,'Source PPLAY1 2025'!$B:$B,0)),""))</f>
        <v>סד לאגודל</v>
      </c>
      <c r="C10" s="9" t="n">
        <f aca="false">SUMIFS('Source PPLAY1 2025'!$D:$D,'Source PPLAY1 2025'!$B:$B,$A10,'Source PPLAY1 2025'!$A:$A,"Quantity (units)")</f>
        <v>0</v>
      </c>
      <c r="D10" s="9" t="n">
        <f aca="false">SUMIFS('Source PPLAY1 2026'!$D:$D,'Source PPLAY1 2026'!$B:$B,$A10,'Source PPLAY1 2026'!$A:$A,"Quantity (units)")</f>
        <v>274</v>
      </c>
      <c r="E10" s="9" t="n">
        <f aca="false">D10*$J$5</f>
        <v>346.105263157895</v>
      </c>
      <c r="F10" s="9" t="n">
        <f aca="false">E10-C10</f>
        <v>346.105263157895</v>
      </c>
      <c r="G10" s="10" t="str">
        <f aca="false">IF(AND(C10=0,E10=0),0,IF(C10=0,"New",(E10-C10)/C10))</f>
        <v>New</v>
      </c>
      <c r="H10" s="9" t="n">
        <f aca="false">SUMIFS('Source PPLAY1 2025'!$D:$D,'Source PPLAY1 2025'!$B:$B,$A10,'Source PPLAY1 2025'!$A:$A,"Amount (NIS)")</f>
        <v>0</v>
      </c>
      <c r="I10" s="9" t="n">
        <f aca="false">SUMIFS('Source PPLAY1 2026'!$D:$D,'Source PPLAY1 2026'!$B:$B,$A10,'Source PPLAY1 2026'!$A:$A,"Amount (NIS)")</f>
        <v>21317.2</v>
      </c>
      <c r="J10" s="9" t="n">
        <f aca="false">I10*$J$5</f>
        <v>26926.9894736842</v>
      </c>
      <c r="K10" s="9" t="n">
        <f aca="false">J10-H10</f>
        <v>26926.9894736842</v>
      </c>
      <c r="L10" s="10" t="str">
        <f aca="false">IF(AND(H10=0,J10=0),0,IF(H10=0,"New",(J10-H10)/H10))</f>
        <v>New</v>
      </c>
    </row>
    <row r="11" customFormat="false" ht="15" hidden="false" customHeight="true" outlineLevel="0" collapsed="false">
      <c r="A11" s="8" t="s">
        <v>50</v>
      </c>
      <c r="B11" s="8" t="str">
        <f aca="false">IFERROR(INDEX('Source PPLAY1 2026'!$C:$C,MATCH($A11,'Source PPLAY1 2026'!$B:$B,0)),IFERROR(INDEX('Source PPLAY1 2025'!$C:$C,MATCH($A11,'Source PPLAY1 2025'!$B:$B,0)),""))</f>
        <v>טיסה אנטי בקטרי35-38</v>
      </c>
      <c r="C11" s="9" t="n">
        <f aca="false">SUMIFS('Source PPLAY1 2025'!$D:$D,'Source PPLAY1 2025'!$B:$B,$A11,'Source PPLAY1 2025'!$A:$A,"Quantity (units)")</f>
        <v>0</v>
      </c>
      <c r="D11" s="9" t="n">
        <f aca="false">SUMIFS('Source PPLAY1 2026'!$D:$D,'Source PPLAY1 2026'!$B:$B,$A11,'Source PPLAY1 2026'!$A:$A,"Quantity (units)")</f>
        <v>416</v>
      </c>
      <c r="E11" s="9" t="n">
        <f aca="false">D11*$J$5</f>
        <v>525.473684210526</v>
      </c>
      <c r="F11" s="9" t="n">
        <f aca="false">E11-C11</f>
        <v>525.473684210526</v>
      </c>
      <c r="G11" s="10" t="str">
        <f aca="false">IF(AND(C11=0,E11=0),0,IF(C11=0,"New",(E11-C11)/C11))</f>
        <v>New</v>
      </c>
      <c r="H11" s="9" t="n">
        <f aca="false">SUMIFS('Source PPLAY1 2025'!$D:$D,'Source PPLAY1 2025'!$B:$B,$A11,'Source PPLAY1 2025'!$A:$A,"Amount (NIS)")</f>
        <v>0</v>
      </c>
      <c r="I11" s="9" t="n">
        <f aca="false">SUMIFS('Source PPLAY1 2026'!$D:$D,'Source PPLAY1 2026'!$B:$B,$A11,'Source PPLAY1 2026'!$A:$A,"Amount (NIS)")</f>
        <v>17016.6</v>
      </c>
      <c r="J11" s="9" t="n">
        <f aca="false">I11*$J$5</f>
        <v>21494.6526315789</v>
      </c>
      <c r="K11" s="9" t="n">
        <f aca="false">J11-H11</f>
        <v>21494.6526315789</v>
      </c>
      <c r="L11" s="10" t="str">
        <f aca="false">IF(AND(H11=0,J11=0),0,IF(H11=0,"New",(J11-H11)/H11))</f>
        <v>New</v>
      </c>
    </row>
    <row r="12" customFormat="false" ht="15" hidden="false" customHeight="true" outlineLevel="0" collapsed="false">
      <c r="A12" s="8" t="s">
        <v>51</v>
      </c>
      <c r="B12" s="8" t="str">
        <f aca="false">IFERROR(INDEX('Source PPLAY1 2026'!$C:$C,MATCH($A12,'Source PPLAY1 2026'!$B:$B,0)),IFERROR(INDEX('Source PPLAY1 2025'!$C:$C,MATCH($A12,'Source PPLAY1 2025'!$B:$B,0)),""))</f>
        <v>L עקבים לדורבן-זוג כריות</v>
      </c>
      <c r="C12" s="9" t="n">
        <f aca="false">SUMIFS('Source PPLAY1 2025'!$D:$D,'Source PPLAY1 2025'!$B:$B,$A12,'Source PPLAY1 2025'!$A:$A,"Quantity (units)")</f>
        <v>0</v>
      </c>
      <c r="D12" s="9" t="n">
        <f aca="false">SUMIFS('Source PPLAY1 2026'!$D:$D,'Source PPLAY1 2026'!$B:$B,$A12,'Source PPLAY1 2026'!$A:$A,"Quantity (units)")</f>
        <v>233</v>
      </c>
      <c r="E12" s="9" t="n">
        <f aca="false">D12*$J$5</f>
        <v>294.315789473684</v>
      </c>
      <c r="F12" s="9" t="n">
        <f aca="false">E12-C12</f>
        <v>294.315789473684</v>
      </c>
      <c r="G12" s="10" t="str">
        <f aca="false">IF(AND(C12=0,E12=0),0,IF(C12=0,"New",(E12-C12)/C12))</f>
        <v>New</v>
      </c>
      <c r="H12" s="9" t="n">
        <f aca="false">SUMIFS('Source PPLAY1 2025'!$D:$D,'Source PPLAY1 2025'!$B:$B,$A12,'Source PPLAY1 2025'!$A:$A,"Amount (NIS)")</f>
        <v>0</v>
      </c>
      <c r="I12" s="9" t="n">
        <f aca="false">SUMIFS('Source PPLAY1 2026'!$D:$D,'Source PPLAY1 2026'!$B:$B,$A12,'Source PPLAY1 2026'!$A:$A,"Amount (NIS)")</f>
        <v>14504.7</v>
      </c>
      <c r="J12" s="9" t="n">
        <f aca="false">I12*$J$5</f>
        <v>18321.7263157895</v>
      </c>
      <c r="K12" s="9" t="n">
        <f aca="false">J12-H12</f>
        <v>18321.7263157895</v>
      </c>
      <c r="L12" s="10" t="str">
        <f aca="false">IF(AND(H12=0,J12=0),0,IF(H12=0,"New",(J12-H12)/H12))</f>
        <v>New</v>
      </c>
    </row>
    <row r="13" customFormat="false" ht="15" hidden="false" customHeight="true" outlineLevel="0" collapsed="false">
      <c r="A13" s="8" t="s">
        <v>52</v>
      </c>
      <c r="B13" s="8" t="str">
        <f aca="false">IFERROR(INDEX('Source PPLAY1 2026'!$C:$C,MATCH($A13,'Source PPLAY1 2026'!$B:$B,0)),IFERROR(INDEX('Source PPLAY1 2025'!$C:$C,MATCH($A13,'Source PPLAY1 2025'!$B:$B,0)),""))</f>
        <v>1 תומך ברך גנושילד</v>
      </c>
      <c r="C13" s="9" t="n">
        <f aca="false">SUMIFS('Source PPLAY1 2025'!$D:$D,'Source PPLAY1 2025'!$B:$B,$A13,'Source PPLAY1 2025'!$A:$A,"Quantity (units)")</f>
        <v>0</v>
      </c>
      <c r="D13" s="9" t="n">
        <f aca="false">SUMIFS('Source PPLAY1 2026'!$D:$D,'Source PPLAY1 2026'!$B:$B,$A13,'Source PPLAY1 2026'!$A:$A,"Quantity (units)")</f>
        <v>97</v>
      </c>
      <c r="E13" s="9" t="n">
        <f aca="false">D13*$J$5</f>
        <v>122.526315789474</v>
      </c>
      <c r="F13" s="9" t="n">
        <f aca="false">E13-C13</f>
        <v>122.526315789474</v>
      </c>
      <c r="G13" s="10" t="str">
        <f aca="false">IF(AND(C13=0,E13=0),0,IF(C13=0,"New",(E13-C13)/C13))</f>
        <v>New</v>
      </c>
      <c r="H13" s="9" t="n">
        <f aca="false">SUMIFS('Source PPLAY1 2025'!$D:$D,'Source PPLAY1 2025'!$B:$B,$A13,'Source PPLAY1 2025'!$A:$A,"Amount (NIS)")</f>
        <v>0</v>
      </c>
      <c r="I13" s="9" t="n">
        <f aca="false">SUMIFS('Source PPLAY1 2026'!$D:$D,'Source PPLAY1 2026'!$B:$B,$A13,'Source PPLAY1 2026'!$A:$A,"Amount (NIS)")</f>
        <v>12125</v>
      </c>
      <c r="J13" s="9" t="n">
        <f aca="false">I13*$J$5</f>
        <v>15315.7894736842</v>
      </c>
      <c r="K13" s="9" t="n">
        <f aca="false">J13-H13</f>
        <v>15315.7894736842</v>
      </c>
      <c r="L13" s="10" t="str">
        <f aca="false">IF(AND(H13=0,J13=0),0,IF(H13=0,"New",(J13-H13)/H13))</f>
        <v>New</v>
      </c>
    </row>
    <row r="14" customFormat="false" ht="15" hidden="false" customHeight="true" outlineLevel="0" collapsed="false">
      <c r="A14" s="8" t="s">
        <v>53</v>
      </c>
      <c r="B14" s="8" t="str">
        <f aca="false">IFERROR(INDEX('Source PPLAY1 2026'!$C:$C,MATCH($A14,'Source PPLAY1 2026'!$B:$B,0)),IFERROR(INDEX('Source PPLAY1 2025'!$C:$C,MATCH($A14,'Source PPLAY1 2025'!$B:$B,0)),""))</f>
        <v>M מגן קרסול עקב סגור</v>
      </c>
      <c r="C14" s="9" t="n">
        <f aca="false">SUMIFS('Source PPLAY1 2025'!$D:$D,'Source PPLAY1 2025'!$B:$B,$A14,'Source PPLAY1 2025'!$A:$A,"Quantity (units)")</f>
        <v>0</v>
      </c>
      <c r="D14" s="9" t="n">
        <f aca="false">SUMIFS('Source PPLAY1 2026'!$D:$D,'Source PPLAY1 2026'!$B:$B,$A14,'Source PPLAY1 2026'!$A:$A,"Quantity (units)")</f>
        <v>391</v>
      </c>
      <c r="E14" s="9" t="n">
        <f aca="false">D14*$J$5</f>
        <v>493.894736842105</v>
      </c>
      <c r="F14" s="9" t="n">
        <f aca="false">E14-C14</f>
        <v>493.894736842105</v>
      </c>
      <c r="G14" s="10" t="str">
        <f aca="false">IF(AND(C14=0,E14=0),0,IF(C14=0,"New",(E14-C14)/C14))</f>
        <v>New</v>
      </c>
      <c r="H14" s="9" t="n">
        <f aca="false">SUMIFS('Source PPLAY1 2025'!$D:$D,'Source PPLAY1 2025'!$B:$B,$A14,'Source PPLAY1 2025'!$A:$A,"Amount (NIS)")</f>
        <v>0</v>
      </c>
      <c r="I14" s="9" t="n">
        <f aca="false">SUMIFS('Source PPLAY1 2026'!$D:$D,'Source PPLAY1 2026'!$B:$B,$A14,'Source PPLAY1 2026'!$A:$A,"Amount (NIS)")</f>
        <v>10884.8</v>
      </c>
      <c r="J14" s="9" t="n">
        <f aca="false">I14*$J$5</f>
        <v>13749.2210526316</v>
      </c>
      <c r="K14" s="9" t="n">
        <f aca="false">J14-H14</f>
        <v>13749.2210526316</v>
      </c>
      <c r="L14" s="10" t="str">
        <f aca="false">IF(AND(H14=0,J14=0),0,IF(H14=0,"New",(J14-H14)/H14))</f>
        <v>New</v>
      </c>
    </row>
    <row r="15" customFormat="false" ht="15" hidden="false" customHeight="true" outlineLevel="0" collapsed="false">
      <c r="A15" s="8" t="s">
        <v>54</v>
      </c>
      <c r="B15" s="8" t="str">
        <f aca="false">IFERROR(INDEX('Source PPLAY1 2026'!$C:$C,MATCH($A15,'Source PPLAY1 2026'!$B:$B,0)),IFERROR(INDEX('Source PPLAY1 2025'!$C:$C,MATCH($A15,'Source PPLAY1 2025'!$B:$B,0)),""))</f>
        <v>L (מתלה ליד )כיס</v>
      </c>
      <c r="C15" s="9" t="n">
        <f aca="false">SUMIFS('Source PPLAY1 2025'!$D:$D,'Source PPLAY1 2025'!$B:$B,$A15,'Source PPLAY1 2025'!$A:$A,"Quantity (units)")</f>
        <v>0</v>
      </c>
      <c r="D15" s="9" t="n">
        <f aca="false">SUMIFS('Source PPLAY1 2026'!$D:$D,'Source PPLAY1 2026'!$B:$B,$A15,'Source PPLAY1 2026'!$A:$A,"Quantity (units)")</f>
        <v>323</v>
      </c>
      <c r="E15" s="9" t="n">
        <f aca="false">D15*$J$5</f>
        <v>408</v>
      </c>
      <c r="F15" s="9" t="n">
        <f aca="false">E15-C15</f>
        <v>408</v>
      </c>
      <c r="G15" s="10" t="str">
        <f aca="false">IF(AND(C15=0,E15=0),0,IF(C15=0,"New",(E15-C15)/C15))</f>
        <v>New</v>
      </c>
      <c r="H15" s="9" t="n">
        <f aca="false">SUMIFS('Source PPLAY1 2025'!$D:$D,'Source PPLAY1 2025'!$B:$B,$A15,'Source PPLAY1 2025'!$A:$A,"Amount (NIS)")</f>
        <v>0</v>
      </c>
      <c r="I15" s="9" t="n">
        <f aca="false">SUMIFS('Source PPLAY1 2026'!$D:$D,'Source PPLAY1 2026'!$B:$B,$A15,'Source PPLAY1 2026'!$A:$A,"Amount (NIS)")</f>
        <v>10806.4</v>
      </c>
      <c r="J15" s="9" t="n">
        <f aca="false">I15*$J$5</f>
        <v>13650.1894736842</v>
      </c>
      <c r="K15" s="9" t="n">
        <f aca="false">J15-H15</f>
        <v>13650.1894736842</v>
      </c>
      <c r="L15" s="10" t="str">
        <f aca="false">IF(AND(H15=0,J15=0),0,IF(H15=0,"New",(J15-H15)/H15))</f>
        <v>New</v>
      </c>
    </row>
    <row r="16" customFormat="false" ht="15" hidden="false" customHeight="true" outlineLevel="0" collapsed="false">
      <c r="A16" s="8" t="s">
        <v>55</v>
      </c>
      <c r="B16" s="8" t="str">
        <f aca="false">IFERROR(INDEX('Source PPLAY1 2026'!$C:$C,MATCH($A16,'Source PPLAY1 2026'!$B:$B,0)),IFERROR(INDEX('Source PPLAY1 2025'!$C:$C,MATCH($A16,'Source PPLAY1 2025'!$B:$B,0)),""))</f>
        <v>L מגן ברך לבן</v>
      </c>
      <c r="C16" s="9" t="n">
        <f aca="false">SUMIFS('Source PPLAY1 2025'!$D:$D,'Source PPLAY1 2025'!$B:$B,$A16,'Source PPLAY1 2025'!$A:$A,"Quantity (units)")</f>
        <v>0</v>
      </c>
      <c r="D16" s="9" t="n">
        <f aca="false">SUMIFS('Source PPLAY1 2026'!$D:$D,'Source PPLAY1 2026'!$B:$B,$A16,'Source PPLAY1 2026'!$A:$A,"Quantity (units)")</f>
        <v>617</v>
      </c>
      <c r="E16" s="9" t="n">
        <f aca="false">D16*$J$5</f>
        <v>779.368421052632</v>
      </c>
      <c r="F16" s="9" t="n">
        <f aca="false">E16-C16</f>
        <v>779.368421052632</v>
      </c>
      <c r="G16" s="10" t="str">
        <f aca="false">IF(AND(C16=0,E16=0),0,IF(C16=0,"New",(E16-C16)/C16))</f>
        <v>New</v>
      </c>
      <c r="H16" s="9" t="n">
        <f aca="false">SUMIFS('Source PPLAY1 2025'!$D:$D,'Source PPLAY1 2025'!$B:$B,$A16,'Source PPLAY1 2025'!$A:$A,"Amount (NIS)")</f>
        <v>0</v>
      </c>
      <c r="I16" s="9" t="n">
        <f aca="false">SUMIFS('Source PPLAY1 2026'!$D:$D,'Source PPLAY1 2026'!$B:$B,$A16,'Source PPLAY1 2026'!$A:$A,"Amount (NIS)")</f>
        <v>10007.2</v>
      </c>
      <c r="J16" s="9" t="n">
        <f aca="false">I16*$J$5</f>
        <v>12640.6736842105</v>
      </c>
      <c r="K16" s="9" t="n">
        <f aca="false">J16-H16</f>
        <v>12640.6736842105</v>
      </c>
      <c r="L16" s="10" t="str">
        <f aca="false">IF(AND(H16=0,J16=0),0,IF(H16=0,"New",(J16-H16)/H16))</f>
        <v>New</v>
      </c>
    </row>
    <row r="17" customFormat="false" ht="15" hidden="false" customHeight="true" outlineLevel="0" collapsed="false">
      <c r="A17" s="8" t="s">
        <v>56</v>
      </c>
      <c r="B17" s="8" t="str">
        <f aca="false">IFERROR(INDEX('Source PPLAY1 2026'!$C:$C,MATCH($A17,'Source PPLAY1 2026'!$B:$B,0)),IFERROR(INDEX('Source PPLAY1 2025'!$C:$C,MATCH($A17,'Source PPLAY1 2025'!$B:$B,0)),""))</f>
        <v>S  חבק יד ארוך</v>
      </c>
      <c r="C17" s="9" t="n">
        <f aca="false">SUMIFS('Source PPLAY1 2025'!$D:$D,'Source PPLAY1 2025'!$B:$B,$A17,'Source PPLAY1 2025'!$A:$A,"Quantity (units)")</f>
        <v>0</v>
      </c>
      <c r="D17" s="9" t="n">
        <f aca="false">SUMIFS('Source PPLAY1 2026'!$D:$D,'Source PPLAY1 2026'!$B:$B,$A17,'Source PPLAY1 2026'!$A:$A,"Quantity (units)")</f>
        <v>382</v>
      </c>
      <c r="E17" s="9" t="n">
        <f aca="false">D17*$J$5</f>
        <v>482.526315789474</v>
      </c>
      <c r="F17" s="9" t="n">
        <f aca="false">E17-C17</f>
        <v>482.526315789474</v>
      </c>
      <c r="G17" s="10" t="str">
        <f aca="false">IF(AND(C17=0,E17=0),0,IF(C17=0,"New",(E17-C17)/C17))</f>
        <v>New</v>
      </c>
      <c r="H17" s="9" t="n">
        <f aca="false">SUMIFS('Source PPLAY1 2025'!$D:$D,'Source PPLAY1 2025'!$B:$B,$A17,'Source PPLAY1 2025'!$A:$A,"Amount (NIS)")</f>
        <v>0</v>
      </c>
      <c r="I17" s="9" t="n">
        <f aca="false">SUMIFS('Source PPLAY1 2026'!$D:$D,'Source PPLAY1 2026'!$B:$B,$A17,'Source PPLAY1 2026'!$A:$A,"Amount (NIS)")</f>
        <v>8812.9</v>
      </c>
      <c r="J17" s="9" t="n">
        <f aca="false">I17*$J$5</f>
        <v>11132.0842105263</v>
      </c>
      <c r="K17" s="9" t="n">
        <f aca="false">J17-H17</f>
        <v>11132.0842105263</v>
      </c>
      <c r="L17" s="10" t="str">
        <f aca="false">IF(AND(H17=0,J17=0),0,IF(H17=0,"New",(J17-H17)/H17))</f>
        <v>New</v>
      </c>
    </row>
    <row r="18" customFormat="false" ht="15" hidden="false" customHeight="true" outlineLevel="0" collapsed="false">
      <c r="A18" s="8" t="s">
        <v>57</v>
      </c>
      <c r="B18" s="8" t="str">
        <f aca="false">IFERROR(INDEX('Source PPLAY1 2026'!$C:$C,MATCH($A18,'Source PPLAY1 2026'!$B:$B,0)),IFERROR(INDEX('Source PPLAY1 2025'!$C:$C,MATCH($A18,'Source PPLAY1 2025'!$B:$B,0)),""))</f>
        <v>Sמגן ברך ארוך לבן</v>
      </c>
      <c r="C18" s="9" t="n">
        <f aca="false">SUMIFS('Source PPLAY1 2025'!$D:$D,'Source PPLAY1 2025'!$B:$B,$A18,'Source PPLAY1 2025'!$A:$A,"Quantity (units)")</f>
        <v>0</v>
      </c>
      <c r="D18" s="9" t="n">
        <f aca="false">SUMIFS('Source PPLAY1 2026'!$D:$D,'Source PPLAY1 2026'!$B:$B,$A18,'Source PPLAY1 2026'!$A:$A,"Quantity (units)")</f>
        <v>442</v>
      </c>
      <c r="E18" s="9" t="n">
        <f aca="false">D18*$J$5</f>
        <v>558.315789473684</v>
      </c>
      <c r="F18" s="9" t="n">
        <f aca="false">E18-C18</f>
        <v>558.315789473684</v>
      </c>
      <c r="G18" s="10" t="str">
        <f aca="false">IF(AND(C18=0,E18=0),0,IF(C18=0,"New",(E18-C18)/C18))</f>
        <v>New</v>
      </c>
      <c r="H18" s="9" t="n">
        <f aca="false">SUMIFS('Source PPLAY1 2025'!$D:$D,'Source PPLAY1 2025'!$B:$B,$A18,'Source PPLAY1 2025'!$A:$A,"Amount (NIS)")</f>
        <v>0</v>
      </c>
      <c r="I18" s="9" t="n">
        <f aca="false">SUMIFS('Source PPLAY1 2026'!$D:$D,'Source PPLAY1 2026'!$B:$B,$A18,'Source PPLAY1 2026'!$A:$A,"Amount (NIS)")</f>
        <v>8727.8</v>
      </c>
      <c r="J18" s="9" t="n">
        <f aca="false">I18*$J$5</f>
        <v>11024.5894736842</v>
      </c>
      <c r="K18" s="9" t="n">
        <f aca="false">J18-H18</f>
        <v>11024.5894736842</v>
      </c>
      <c r="L18" s="10" t="str">
        <f aca="false">IF(AND(H18=0,J18=0),0,IF(H18=0,"New",(J18-H18)/H18))</f>
        <v>New</v>
      </c>
    </row>
    <row r="19" customFormat="false" ht="15" hidden="false" customHeight="true" outlineLevel="0" collapsed="false">
      <c r="A19" s="8" t="s">
        <v>58</v>
      </c>
      <c r="B19" s="8" t="str">
        <f aca="false">IFERROR(INDEX('Source PPLAY1 2026'!$C:$C,MATCH($A19,'Source PPLAY1 2026'!$B:$B,0)),IFERROR(INDEX('Source PPLAY1 2025'!$C:$C,MATCH($A19,'Source PPLAY1 2025'!$B:$B,0)),""))</f>
        <v>S מקבע כתף ויד</v>
      </c>
      <c r="C19" s="9" t="n">
        <f aca="false">SUMIFS('Source PPLAY1 2025'!$D:$D,'Source PPLAY1 2025'!$B:$B,$A19,'Source PPLAY1 2025'!$A:$A,"Quantity (units)")</f>
        <v>0</v>
      </c>
      <c r="D19" s="9" t="n">
        <f aca="false">SUMIFS('Source PPLAY1 2026'!$D:$D,'Source PPLAY1 2026'!$B:$B,$A19,'Source PPLAY1 2026'!$A:$A,"Quantity (units)")</f>
        <v>65</v>
      </c>
      <c r="E19" s="9" t="n">
        <f aca="false">D19*$J$5</f>
        <v>82.1052631578947</v>
      </c>
      <c r="F19" s="9" t="n">
        <f aca="false">E19-C19</f>
        <v>82.1052631578947</v>
      </c>
      <c r="G19" s="10" t="str">
        <f aca="false">IF(AND(C19=0,E19=0),0,IF(C19=0,"New",(E19-C19)/C19))</f>
        <v>New</v>
      </c>
      <c r="H19" s="9" t="n">
        <f aca="false">SUMIFS('Source PPLAY1 2025'!$D:$D,'Source PPLAY1 2025'!$B:$B,$A19,'Source PPLAY1 2025'!$A:$A,"Amount (NIS)")</f>
        <v>0</v>
      </c>
      <c r="I19" s="9" t="n">
        <f aca="false">SUMIFS('Source PPLAY1 2026'!$D:$D,'Source PPLAY1 2026'!$B:$B,$A19,'Source PPLAY1 2026'!$A:$A,"Amount (NIS)")</f>
        <v>8001.2</v>
      </c>
      <c r="J19" s="9" t="n">
        <f aca="false">I19*$J$5</f>
        <v>10106.7789473684</v>
      </c>
      <c r="K19" s="9" t="n">
        <f aca="false">J19-H19</f>
        <v>10106.7789473684</v>
      </c>
      <c r="L19" s="10" t="str">
        <f aca="false">IF(AND(H19=0,J19=0),0,IF(H19=0,"New",(J19-H19)/H19))</f>
        <v>New</v>
      </c>
    </row>
    <row r="20" customFormat="false" ht="15" hidden="false" customHeight="true" outlineLevel="0" collapsed="false">
      <c r="A20" s="8" t="s">
        <v>59</v>
      </c>
      <c r="B20" s="8" t="str">
        <f aca="false">IFERROR(INDEX('Source PPLAY1 2026'!$C:$C,MATCH($A20,'Source PPLAY1 2026'!$B:$B,0)),IFERROR(INDEX('Source PPLAY1 2025'!$C:$C,MATCH($A20,'Source PPLAY1 2025'!$B:$B,0)),""))</f>
        <v>S""חגורת בטן""אורירית</v>
      </c>
      <c r="C20" s="9" t="n">
        <f aca="false">SUMIFS('Source PPLAY1 2025'!$D:$D,'Source PPLAY1 2025'!$B:$B,$A20,'Source PPLAY1 2025'!$A:$A,"Quantity (units)")</f>
        <v>0</v>
      </c>
      <c r="D20" s="9" t="n">
        <f aca="false">SUMIFS('Source PPLAY1 2026'!$D:$D,'Source PPLAY1 2026'!$B:$B,$A20,'Source PPLAY1 2026'!$A:$A,"Quantity (units)")</f>
        <v>107</v>
      </c>
      <c r="E20" s="9" t="n">
        <f aca="false">D20*$J$5</f>
        <v>135.157894736842</v>
      </c>
      <c r="F20" s="9" t="n">
        <f aca="false">E20-C20</f>
        <v>135.157894736842</v>
      </c>
      <c r="G20" s="10" t="str">
        <f aca="false">IF(AND(C20=0,E20=0),0,IF(C20=0,"New",(E20-C20)/C20))</f>
        <v>New</v>
      </c>
      <c r="H20" s="9" t="n">
        <f aca="false">SUMIFS('Source PPLAY1 2025'!$D:$D,'Source PPLAY1 2025'!$B:$B,$A20,'Source PPLAY1 2025'!$A:$A,"Amount (NIS)")</f>
        <v>0</v>
      </c>
      <c r="I20" s="9" t="n">
        <f aca="false">SUMIFS('Source PPLAY1 2026'!$D:$D,'Source PPLAY1 2026'!$B:$B,$A20,'Source PPLAY1 2026'!$A:$A,"Amount (NIS)")</f>
        <v>7577.6</v>
      </c>
      <c r="J20" s="9" t="n">
        <f aca="false">I20*$J$5</f>
        <v>9571.70526315789</v>
      </c>
      <c r="K20" s="9" t="n">
        <f aca="false">J20-H20</f>
        <v>9571.70526315789</v>
      </c>
      <c r="L20" s="10" t="str">
        <f aca="false">IF(AND(H20=0,J20=0),0,IF(H20=0,"New",(J20-H20)/H20))</f>
        <v>New</v>
      </c>
    </row>
    <row r="21" customFormat="false" ht="15" hidden="false" customHeight="true" outlineLevel="0" collapsed="false">
      <c r="A21" s="8" t="s">
        <v>60</v>
      </c>
      <c r="B21" s="8" t="str">
        <f aca="false">IFERROR(INDEX('Source PPLAY1 2026'!$C:$C,MATCH($A21,'Source PPLAY1 2026'!$B:$B,0)),IFERROR(INDEX('Source PPLAY1 2025'!$C:$C,MATCH($A21,'Source PPLAY1 2025'!$B:$B,0)),""))</f>
        <v>מדרס ג'ל לגבר</v>
      </c>
      <c r="C21" s="9" t="n">
        <f aca="false">SUMIFS('Source PPLAY1 2025'!$D:$D,'Source PPLAY1 2025'!$B:$B,$A21,'Source PPLAY1 2025'!$A:$A,"Quantity (units)")</f>
        <v>0</v>
      </c>
      <c r="D21" s="9" t="n">
        <f aca="false">SUMIFS('Source PPLAY1 2026'!$D:$D,'Source PPLAY1 2026'!$B:$B,$A21,'Source PPLAY1 2026'!$A:$A,"Quantity (units)")</f>
        <v>142</v>
      </c>
      <c r="E21" s="9" t="n">
        <f aca="false">D21*$J$5</f>
        <v>179.368421052632</v>
      </c>
      <c r="F21" s="9" t="n">
        <f aca="false">E21-C21</f>
        <v>179.368421052632</v>
      </c>
      <c r="G21" s="10" t="str">
        <f aca="false">IF(AND(C21=0,E21=0),0,IF(C21=0,"New",(E21-C21)/C21))</f>
        <v>New</v>
      </c>
      <c r="H21" s="9" t="n">
        <f aca="false">SUMIFS('Source PPLAY1 2025'!$D:$D,'Source PPLAY1 2025'!$B:$B,$A21,'Source PPLAY1 2025'!$A:$A,"Amount (NIS)")</f>
        <v>0</v>
      </c>
      <c r="I21" s="9" t="n">
        <f aca="false">SUMIFS('Source PPLAY1 2026'!$D:$D,'Source PPLAY1 2026'!$B:$B,$A21,'Source PPLAY1 2026'!$A:$A,"Amount (NIS)")</f>
        <v>6706.7</v>
      </c>
      <c r="J21" s="9" t="n">
        <f aca="false">I21*$J$5</f>
        <v>8471.62105263158</v>
      </c>
      <c r="K21" s="9" t="n">
        <f aca="false">J21-H21</f>
        <v>8471.62105263158</v>
      </c>
      <c r="L21" s="10" t="str">
        <f aca="false">IF(AND(H21=0,J21=0),0,IF(H21=0,"New",(J21-H21)/H21))</f>
        <v>New</v>
      </c>
    </row>
    <row r="22" customFormat="false" ht="15" hidden="false" customHeight="true" outlineLevel="0" collapsed="false">
      <c r="A22" s="8" t="s">
        <v>61</v>
      </c>
      <c r="B22" s="8" t="str">
        <f aca="false">IFERROR(INDEX('Source PPLAY1 2026'!$C:$C,MATCH($A22,'Source PPLAY1 2026'!$B:$B,0)),IFERROR(INDEX('Source PPLAY1 2025'!$C:$C,MATCH($A22,'Source PPLAY1 2025'!$B:$B,0)),""))</f>
        <v>חגורת גב אפורה</v>
      </c>
      <c r="C22" s="9" t="n">
        <f aca="false">SUMIFS('Source PPLAY1 2025'!$D:$D,'Source PPLAY1 2025'!$B:$B,$A22,'Source PPLAY1 2025'!$A:$A,"Quantity (units)")</f>
        <v>0</v>
      </c>
      <c r="D22" s="9" t="n">
        <f aca="false">SUMIFS('Source PPLAY1 2026'!$D:$D,'Source PPLAY1 2026'!$B:$B,$A22,'Source PPLAY1 2026'!$A:$A,"Quantity (units)")</f>
        <v>102</v>
      </c>
      <c r="E22" s="9" t="n">
        <f aca="false">D22*$J$5</f>
        <v>128.842105263158</v>
      </c>
      <c r="F22" s="9" t="n">
        <f aca="false">E22-C22</f>
        <v>128.842105263158</v>
      </c>
      <c r="G22" s="10" t="str">
        <f aca="false">IF(AND(C22=0,E22=0),0,IF(C22=0,"New",(E22-C22)/C22))</f>
        <v>New</v>
      </c>
      <c r="H22" s="9" t="n">
        <f aca="false">SUMIFS('Source PPLAY1 2025'!$D:$D,'Source PPLAY1 2025'!$B:$B,$A22,'Source PPLAY1 2025'!$A:$A,"Amount (NIS)")</f>
        <v>0</v>
      </c>
      <c r="I22" s="9" t="n">
        <f aca="false">SUMIFS('Source PPLAY1 2026'!$D:$D,'Source PPLAY1 2026'!$B:$B,$A22,'Source PPLAY1 2026'!$A:$A,"Amount (NIS)")</f>
        <v>6630</v>
      </c>
      <c r="J22" s="9" t="n">
        <f aca="false">I22*$J$5</f>
        <v>8374.73684210526</v>
      </c>
      <c r="K22" s="9" t="n">
        <f aca="false">J22-H22</f>
        <v>8374.73684210526</v>
      </c>
      <c r="L22" s="10" t="str">
        <f aca="false">IF(AND(H22=0,J22=0),0,IF(H22=0,"New",(J22-H22)/H22))</f>
        <v>New</v>
      </c>
    </row>
    <row r="23" customFormat="false" ht="15" hidden="false" customHeight="true" outlineLevel="0" collapsed="false">
      <c r="A23" s="8" t="s">
        <v>62</v>
      </c>
      <c r="B23" s="8" t="str">
        <f aca="false">IFERROR(INDEX('Source PPLAY1 2026'!$C:$C,MATCH($A23,'Source PPLAY1 2026'!$B:$B,0)),IFERROR(INDEX('Source PPLAY1 2025'!$C:$C,MATCH($A23,'Source PPLAY1 2025'!$B:$B,0)),""))</f>
        <v>חבק שורש לכף היד</v>
      </c>
      <c r="C23" s="9" t="n">
        <f aca="false">SUMIFS('Source PPLAY1 2025'!$D:$D,'Source PPLAY1 2025'!$B:$B,$A23,'Source PPLAY1 2025'!$A:$A,"Quantity (units)")</f>
        <v>0</v>
      </c>
      <c r="D23" s="9" t="n">
        <f aca="false">SUMIFS('Source PPLAY1 2026'!$D:$D,'Source PPLAY1 2026'!$B:$B,$A23,'Source PPLAY1 2026'!$A:$A,"Quantity (units)")</f>
        <v>327</v>
      </c>
      <c r="E23" s="9" t="n">
        <f aca="false">D23*$J$5</f>
        <v>413.052631578947</v>
      </c>
      <c r="F23" s="9" t="n">
        <f aca="false">E23-C23</f>
        <v>413.052631578947</v>
      </c>
      <c r="G23" s="10" t="str">
        <f aca="false">IF(AND(C23=0,E23=0),0,IF(C23=0,"New",(E23-C23)/C23))</f>
        <v>New</v>
      </c>
      <c r="H23" s="9" t="n">
        <f aca="false">SUMIFS('Source PPLAY1 2025'!$D:$D,'Source PPLAY1 2025'!$B:$B,$A23,'Source PPLAY1 2025'!$A:$A,"Amount (NIS)")</f>
        <v>0</v>
      </c>
      <c r="I23" s="9" t="n">
        <f aca="false">SUMIFS('Source PPLAY1 2026'!$D:$D,'Source PPLAY1 2026'!$B:$B,$A23,'Source PPLAY1 2026'!$A:$A,"Amount (NIS)")</f>
        <v>5739.6</v>
      </c>
      <c r="J23" s="9" t="n">
        <f aca="false">I23*$J$5</f>
        <v>7250.02105263158</v>
      </c>
      <c r="K23" s="9" t="n">
        <f aca="false">J23-H23</f>
        <v>7250.02105263158</v>
      </c>
      <c r="L23" s="10" t="str">
        <f aca="false">IF(AND(H23=0,J23=0),0,IF(H23=0,"New",(J23-H23)/H23))</f>
        <v>New</v>
      </c>
    </row>
    <row r="24" customFormat="false" ht="15" hidden="false" customHeight="true" outlineLevel="0" collapsed="false">
      <c r="A24" s="8" t="s">
        <v>63</v>
      </c>
      <c r="B24" s="8" t="str">
        <f aca="false">IFERROR(INDEX('Source PPLAY1 2026'!$C:$C,MATCH($A24,'Source PPLAY1 2026'!$B:$B,0)),IFERROR(INDEX('Source PPLAY1 2025'!$C:$C,MATCH($A24,'Source PPLAY1 2025'!$B:$B,0)),""))</f>
        <v>S מגן קרסול לבן</v>
      </c>
      <c r="C24" s="9" t="n">
        <f aca="false">SUMIFS('Source PPLAY1 2025'!$D:$D,'Source PPLAY1 2025'!$B:$B,$A24,'Source PPLAY1 2025'!$A:$A,"Quantity (units)")</f>
        <v>0</v>
      </c>
      <c r="D24" s="9" t="n">
        <f aca="false">SUMIFS('Source PPLAY1 2026'!$D:$D,'Source PPLAY1 2026'!$B:$B,$A24,'Source PPLAY1 2026'!$A:$A,"Quantity (units)")</f>
        <v>321</v>
      </c>
      <c r="E24" s="9" t="n">
        <f aca="false">D24*$J$5</f>
        <v>405.473684210526</v>
      </c>
      <c r="F24" s="9" t="n">
        <f aca="false">E24-C24</f>
        <v>405.473684210526</v>
      </c>
      <c r="G24" s="10" t="str">
        <f aca="false">IF(AND(C24=0,E24=0),0,IF(C24=0,"New",(E24-C24)/C24))</f>
        <v>New</v>
      </c>
      <c r="H24" s="9" t="n">
        <f aca="false">SUMIFS('Source PPLAY1 2025'!$D:$D,'Source PPLAY1 2025'!$B:$B,$A24,'Source PPLAY1 2025'!$A:$A,"Amount (NIS)")</f>
        <v>0</v>
      </c>
      <c r="I24" s="9" t="n">
        <f aca="false">SUMIFS('Source PPLAY1 2026'!$D:$D,'Source PPLAY1 2026'!$B:$B,$A24,'Source PPLAY1 2026'!$A:$A,"Amount (NIS)")</f>
        <v>5202.1</v>
      </c>
      <c r="J24" s="9" t="n">
        <f aca="false">I24*$J$5</f>
        <v>6571.07368421053</v>
      </c>
      <c r="K24" s="9" t="n">
        <f aca="false">J24-H24</f>
        <v>6571.07368421053</v>
      </c>
      <c r="L24" s="10" t="str">
        <f aca="false">IF(AND(H24=0,J24=0),0,IF(H24=0,"New",(J24-H24)/H24))</f>
        <v>New</v>
      </c>
    </row>
    <row r="25" customFormat="false" ht="15" hidden="false" customHeight="true" outlineLevel="0" collapsed="false">
      <c r="A25" s="8" t="s">
        <v>64</v>
      </c>
      <c r="B25" s="8" t="str">
        <f aca="false">IFERROR(INDEX('Source PPLAY1 2026'!$C:$C,MATCH($A25,'Source PPLAY1 2026'!$B:$B,0)),IFERROR(INDEX('Source PPLAY1 2025'!$C:$C,MATCH($A25,'Source PPLAY1 2025'!$B:$B,0)),""))</f>
        <v>S מגן קרסול עקב סגור+רצוע</v>
      </c>
      <c r="C25" s="9" t="n">
        <f aca="false">SUMIFS('Source PPLAY1 2025'!$D:$D,'Source PPLAY1 2025'!$B:$B,$A25,'Source PPLAY1 2025'!$A:$A,"Quantity (units)")</f>
        <v>0</v>
      </c>
      <c r="D25" s="9" t="n">
        <f aca="false">SUMIFS('Source PPLAY1 2026'!$D:$D,'Source PPLAY1 2026'!$B:$B,$A25,'Source PPLAY1 2026'!$A:$A,"Quantity (units)")</f>
        <v>119</v>
      </c>
      <c r="E25" s="9" t="n">
        <f aca="false">D25*$J$5</f>
        <v>150.315789473684</v>
      </c>
      <c r="F25" s="9" t="n">
        <f aca="false">E25-C25</f>
        <v>150.315789473684</v>
      </c>
      <c r="G25" s="10" t="str">
        <f aca="false">IF(AND(C25=0,E25=0),0,IF(C25=0,"New",(E25-C25)/C25))</f>
        <v>New</v>
      </c>
      <c r="H25" s="9" t="n">
        <f aca="false">SUMIFS('Source PPLAY1 2025'!$D:$D,'Source PPLAY1 2025'!$B:$B,$A25,'Source PPLAY1 2025'!$A:$A,"Amount (NIS)")</f>
        <v>0</v>
      </c>
      <c r="I25" s="9" t="n">
        <f aca="false">SUMIFS('Source PPLAY1 2026'!$D:$D,'Source PPLAY1 2026'!$B:$B,$A25,'Source PPLAY1 2026'!$A:$A,"Amount (NIS)")</f>
        <v>4723</v>
      </c>
      <c r="J25" s="9" t="n">
        <f aca="false">I25*$J$5</f>
        <v>5965.89473684211</v>
      </c>
      <c r="K25" s="9" t="n">
        <f aca="false">J25-H25</f>
        <v>5965.89473684211</v>
      </c>
      <c r="L25" s="10" t="str">
        <f aca="false">IF(AND(H25=0,J25=0),0,IF(H25=0,"New",(J25-H25)/H25))</f>
        <v>New</v>
      </c>
    </row>
    <row r="26" customFormat="false" ht="15" hidden="false" customHeight="true" outlineLevel="0" collapsed="false">
      <c r="A26" s="8" t="s">
        <v>65</v>
      </c>
      <c r="B26" s="8" t="str">
        <f aca="false">IFERROR(INDEX('Source PPLAY1 2026'!$C:$C,MATCH($A26,'Source PPLAY1 2026'!$B:$B,0)),IFERROR(INDEX('Source PPLAY1 2025'!$C:$C,MATCH($A26,'Source PPLAY1 2025'!$B:$B,0)),""))</f>
        <v>L מגן מרפק רגיל לבן</v>
      </c>
      <c r="C26" s="9" t="n">
        <f aca="false">SUMIFS('Source PPLAY1 2025'!$D:$D,'Source PPLAY1 2025'!$B:$B,$A26,'Source PPLAY1 2025'!$A:$A,"Quantity (units)")</f>
        <v>0</v>
      </c>
      <c r="D26" s="9" t="n">
        <f aca="false">SUMIFS('Source PPLAY1 2026'!$D:$D,'Source PPLAY1 2026'!$B:$B,$A26,'Source PPLAY1 2026'!$A:$A,"Quantity (units)")</f>
        <v>273</v>
      </c>
      <c r="E26" s="9" t="n">
        <f aca="false">D26*$J$5</f>
        <v>344.842105263158</v>
      </c>
      <c r="F26" s="9" t="n">
        <f aca="false">E26-C26</f>
        <v>344.842105263158</v>
      </c>
      <c r="G26" s="10" t="str">
        <f aca="false">IF(AND(C26=0,E26=0),0,IF(C26=0,"New",(E26-C26)/C26))</f>
        <v>New</v>
      </c>
      <c r="H26" s="9" t="n">
        <f aca="false">SUMIFS('Source PPLAY1 2025'!$D:$D,'Source PPLAY1 2025'!$B:$B,$A26,'Source PPLAY1 2025'!$A:$A,"Amount (NIS)")</f>
        <v>0</v>
      </c>
      <c r="I26" s="9" t="n">
        <f aca="false">SUMIFS('Source PPLAY1 2026'!$D:$D,'Source PPLAY1 2026'!$B:$B,$A26,'Source PPLAY1 2026'!$A:$A,"Amount (NIS)")</f>
        <v>4462.7</v>
      </c>
      <c r="J26" s="9" t="n">
        <f aca="false">I26*$J$5</f>
        <v>5637.09473684211</v>
      </c>
      <c r="K26" s="9" t="n">
        <f aca="false">J26-H26</f>
        <v>5637.09473684211</v>
      </c>
      <c r="L26" s="10" t="str">
        <f aca="false">IF(AND(H26=0,J26=0),0,IF(H26=0,"New",(J26-H26)/H26))</f>
        <v>New</v>
      </c>
    </row>
    <row r="27" customFormat="false" ht="15" hidden="false" customHeight="true" outlineLevel="0" collapsed="false">
      <c r="A27" s="8" t="s">
        <v>66</v>
      </c>
      <c r="B27" s="8" t="str">
        <f aca="false">IFERROR(INDEX('Source PPLAY1 2026'!$C:$C,MATCH($A27,'Source PPLAY1 2026'!$B:$B,0)),IFERROR(INDEX('Source PPLAY1 2025'!$C:$C,MATCH($A27,'Source PPLAY1 2025'!$B:$B,0)),""))</f>
        <v>L חגורת גב +סגירה</v>
      </c>
      <c r="C27" s="9" t="n">
        <f aca="false">SUMIFS('Source PPLAY1 2025'!$D:$D,'Source PPLAY1 2025'!$B:$B,$A27,'Source PPLAY1 2025'!$A:$A,"Quantity (units)")</f>
        <v>0</v>
      </c>
      <c r="D27" s="9" t="n">
        <f aca="false">SUMIFS('Source PPLAY1 2026'!$D:$D,'Source PPLAY1 2026'!$B:$B,$A27,'Source PPLAY1 2026'!$A:$A,"Quantity (units)")</f>
        <v>69</v>
      </c>
      <c r="E27" s="9" t="n">
        <f aca="false">D27*$J$5</f>
        <v>87.1578947368421</v>
      </c>
      <c r="F27" s="9" t="n">
        <f aca="false">E27-C27</f>
        <v>87.1578947368421</v>
      </c>
      <c r="G27" s="10" t="str">
        <f aca="false">IF(AND(C27=0,E27=0),0,IF(C27=0,"New",(E27-C27)/C27))</f>
        <v>New</v>
      </c>
      <c r="H27" s="9" t="n">
        <f aca="false">SUMIFS('Source PPLAY1 2025'!$D:$D,'Source PPLAY1 2025'!$B:$B,$A27,'Source PPLAY1 2025'!$A:$A,"Amount (NIS)")</f>
        <v>0</v>
      </c>
      <c r="I27" s="9" t="n">
        <f aca="false">SUMIFS('Source PPLAY1 2026'!$D:$D,'Source PPLAY1 2026'!$B:$B,$A27,'Source PPLAY1 2026'!$A:$A,"Amount (NIS)")</f>
        <v>4241.3</v>
      </c>
      <c r="J27" s="9" t="n">
        <f aca="false">I27*$J$5</f>
        <v>5357.43157894737</v>
      </c>
      <c r="K27" s="9" t="n">
        <f aca="false">J27-H27</f>
        <v>5357.43157894737</v>
      </c>
      <c r="L27" s="10" t="str">
        <f aca="false">IF(AND(H27=0,J27=0),0,IF(H27=0,"New",(J27-H27)/H27))</f>
        <v>New</v>
      </c>
    </row>
    <row r="28" customFormat="false" ht="15" hidden="false" customHeight="true" outlineLevel="0" collapsed="false">
      <c r="A28" s="8" t="s">
        <v>67</v>
      </c>
      <c r="B28" s="8" t="str">
        <f aca="false">IFERROR(INDEX('Source PPLAY1 2026'!$C:$C,MATCH($A28,'Source PPLAY1 2026'!$B:$B,0)),IFERROR(INDEX('Source PPLAY1 2025'!$C:$C,MATCH($A28,'Source PPLAY1 2025'!$B:$B,0)),""))</f>
        <v>L-XL חגורת הריון</v>
      </c>
      <c r="C28" s="9" t="n">
        <f aca="false">SUMIFS('Source PPLAY1 2025'!$D:$D,'Source PPLAY1 2025'!$B:$B,$A28,'Source PPLAY1 2025'!$A:$A,"Quantity (units)")</f>
        <v>0</v>
      </c>
      <c r="D28" s="9" t="n">
        <f aca="false">SUMIFS('Source PPLAY1 2026'!$D:$D,'Source PPLAY1 2026'!$B:$B,$A28,'Source PPLAY1 2026'!$A:$A,"Quantity (units)")</f>
        <v>50</v>
      </c>
      <c r="E28" s="9" t="n">
        <f aca="false">D28*$J$5</f>
        <v>63.1578947368421</v>
      </c>
      <c r="F28" s="9" t="n">
        <f aca="false">E28-C28</f>
        <v>63.1578947368421</v>
      </c>
      <c r="G28" s="10" t="str">
        <f aca="false">IF(AND(C28=0,E28=0),0,IF(C28=0,"New",(E28-C28)/C28))</f>
        <v>New</v>
      </c>
      <c r="H28" s="9" t="n">
        <f aca="false">SUMIFS('Source PPLAY1 2025'!$D:$D,'Source PPLAY1 2025'!$B:$B,$A28,'Source PPLAY1 2025'!$A:$A,"Amount (NIS)")</f>
        <v>0</v>
      </c>
      <c r="I28" s="9" t="n">
        <f aca="false">SUMIFS('Source PPLAY1 2026'!$D:$D,'Source PPLAY1 2026'!$B:$B,$A28,'Source PPLAY1 2026'!$A:$A,"Amount (NIS)")</f>
        <v>3890</v>
      </c>
      <c r="J28" s="9" t="n">
        <f aca="false">I28*$J$5</f>
        <v>4913.68421052632</v>
      </c>
      <c r="K28" s="9" t="n">
        <f aca="false">J28-H28</f>
        <v>4913.68421052632</v>
      </c>
      <c r="L28" s="10" t="str">
        <f aca="false">IF(AND(H28=0,J28=0),0,IF(H28=0,"New",(J28-H28)/H28))</f>
        <v>New</v>
      </c>
    </row>
    <row r="29" customFormat="false" ht="15" hidden="false" customHeight="true" outlineLevel="0" collapsed="false">
      <c r="A29" s="8" t="s">
        <v>68</v>
      </c>
      <c r="B29" s="8" t="str">
        <f aca="false">IFERROR(INDEX('Source PPLAY1 2026'!$C:$C,MATCH($A29,'Source PPLAY1 2026'!$B:$B,0)),IFERROR(INDEX('Source PPLAY1 2025'!$C:$C,MATCH($A29,'Source PPLAY1 2025'!$B:$B,0)),""))</f>
        <v>טלק מעושר באלוורה</v>
      </c>
      <c r="C29" s="9" t="n">
        <f aca="false">SUMIFS('Source PPLAY1 2025'!$D:$D,'Source PPLAY1 2025'!$B:$B,$A29,'Source PPLAY1 2025'!$A:$A,"Quantity (units)")</f>
        <v>0</v>
      </c>
      <c r="D29" s="9" t="n">
        <f aca="false">SUMIFS('Source PPLAY1 2026'!$D:$D,'Source PPLAY1 2026'!$B:$B,$A29,'Source PPLAY1 2026'!$A:$A,"Quantity (units)")</f>
        <v>276</v>
      </c>
      <c r="E29" s="9" t="n">
        <f aca="false">D29*$J$5</f>
        <v>348.631578947368</v>
      </c>
      <c r="F29" s="9" t="n">
        <f aca="false">E29-C29</f>
        <v>348.631578947368</v>
      </c>
      <c r="G29" s="10" t="str">
        <f aca="false">IF(AND(C29=0,E29=0),0,IF(C29=0,"New",(E29-C29)/C29))</f>
        <v>New</v>
      </c>
      <c r="H29" s="9" t="n">
        <f aca="false">SUMIFS('Source PPLAY1 2025'!$D:$D,'Source PPLAY1 2025'!$B:$B,$A29,'Source PPLAY1 2025'!$A:$A,"Amount (NIS)")</f>
        <v>0</v>
      </c>
      <c r="I29" s="9" t="n">
        <f aca="false">SUMIFS('Source PPLAY1 2026'!$D:$D,'Source PPLAY1 2026'!$B:$B,$A29,'Source PPLAY1 2026'!$A:$A,"Amount (NIS)")</f>
        <v>3534.3</v>
      </c>
      <c r="J29" s="9" t="n">
        <f aca="false">I29*$J$5</f>
        <v>4464.37894736842</v>
      </c>
      <c r="K29" s="9" t="n">
        <f aca="false">J29-H29</f>
        <v>4464.37894736842</v>
      </c>
      <c r="L29" s="10" t="str">
        <f aca="false">IF(AND(H29=0,J29=0),0,IF(H29=0,"New",(J29-H29)/H29))</f>
        <v>New</v>
      </c>
    </row>
    <row r="30" customFormat="false" ht="15" hidden="false" customHeight="true" outlineLevel="0" collapsed="false">
      <c r="A30" s="8" t="s">
        <v>69</v>
      </c>
      <c r="B30" s="8" t="str">
        <f aca="false">IFERROR(INDEX('Source PPLAY1 2026'!$C:$C,MATCH($A30,'Source PPLAY1 2026'!$B:$B,0)),IFERROR(INDEX('Source PPLAY1 2025'!$C:$C,MATCH($A30,'Source PPLAY1 2025'!$B:$B,0)),""))</f>
        <v>חגורת גב +סגירה כפולה</v>
      </c>
      <c r="C30" s="9" t="n">
        <f aca="false">SUMIFS('Source PPLAY1 2025'!$D:$D,'Source PPLAY1 2025'!$B:$B,$A30,'Source PPLAY1 2025'!$A:$A,"Quantity (units)")</f>
        <v>0</v>
      </c>
      <c r="D30" s="9" t="n">
        <f aca="false">SUMIFS('Source PPLAY1 2026'!$D:$D,'Source PPLAY1 2026'!$B:$B,$A30,'Source PPLAY1 2026'!$A:$A,"Quantity (units)")</f>
        <v>54</v>
      </c>
      <c r="E30" s="9" t="n">
        <f aca="false">D30*$J$5</f>
        <v>68.2105263157895</v>
      </c>
      <c r="F30" s="9" t="n">
        <f aca="false">E30-C30</f>
        <v>68.2105263157895</v>
      </c>
      <c r="G30" s="10" t="str">
        <f aca="false">IF(AND(C30=0,E30=0),0,IF(C30=0,"New",(E30-C30)/C30))</f>
        <v>New</v>
      </c>
      <c r="H30" s="9" t="n">
        <f aca="false">SUMIFS('Source PPLAY1 2025'!$D:$D,'Source PPLAY1 2025'!$B:$B,$A30,'Source PPLAY1 2025'!$A:$A,"Amount (NIS)")</f>
        <v>0</v>
      </c>
      <c r="I30" s="9" t="n">
        <f aca="false">SUMIFS('Source PPLAY1 2026'!$D:$D,'Source PPLAY1 2026'!$B:$B,$A30,'Source PPLAY1 2026'!$A:$A,"Amount (NIS)")</f>
        <v>3510</v>
      </c>
      <c r="J30" s="9" t="n">
        <f aca="false">I30*$J$5</f>
        <v>4433.68421052632</v>
      </c>
      <c r="K30" s="9" t="n">
        <f aca="false">J30-H30</f>
        <v>4433.68421052632</v>
      </c>
      <c r="L30" s="10" t="str">
        <f aca="false">IF(AND(H30=0,J30=0),0,IF(H30=0,"New",(J30-H30)/H30))</f>
        <v>New</v>
      </c>
    </row>
    <row r="31" customFormat="false" ht="15" hidden="false" customHeight="true" outlineLevel="0" collapsed="false">
      <c r="A31" s="8" t="s">
        <v>70</v>
      </c>
      <c r="B31" s="8" t="str">
        <f aca="false">IFERROR(INDEX('Source PPLAY1 2026'!$C:$C,MATCH($A31,'Source PPLAY1 2026'!$B:$B,0)),IFERROR(INDEX('Source PPLAY1 2025'!$C:$C,MATCH($A31,'Source PPLAY1 2025'!$B:$B,0)),""))</f>
        <v>גב אפורה</v>
      </c>
      <c r="C31" s="9" t="n">
        <f aca="false">SUMIFS('Source PPLAY1 2025'!$D:$D,'Source PPLAY1 2025'!$B:$B,$A31,'Source PPLAY1 2025'!$A:$A,"Quantity (units)")</f>
        <v>0</v>
      </c>
      <c r="D31" s="9" t="n">
        <f aca="false">SUMIFS('Source PPLAY1 2026'!$D:$D,'Source PPLAY1 2026'!$B:$B,$A31,'Source PPLAY1 2026'!$A:$A,"Quantity (units)")</f>
        <v>54</v>
      </c>
      <c r="E31" s="9" t="n">
        <f aca="false">D31*$J$5</f>
        <v>68.2105263157895</v>
      </c>
      <c r="F31" s="9" t="n">
        <f aca="false">E31-C31</f>
        <v>68.2105263157895</v>
      </c>
      <c r="G31" s="10" t="str">
        <f aca="false">IF(AND(C31=0,E31=0),0,IF(C31=0,"New",(E31-C31)/C31))</f>
        <v>New</v>
      </c>
      <c r="H31" s="9" t="n">
        <f aca="false">SUMIFS('Source PPLAY1 2025'!$D:$D,'Source PPLAY1 2025'!$B:$B,$A31,'Source PPLAY1 2025'!$A:$A,"Amount (NIS)")</f>
        <v>0</v>
      </c>
      <c r="I31" s="9" t="n">
        <f aca="false">SUMIFS('Source PPLAY1 2026'!$D:$D,'Source PPLAY1 2026'!$B:$B,$A31,'Source PPLAY1 2026'!$A:$A,"Amount (NIS)")</f>
        <v>3510</v>
      </c>
      <c r="J31" s="9" t="n">
        <f aca="false">I31*$J$5</f>
        <v>4433.68421052632</v>
      </c>
      <c r="K31" s="9" t="n">
        <f aca="false">J31-H31</f>
        <v>4433.68421052632</v>
      </c>
      <c r="L31" s="10" t="str">
        <f aca="false">IF(AND(H31=0,J31=0),0,IF(H31=0,"New",(J31-H31)/H31))</f>
        <v>New</v>
      </c>
    </row>
    <row r="32" customFormat="false" ht="15" hidden="false" customHeight="true" outlineLevel="0" collapsed="false">
      <c r="A32" s="8" t="s">
        <v>71</v>
      </c>
      <c r="B32" s="8" t="str">
        <f aca="false">IFERROR(INDEX('Source PPLAY1 2026'!$C:$C,MATCH($A32,'Source PPLAY1 2026'!$B:$B,0)),IFERROR(INDEX('Source PPLAY1 2025'!$C:$C,MATCH($A32,'Source PPLAY1 2025'!$B:$B,0)),""))</f>
        <v>שרוול מסיליקון לאצבע</v>
      </c>
      <c r="C32" s="9" t="n">
        <f aca="false">SUMIFS('Source PPLAY1 2025'!$D:$D,'Source PPLAY1 2025'!$B:$B,$A32,'Source PPLAY1 2025'!$A:$A,"Quantity (units)")</f>
        <v>0</v>
      </c>
      <c r="D32" s="9" t="n">
        <f aca="false">SUMIFS('Source PPLAY1 2026'!$D:$D,'Source PPLAY1 2026'!$B:$B,$A32,'Source PPLAY1 2026'!$A:$A,"Quantity (units)")</f>
        <v>298</v>
      </c>
      <c r="E32" s="9" t="n">
        <f aca="false">D32*$J$5</f>
        <v>376.421052631579</v>
      </c>
      <c r="F32" s="9" t="n">
        <f aca="false">E32-C32</f>
        <v>376.421052631579</v>
      </c>
      <c r="G32" s="10" t="str">
        <f aca="false">IF(AND(C32=0,E32=0),0,IF(C32=0,"New",(E32-C32)/C32))</f>
        <v>New</v>
      </c>
      <c r="H32" s="9" t="n">
        <f aca="false">SUMIFS('Source PPLAY1 2025'!$D:$D,'Source PPLAY1 2025'!$B:$B,$A32,'Source PPLAY1 2025'!$A:$A,"Amount (NIS)")</f>
        <v>0</v>
      </c>
      <c r="I32" s="9" t="n">
        <f aca="false">SUMIFS('Source PPLAY1 2026'!$D:$D,'Source PPLAY1 2026'!$B:$B,$A32,'Source PPLAY1 2026'!$A:$A,"Amount (NIS)")</f>
        <v>3483.4</v>
      </c>
      <c r="J32" s="9" t="n">
        <f aca="false">I32*$J$5</f>
        <v>4400.08421052632</v>
      </c>
      <c r="K32" s="9" t="n">
        <f aca="false">J32-H32</f>
        <v>4400.08421052632</v>
      </c>
      <c r="L32" s="10" t="str">
        <f aca="false">IF(AND(H32=0,J32=0),0,IF(H32=0,"New",(J32-H32)/H32))</f>
        <v>New</v>
      </c>
    </row>
    <row r="33" customFormat="false" ht="15" hidden="false" customHeight="true" outlineLevel="0" collapsed="false">
      <c r="A33" s="8" t="s">
        <v>72</v>
      </c>
      <c r="B33" s="8" t="str">
        <f aca="false">IFERROR(INDEX('Source PPLAY1 2026'!$C:$C,MATCH($A33,'Source PPLAY1 2026'!$B:$B,0)),IFERROR(INDEX('Source PPLAY1 2025'!$C:$C,MATCH($A33,'Source PPLAY1 2025'!$B:$B,0)),""))</f>
        <v>סד לאגודל</v>
      </c>
      <c r="C33" s="9" t="n">
        <f aca="false">SUMIFS('Source PPLAY1 2025'!$D:$D,'Source PPLAY1 2025'!$B:$B,$A33,'Source PPLAY1 2025'!$A:$A,"Quantity (units)")</f>
        <v>0</v>
      </c>
      <c r="D33" s="9" t="n">
        <f aca="false">SUMIFS('Source PPLAY1 2026'!$D:$D,'Source PPLAY1 2026'!$B:$B,$A33,'Source PPLAY1 2026'!$A:$A,"Quantity (units)")</f>
        <v>167</v>
      </c>
      <c r="E33" s="9" t="n">
        <f aca="false">D33*$J$5</f>
        <v>210.947368421053</v>
      </c>
      <c r="F33" s="9" t="n">
        <f aca="false">E33-C33</f>
        <v>210.947368421053</v>
      </c>
      <c r="G33" s="10" t="str">
        <f aca="false">IF(AND(C33=0,E33=0),0,IF(C33=0,"New",(E33-C33)/C33))</f>
        <v>New</v>
      </c>
      <c r="H33" s="9" t="n">
        <f aca="false">SUMIFS('Source PPLAY1 2025'!$D:$D,'Source PPLAY1 2025'!$B:$B,$A33,'Source PPLAY1 2025'!$A:$A,"Amount (NIS)")</f>
        <v>0</v>
      </c>
      <c r="I33" s="9" t="n">
        <f aca="false">SUMIFS('Source PPLAY1 2026'!$D:$D,'Source PPLAY1 2026'!$B:$B,$A33,'Source PPLAY1 2026'!$A:$A,"Amount (NIS)")</f>
        <v>3340</v>
      </c>
      <c r="J33" s="9" t="n">
        <f aca="false">I33*$J$5</f>
        <v>4218.94736842105</v>
      </c>
      <c r="K33" s="9" t="n">
        <f aca="false">J33-H33</f>
        <v>4218.94736842105</v>
      </c>
      <c r="L33" s="10" t="str">
        <f aca="false">IF(AND(H33=0,J33=0),0,IF(H33=0,"New",(J33-H33)/H33))</f>
        <v>New</v>
      </c>
    </row>
    <row r="34" customFormat="false" ht="15" hidden="false" customHeight="true" outlineLevel="0" collapsed="false">
      <c r="A34" s="8" t="s">
        <v>73</v>
      </c>
      <c r="B34" s="8" t="str">
        <f aca="false">IFERROR(INDEX('Source PPLAY1 2026'!$C:$C,MATCH($A34,'Source PPLAY1 2026'!$B:$B,0)),IFERROR(INDEX('Source PPLAY1 2025'!$C:$C,MATCH($A34,'Source PPLAY1 2025'!$B:$B,0)),""))</f>
        <v>S ח.גב ""איטלקית"" אורירית</v>
      </c>
      <c r="C34" s="9" t="n">
        <f aca="false">SUMIFS('Source PPLAY1 2025'!$D:$D,'Source PPLAY1 2025'!$B:$B,$A34,'Source PPLAY1 2025'!$A:$A,"Quantity (units)")</f>
        <v>0</v>
      </c>
      <c r="D34" s="9" t="n">
        <f aca="false">SUMIFS('Source PPLAY1 2026'!$D:$D,'Source PPLAY1 2026'!$B:$B,$A34,'Source PPLAY1 2026'!$A:$A,"Quantity (units)")</f>
        <v>21</v>
      </c>
      <c r="E34" s="9" t="n">
        <f aca="false">D34*$J$5</f>
        <v>26.5263157894737</v>
      </c>
      <c r="F34" s="9" t="n">
        <f aca="false">E34-C34</f>
        <v>26.5263157894737</v>
      </c>
      <c r="G34" s="10" t="str">
        <f aca="false">IF(AND(C34=0,E34=0),0,IF(C34=0,"New",(E34-C34)/C34))</f>
        <v>New</v>
      </c>
      <c r="H34" s="9" t="n">
        <f aca="false">SUMIFS('Source PPLAY1 2025'!$D:$D,'Source PPLAY1 2025'!$B:$B,$A34,'Source PPLAY1 2025'!$A:$A,"Amount (NIS)")</f>
        <v>0</v>
      </c>
      <c r="I34" s="9" t="n">
        <f aca="false">SUMIFS('Source PPLAY1 2026'!$D:$D,'Source PPLAY1 2026'!$B:$B,$A34,'Source PPLAY1 2026'!$A:$A,"Amount (NIS)")</f>
        <v>3202.9</v>
      </c>
      <c r="J34" s="9" t="n">
        <f aca="false">I34*$J$5</f>
        <v>4045.76842105263</v>
      </c>
      <c r="K34" s="9" t="n">
        <f aca="false">J34-H34</f>
        <v>4045.76842105263</v>
      </c>
      <c r="L34" s="10" t="str">
        <f aca="false">IF(AND(H34=0,J34=0),0,IF(H34=0,"New",(J34-H34)/H34))</f>
        <v>New</v>
      </c>
    </row>
    <row r="35" customFormat="false" ht="15" hidden="false" customHeight="true" outlineLevel="0" collapsed="false">
      <c r="A35" s="8" t="s">
        <v>74</v>
      </c>
      <c r="B35" s="8" t="str">
        <f aca="false">IFERROR(INDEX('Source PPLAY1 2026'!$C:$C,MATCH($A35,'Source PPLAY1 2026'!$B:$B,0)),IFERROR(INDEX('Source PPLAY1 2025'!$C:$C,MATCH($A35,'Source PPLAY1 2025'!$B:$B,0)),""))</f>
        <v>ציפורניים</v>
      </c>
      <c r="C35" s="9" t="n">
        <f aca="false">SUMIFS('Source PPLAY1 2025'!$D:$D,'Source PPLAY1 2025'!$B:$B,$A35,'Source PPLAY1 2025'!$A:$A,"Quantity (units)")</f>
        <v>0</v>
      </c>
      <c r="D35" s="9" t="n">
        <f aca="false">SUMIFS('Source PPLAY1 2026'!$D:$D,'Source PPLAY1 2026'!$B:$B,$A35,'Source PPLAY1 2026'!$A:$A,"Quantity (units)")</f>
        <v>290</v>
      </c>
      <c r="E35" s="9" t="n">
        <f aca="false">D35*$J$5</f>
        <v>366.315789473684</v>
      </c>
      <c r="F35" s="9" t="n">
        <f aca="false">E35-C35</f>
        <v>366.315789473684</v>
      </c>
      <c r="G35" s="10" t="str">
        <f aca="false">IF(AND(C35=0,E35=0),0,IF(C35=0,"New",(E35-C35)/C35))</f>
        <v>New</v>
      </c>
      <c r="H35" s="9" t="n">
        <f aca="false">SUMIFS('Source PPLAY1 2025'!$D:$D,'Source PPLAY1 2025'!$B:$B,$A35,'Source PPLAY1 2025'!$A:$A,"Amount (NIS)")</f>
        <v>0</v>
      </c>
      <c r="I35" s="9" t="n">
        <f aca="false">SUMIFS('Source PPLAY1 2026'!$D:$D,'Source PPLAY1 2026'!$B:$B,$A35,'Source PPLAY1 2026'!$A:$A,"Amount (NIS)")</f>
        <v>2925</v>
      </c>
      <c r="J35" s="9" t="n">
        <f aca="false">I35*$J$5</f>
        <v>3694.73684210526</v>
      </c>
      <c r="K35" s="9" t="n">
        <f aca="false">J35-H35</f>
        <v>3694.73684210526</v>
      </c>
      <c r="L35" s="10" t="str">
        <f aca="false">IF(AND(H35=0,J35=0),0,IF(H35=0,"New",(J35-H35)/H35))</f>
        <v>New</v>
      </c>
    </row>
    <row r="36" customFormat="false" ht="15" hidden="false" customHeight="true" outlineLevel="0" collapsed="false">
      <c r="A36" s="8" t="s">
        <v>75</v>
      </c>
      <c r="B36" s="8" t="str">
        <f aca="false">IFERROR(INDEX('Source PPLAY1 2026'!$C:$C,MATCH($A36,'Source PPLAY1 2026'!$B:$B,0)),IFERROR(INDEX('Source PPLAY1 2025'!$C:$C,MATCH($A36,'Source PPLAY1 2025'!$B:$B,0)),""))</f>
        <v>מגן ברך+כרית ג'ל</v>
      </c>
      <c r="C36" s="9" t="n">
        <f aca="false">SUMIFS('Source PPLAY1 2025'!$D:$D,'Source PPLAY1 2025'!$B:$B,$A36,'Source PPLAY1 2025'!$A:$A,"Quantity (units)")</f>
        <v>0</v>
      </c>
      <c r="D36" s="9" t="n">
        <f aca="false">SUMIFS('Source PPLAY1 2026'!$D:$D,'Source PPLAY1 2026'!$B:$B,$A36,'Source PPLAY1 2026'!$A:$A,"Quantity (units)")</f>
        <v>56</v>
      </c>
      <c r="E36" s="9" t="n">
        <f aca="false">D36*$J$5</f>
        <v>70.7368421052632</v>
      </c>
      <c r="F36" s="9" t="n">
        <f aca="false">E36-C36</f>
        <v>70.7368421052632</v>
      </c>
      <c r="G36" s="10" t="str">
        <f aca="false">IF(AND(C36=0,E36=0),0,IF(C36=0,"New",(E36-C36)/C36))</f>
        <v>New</v>
      </c>
      <c r="H36" s="9" t="n">
        <f aca="false">SUMIFS('Source PPLAY1 2025'!$D:$D,'Source PPLAY1 2025'!$B:$B,$A36,'Source PPLAY1 2025'!$A:$A,"Amount (NIS)")</f>
        <v>0</v>
      </c>
      <c r="I36" s="9" t="n">
        <f aca="false">SUMIFS('Source PPLAY1 2026'!$D:$D,'Source PPLAY1 2026'!$B:$B,$A36,'Source PPLAY1 2026'!$A:$A,"Amount (NIS)")</f>
        <v>2875.6</v>
      </c>
      <c r="J36" s="9" t="n">
        <f aca="false">I36*$J$5</f>
        <v>3632.33684210526</v>
      </c>
      <c r="K36" s="9" t="n">
        <f aca="false">J36-H36</f>
        <v>3632.33684210526</v>
      </c>
      <c r="L36" s="10" t="str">
        <f aca="false">IF(AND(H36=0,J36=0),0,IF(H36=0,"New",(J36-H36)/H36))</f>
        <v>New</v>
      </c>
    </row>
    <row r="37" customFormat="false" ht="15" hidden="false" customHeight="true" outlineLevel="0" collapsed="false">
      <c r="A37" s="8" t="s">
        <v>76</v>
      </c>
      <c r="B37" s="8" t="str">
        <f aca="false">IFERROR(INDEX('Source PPLAY1 2026'!$C:$C,MATCH($A37,'Source PPLAY1 2026'!$B:$B,0)),IFERROR(INDEX('Source PPLAY1 2025'!$C:$C,MATCH($A37,'Source PPLAY1 2025'!$B:$B,0)),""))</f>
        <v>Sמיישר כתף יציב יישור ג.רחב</v>
      </c>
      <c r="C37" s="9" t="n">
        <f aca="false">SUMIFS('Source PPLAY1 2025'!$D:$D,'Source PPLAY1 2025'!$B:$B,$A37,'Source PPLAY1 2025'!$A:$A,"Quantity (units)")</f>
        <v>0</v>
      </c>
      <c r="D37" s="9" t="n">
        <f aca="false">SUMIFS('Source PPLAY1 2026'!$D:$D,'Source PPLAY1 2026'!$B:$B,$A37,'Source PPLAY1 2026'!$A:$A,"Quantity (units)")</f>
        <v>19</v>
      </c>
      <c r="E37" s="9" t="n">
        <f aca="false">D37*$J$5</f>
        <v>24</v>
      </c>
      <c r="F37" s="9" t="n">
        <f aca="false">E37-C37</f>
        <v>24</v>
      </c>
      <c r="G37" s="10" t="str">
        <f aca="false">IF(AND(C37=0,E37=0),0,IF(C37=0,"New",(E37-C37)/C37))</f>
        <v>New</v>
      </c>
      <c r="H37" s="9" t="n">
        <f aca="false">SUMIFS('Source PPLAY1 2025'!$D:$D,'Source PPLAY1 2025'!$B:$B,$A37,'Source PPLAY1 2025'!$A:$A,"Amount (NIS)")</f>
        <v>0</v>
      </c>
      <c r="I37" s="9" t="n">
        <f aca="false">SUMIFS('Source PPLAY1 2026'!$D:$D,'Source PPLAY1 2026'!$B:$B,$A37,'Source PPLAY1 2026'!$A:$A,"Amount (NIS)")</f>
        <v>2589.7</v>
      </c>
      <c r="J37" s="9" t="n">
        <f aca="false">I37*$J$5</f>
        <v>3271.2</v>
      </c>
      <c r="K37" s="9" t="n">
        <f aca="false">J37-H37</f>
        <v>3271.2</v>
      </c>
      <c r="L37" s="10" t="str">
        <f aca="false">IF(AND(H37=0,J37=0),0,IF(H37=0,"New",(J37-H37)/H37))</f>
        <v>New</v>
      </c>
    </row>
    <row r="38" customFormat="false" ht="15" hidden="false" customHeight="true" outlineLevel="0" collapsed="false">
      <c r="A38" s="8" t="s">
        <v>77</v>
      </c>
      <c r="B38" s="8" t="str">
        <f aca="false">IFERROR(INDEX('Source PPLAY1 2026'!$C:$C,MATCH($A38,'Source PPLAY1 2026'!$B:$B,0)),IFERROR(INDEX('Source PPLAY1 2025'!$C:$C,MATCH($A38,'Source PPLAY1 2025'!$B:$B,0)),""))</f>
        <v>מגן מרפק לטניס</v>
      </c>
      <c r="C38" s="9" t="n">
        <f aca="false">SUMIFS('Source PPLAY1 2025'!$D:$D,'Source PPLAY1 2025'!$B:$B,$A38,'Source PPLAY1 2025'!$A:$A,"Quantity (units)")</f>
        <v>0</v>
      </c>
      <c r="D38" s="9" t="n">
        <f aca="false">SUMIFS('Source PPLAY1 2026'!$D:$D,'Source PPLAY1 2026'!$B:$B,$A38,'Source PPLAY1 2026'!$A:$A,"Quantity (units)")</f>
        <v>131</v>
      </c>
      <c r="E38" s="9" t="n">
        <f aca="false">D38*$J$5</f>
        <v>165.473684210526</v>
      </c>
      <c r="F38" s="9" t="n">
        <f aca="false">E38-C38</f>
        <v>165.473684210526</v>
      </c>
      <c r="G38" s="10" t="str">
        <f aca="false">IF(AND(C38=0,E38=0),0,IF(C38=0,"New",(E38-C38)/C38))</f>
        <v>New</v>
      </c>
      <c r="H38" s="9" t="n">
        <f aca="false">SUMIFS('Source PPLAY1 2025'!$D:$D,'Source PPLAY1 2025'!$B:$B,$A38,'Source PPLAY1 2025'!$A:$A,"Amount (NIS)")</f>
        <v>0</v>
      </c>
      <c r="I38" s="9" t="n">
        <f aca="false">SUMIFS('Source PPLAY1 2026'!$D:$D,'Source PPLAY1 2026'!$B:$B,$A38,'Source PPLAY1 2026'!$A:$A,"Amount (NIS)")</f>
        <v>2563.6</v>
      </c>
      <c r="J38" s="9" t="n">
        <f aca="false">I38*$J$5</f>
        <v>3238.23157894737</v>
      </c>
      <c r="K38" s="9" t="n">
        <f aca="false">J38-H38</f>
        <v>3238.23157894737</v>
      </c>
      <c r="L38" s="10" t="str">
        <f aca="false">IF(AND(H38=0,J38=0),0,IF(H38=0,"New",(J38-H38)/H38))</f>
        <v>New</v>
      </c>
    </row>
    <row r="39" customFormat="false" ht="15" hidden="false" customHeight="true" outlineLevel="0" collapsed="false">
      <c r="A39" s="8" t="s">
        <v>78</v>
      </c>
      <c r="B39" s="8" t="str">
        <f aca="false">IFERROR(INDEX('Source PPLAY1 2026'!$C:$C,MATCH($A39,'Source PPLAY1 2026'!$B:$B,0)),IFERROR(INDEX('Source PPLAY1 2025'!$C:$C,MATCH($A39,'Source PPLAY1 2025'!$B:$B,0)),""))</f>
        <v>XS חגורת פאבליק</v>
      </c>
      <c r="C39" s="9" t="n">
        <f aca="false">SUMIFS('Source PPLAY1 2025'!$D:$D,'Source PPLAY1 2025'!$B:$B,$A39,'Source PPLAY1 2025'!$A:$A,"Quantity (units)")</f>
        <v>0</v>
      </c>
      <c r="D39" s="9" t="n">
        <f aca="false">SUMIFS('Source PPLAY1 2026'!$D:$D,'Source PPLAY1 2026'!$B:$B,$A39,'Source PPLAY1 2026'!$A:$A,"Quantity (units)")</f>
        <v>12</v>
      </c>
      <c r="E39" s="9" t="n">
        <f aca="false">D39*$J$5</f>
        <v>15.1578947368421</v>
      </c>
      <c r="F39" s="9" t="n">
        <f aca="false">E39-C39</f>
        <v>15.1578947368421</v>
      </c>
      <c r="G39" s="10" t="str">
        <f aca="false">IF(AND(C39=0,E39=0),0,IF(C39=0,"New",(E39-C39)/C39))</f>
        <v>New</v>
      </c>
      <c r="H39" s="9" t="n">
        <f aca="false">SUMIFS('Source PPLAY1 2025'!$D:$D,'Source PPLAY1 2025'!$B:$B,$A39,'Source PPLAY1 2025'!$A:$A,"Amount (NIS)")</f>
        <v>0</v>
      </c>
      <c r="I39" s="9" t="n">
        <f aca="false">SUMIFS('Source PPLAY1 2026'!$D:$D,'Source PPLAY1 2026'!$B:$B,$A39,'Source PPLAY1 2026'!$A:$A,"Amount (NIS)")</f>
        <v>2547</v>
      </c>
      <c r="J39" s="9" t="n">
        <f aca="false">I39*$J$5</f>
        <v>3217.26315789474</v>
      </c>
      <c r="K39" s="9" t="n">
        <f aca="false">J39-H39</f>
        <v>3217.26315789474</v>
      </c>
      <c r="L39" s="10" t="str">
        <f aca="false">IF(AND(H39=0,J39=0),0,IF(H39=0,"New",(J39-H39)/H39))</f>
        <v>New</v>
      </c>
    </row>
    <row r="40" customFormat="false" ht="15" hidden="false" customHeight="true" outlineLevel="0" collapsed="false">
      <c r="A40" s="8" t="s">
        <v>79</v>
      </c>
      <c r="B40" s="8" t="str">
        <f aca="false">IFERROR(INDEX('Source PPLAY1 2026'!$C:$C,MATCH($A40,'Source PPLAY1 2026'!$B:$B,0)),IFERROR(INDEX('Source PPLAY1 2025'!$C:$C,MATCH($A40,'Source PPLAY1 2025'!$B:$B,0)),""))</f>
        <v>גב אפורה</v>
      </c>
      <c r="C40" s="9" t="n">
        <f aca="false">SUMIFS('Source PPLAY1 2025'!$D:$D,'Source PPLAY1 2025'!$B:$B,$A40,'Source PPLAY1 2025'!$A:$A,"Quantity (units)")</f>
        <v>0</v>
      </c>
      <c r="D40" s="9" t="n">
        <f aca="false">SUMIFS('Source PPLAY1 2026'!$D:$D,'Source PPLAY1 2026'!$B:$B,$A40,'Source PPLAY1 2026'!$A:$A,"Quantity (units)")</f>
        <v>39</v>
      </c>
      <c r="E40" s="9" t="n">
        <f aca="false">D40*$J$5</f>
        <v>49.2631578947368</v>
      </c>
      <c r="F40" s="9" t="n">
        <f aca="false">E40-C40</f>
        <v>49.2631578947368</v>
      </c>
      <c r="G40" s="10" t="str">
        <f aca="false">IF(AND(C40=0,E40=0),0,IF(C40=0,"New",(E40-C40)/C40))</f>
        <v>New</v>
      </c>
      <c r="H40" s="9" t="n">
        <f aca="false">SUMIFS('Source PPLAY1 2025'!$D:$D,'Source PPLAY1 2025'!$B:$B,$A40,'Source PPLAY1 2025'!$A:$A,"Amount (NIS)")</f>
        <v>0</v>
      </c>
      <c r="I40" s="9" t="n">
        <f aca="false">SUMIFS('Source PPLAY1 2026'!$D:$D,'Source PPLAY1 2026'!$B:$B,$A40,'Source PPLAY1 2026'!$A:$A,"Amount (NIS)")</f>
        <v>2535</v>
      </c>
      <c r="J40" s="9" t="n">
        <f aca="false">I40*$J$5</f>
        <v>3202.10526315789</v>
      </c>
      <c r="K40" s="9" t="n">
        <f aca="false">J40-H40</f>
        <v>3202.10526315789</v>
      </c>
      <c r="L40" s="10" t="str">
        <f aca="false">IF(AND(H40=0,J40=0),0,IF(H40=0,"New",(J40-H40)/H40))</f>
        <v>New</v>
      </c>
    </row>
    <row r="41" customFormat="false" ht="15" hidden="false" customHeight="true" outlineLevel="0" collapsed="false">
      <c r="A41" s="8" t="s">
        <v>80</v>
      </c>
      <c r="B41" s="8" t="str">
        <f aca="false">IFERROR(INDEX('Source PPLAY1 2026'!$C:$C,MATCH($A41,'Source PPLAY1 2026'!$B:$B,0)),IFERROR(INDEX('Source PPLAY1 2025'!$C:$C,MATCH($A41,'Source PPLAY1 2025'!$B:$B,0)),""))</f>
        <v>S-L אצבעון מסיליקון יחידה</v>
      </c>
      <c r="C41" s="9" t="n">
        <f aca="false">SUMIFS('Source PPLAY1 2025'!$D:$D,'Source PPLAY1 2025'!$B:$B,$A41,'Source PPLAY1 2025'!$A:$A,"Quantity (units)")</f>
        <v>0</v>
      </c>
      <c r="D41" s="9" t="n">
        <f aca="false">SUMIFS('Source PPLAY1 2026'!$D:$D,'Source PPLAY1 2026'!$B:$B,$A41,'Source PPLAY1 2026'!$A:$A,"Quantity (units)")</f>
        <v>147</v>
      </c>
      <c r="E41" s="9" t="n">
        <f aca="false">D41*$J$5</f>
        <v>185.684210526316</v>
      </c>
      <c r="F41" s="9" t="n">
        <f aca="false">E41-C41</f>
        <v>185.684210526316</v>
      </c>
      <c r="G41" s="10" t="str">
        <f aca="false">IF(AND(C41=0,E41=0),0,IF(C41=0,"New",(E41-C41)/C41))</f>
        <v>New</v>
      </c>
      <c r="H41" s="9" t="n">
        <f aca="false">SUMIFS('Source PPLAY1 2025'!$D:$D,'Source PPLAY1 2025'!$B:$B,$A41,'Source PPLAY1 2025'!$A:$A,"Amount (NIS)")</f>
        <v>0</v>
      </c>
      <c r="I41" s="9" t="n">
        <f aca="false">SUMIFS('Source PPLAY1 2026'!$D:$D,'Source PPLAY1 2026'!$B:$B,$A41,'Source PPLAY1 2026'!$A:$A,"Amount (NIS)")</f>
        <v>2363.2</v>
      </c>
      <c r="J41" s="9" t="n">
        <f aca="false">I41*$J$5</f>
        <v>2985.09473684211</v>
      </c>
      <c r="K41" s="9" t="n">
        <f aca="false">J41-H41</f>
        <v>2985.09473684211</v>
      </c>
      <c r="L41" s="10" t="str">
        <f aca="false">IF(AND(H41=0,J41=0),0,IF(H41=0,"New",(J41-H41)/H41))</f>
        <v>New</v>
      </c>
    </row>
    <row r="42" customFormat="false" ht="15" hidden="false" customHeight="true" outlineLevel="0" collapsed="false">
      <c r="A42" s="8" t="s">
        <v>81</v>
      </c>
      <c r="B42" s="8" t="str">
        <f aca="false">IFERROR(INDEX('Source PPLAY1 2026'!$C:$C,MATCH($A42,'Source PPLAY1 2026'!$B:$B,0)),IFERROR(INDEX('Source PPLAY1 2025'!$C:$C,MATCH($A42,'Source PPLAY1 2025'!$B:$B,0)),""))</f>
        <v>דאודורנט אנטיבק.נעל333</v>
      </c>
      <c r="C42" s="9" t="n">
        <f aca="false">SUMIFS('Source PPLAY1 2025'!$D:$D,'Source PPLAY1 2025'!$B:$B,$A42,'Source PPLAY1 2025'!$A:$A,"Quantity (units)")</f>
        <v>0</v>
      </c>
      <c r="D42" s="9" t="n">
        <f aca="false">SUMIFS('Source PPLAY1 2026'!$D:$D,'Source PPLAY1 2026'!$B:$B,$A42,'Source PPLAY1 2026'!$A:$A,"Quantity (units)")</f>
        <v>156</v>
      </c>
      <c r="E42" s="9" t="n">
        <f aca="false">D42*$J$5</f>
        <v>197.052631578947</v>
      </c>
      <c r="F42" s="9" t="n">
        <f aca="false">E42-C42</f>
        <v>197.052631578947</v>
      </c>
      <c r="G42" s="10" t="str">
        <f aca="false">IF(AND(C42=0,E42=0),0,IF(C42=0,"New",(E42-C42)/C42))</f>
        <v>New</v>
      </c>
      <c r="H42" s="9" t="n">
        <f aca="false">SUMIFS('Source PPLAY1 2025'!$D:$D,'Source PPLAY1 2025'!$B:$B,$A42,'Source PPLAY1 2025'!$A:$A,"Amount (NIS)")</f>
        <v>0</v>
      </c>
      <c r="I42" s="9" t="n">
        <f aca="false">SUMIFS('Source PPLAY1 2026'!$D:$D,'Source PPLAY1 2026'!$B:$B,$A42,'Source PPLAY1 2026'!$A:$A,"Amount (NIS)")</f>
        <v>2308.8</v>
      </c>
      <c r="J42" s="9" t="n">
        <f aca="false">I42*$J$5</f>
        <v>2916.37894736842</v>
      </c>
      <c r="K42" s="9" t="n">
        <f aca="false">J42-H42</f>
        <v>2916.37894736842</v>
      </c>
      <c r="L42" s="10" t="str">
        <f aca="false">IF(AND(H42=0,J42=0),0,IF(H42=0,"New",(J42-H42)/H42))</f>
        <v>New</v>
      </c>
    </row>
    <row r="43" customFormat="false" ht="15" hidden="false" customHeight="true" outlineLevel="0" collapsed="false">
      <c r="A43" s="8" t="s">
        <v>82</v>
      </c>
      <c r="B43" s="8" t="str">
        <f aca="false">IFERROR(INDEX('Source PPLAY1 2026'!$C:$C,MATCH($A43,'Source PPLAY1 2026'!$B:$B,0)),IFERROR(INDEX('Source PPLAY1 2025'!$C:$C,MATCH($A43,'Source PPLAY1 2025'!$B:$B,0)),""))</f>
        <v>0 מ.בוניון+מפריד אצבע</v>
      </c>
      <c r="C43" s="9" t="n">
        <f aca="false">SUMIFS('Source PPLAY1 2025'!$D:$D,'Source PPLAY1 2025'!$B:$B,$A43,'Source PPLAY1 2025'!$A:$A,"Quantity (units)")</f>
        <v>0</v>
      </c>
      <c r="D43" s="9" t="n">
        <f aca="false">SUMIFS('Source PPLAY1 2026'!$D:$D,'Source PPLAY1 2026'!$B:$B,$A43,'Source PPLAY1 2026'!$A:$A,"Quantity (units)")</f>
        <v>81</v>
      </c>
      <c r="E43" s="9" t="n">
        <f aca="false">D43*$J$5</f>
        <v>102.315789473684</v>
      </c>
      <c r="F43" s="9" t="n">
        <f aca="false">E43-C43</f>
        <v>102.315789473684</v>
      </c>
      <c r="G43" s="10" t="str">
        <f aca="false">IF(AND(C43=0,E43=0),0,IF(C43=0,"New",(E43-C43)/C43))</f>
        <v>New</v>
      </c>
      <c r="H43" s="9" t="n">
        <f aca="false">SUMIFS('Source PPLAY1 2025'!$D:$D,'Source PPLAY1 2025'!$B:$B,$A43,'Source PPLAY1 2025'!$A:$A,"Amount (NIS)")</f>
        <v>0</v>
      </c>
      <c r="I43" s="9" t="n">
        <f aca="false">SUMIFS('Source PPLAY1 2026'!$D:$D,'Source PPLAY1 2026'!$B:$B,$A43,'Source PPLAY1 2026'!$A:$A,"Amount (NIS)")</f>
        <v>2231.6</v>
      </c>
      <c r="J43" s="9" t="n">
        <f aca="false">I43*$J$5</f>
        <v>2818.86315789474</v>
      </c>
      <c r="K43" s="9" t="n">
        <f aca="false">J43-H43</f>
        <v>2818.86315789474</v>
      </c>
      <c r="L43" s="10" t="str">
        <f aca="false">IF(AND(H43=0,J43=0),0,IF(H43=0,"New",(J43-H43)/H43))</f>
        <v>New</v>
      </c>
    </row>
    <row r="44" customFormat="false" ht="15" hidden="false" customHeight="true" outlineLevel="0" collapsed="false">
      <c r="A44" s="8" t="s">
        <v>83</v>
      </c>
      <c r="B44" s="8" t="str">
        <f aca="false">IFERROR(INDEX('Source PPLAY1 2026'!$C:$C,MATCH($A44,'Source PPLAY1 2026'!$B:$B,0)),IFERROR(INDEX('Source PPLAY1 2025'!$C:$C,MATCH($A44,'Source PPLAY1 2025'!$B:$B,0)),""))</f>
        <v>חגורת גב +סגירה כפולה</v>
      </c>
      <c r="C44" s="9" t="n">
        <f aca="false">SUMIFS('Source PPLAY1 2025'!$D:$D,'Source PPLAY1 2025'!$B:$B,$A44,'Source PPLAY1 2025'!$A:$A,"Quantity (units)")</f>
        <v>0</v>
      </c>
      <c r="D44" s="9" t="n">
        <f aca="false">SUMIFS('Source PPLAY1 2026'!$D:$D,'Source PPLAY1 2026'!$B:$B,$A44,'Source PPLAY1 2026'!$A:$A,"Quantity (units)")</f>
        <v>35</v>
      </c>
      <c r="E44" s="9" t="n">
        <f aca="false">D44*$J$5</f>
        <v>44.2105263157895</v>
      </c>
      <c r="F44" s="9" t="n">
        <f aca="false">E44-C44</f>
        <v>44.2105263157895</v>
      </c>
      <c r="G44" s="10" t="str">
        <f aca="false">IF(AND(C44=0,E44=0),0,IF(C44=0,"New",(E44-C44)/C44))</f>
        <v>New</v>
      </c>
      <c r="H44" s="9" t="n">
        <f aca="false">SUMIFS('Source PPLAY1 2025'!$D:$D,'Source PPLAY1 2025'!$B:$B,$A44,'Source PPLAY1 2025'!$A:$A,"Amount (NIS)")</f>
        <v>0</v>
      </c>
      <c r="I44" s="9" t="n">
        <f aca="false">SUMIFS('Source PPLAY1 2026'!$D:$D,'Source PPLAY1 2026'!$B:$B,$A44,'Source PPLAY1 2026'!$A:$A,"Amount (NIS)")</f>
        <v>2193.8</v>
      </c>
      <c r="J44" s="9" t="n">
        <f aca="false">I44*$J$5</f>
        <v>2771.11578947368</v>
      </c>
      <c r="K44" s="9" t="n">
        <f aca="false">J44-H44</f>
        <v>2771.11578947368</v>
      </c>
      <c r="L44" s="10" t="str">
        <f aca="false">IF(AND(H44=0,J44=0),0,IF(H44=0,"New",(J44-H44)/H44))</f>
        <v>New</v>
      </c>
    </row>
    <row r="45" customFormat="false" ht="15" hidden="false" customHeight="true" outlineLevel="0" collapsed="false">
      <c r="A45" s="8" t="s">
        <v>84</v>
      </c>
      <c r="B45" s="8" t="str">
        <f aca="false">IFERROR(INDEX('Source PPLAY1 2026'!$C:$C,MATCH($A45,'Source PPLAY1 2026'!$B:$B,0)),IFERROR(INDEX('Source PPLAY1 2025'!$C:$C,MATCH($A45,'Source PPLAY1 2025'!$B:$B,0)),""))</f>
        <v>S חגורה למנותחי בית החזה</v>
      </c>
      <c r="C45" s="9" t="n">
        <f aca="false">SUMIFS('Source PPLAY1 2025'!$D:$D,'Source PPLAY1 2025'!$B:$B,$A45,'Source PPLAY1 2025'!$A:$A,"Quantity (units)")</f>
        <v>0</v>
      </c>
      <c r="D45" s="9" t="n">
        <f aca="false">SUMIFS('Source PPLAY1 2026'!$D:$D,'Source PPLAY1 2026'!$B:$B,$A45,'Source PPLAY1 2026'!$A:$A,"Quantity (units)")</f>
        <v>22</v>
      </c>
      <c r="E45" s="9" t="n">
        <f aca="false">D45*$J$5</f>
        <v>27.7894736842105</v>
      </c>
      <c r="F45" s="9" t="n">
        <f aca="false">E45-C45</f>
        <v>27.7894736842105</v>
      </c>
      <c r="G45" s="10" t="str">
        <f aca="false">IF(AND(C45=0,E45=0),0,IF(C45=0,"New",(E45-C45)/C45))</f>
        <v>New</v>
      </c>
      <c r="H45" s="9" t="n">
        <f aca="false">SUMIFS('Source PPLAY1 2025'!$D:$D,'Source PPLAY1 2025'!$B:$B,$A45,'Source PPLAY1 2025'!$A:$A,"Amount (NIS)")</f>
        <v>0</v>
      </c>
      <c r="I45" s="9" t="n">
        <f aca="false">SUMIFS('Source PPLAY1 2026'!$D:$D,'Source PPLAY1 2026'!$B:$B,$A45,'Source PPLAY1 2026'!$A:$A,"Amount (NIS)")</f>
        <v>2168.5</v>
      </c>
      <c r="J45" s="9" t="n">
        <f aca="false">I45*$J$5</f>
        <v>2739.15789473684</v>
      </c>
      <c r="K45" s="9" t="n">
        <f aca="false">J45-H45</f>
        <v>2739.15789473684</v>
      </c>
      <c r="L45" s="10" t="str">
        <f aca="false">IF(AND(H45=0,J45=0),0,IF(H45=0,"New",(J45-H45)/H45))</f>
        <v>New</v>
      </c>
    </row>
    <row r="46" customFormat="false" ht="15" hidden="false" customHeight="true" outlineLevel="0" collapsed="false">
      <c r="A46" s="8" t="s">
        <v>85</v>
      </c>
      <c r="B46" s="8" t="str">
        <f aca="false">IFERROR(INDEX('Source PPLAY1 2026'!$C:$C,MATCH($A46,'Source PPLAY1 2026'!$B:$B,0)),IFERROR(INDEX('Source PPLAY1 2025'!$C:$C,MATCH($A46,'Source PPLAY1 2025'!$B:$B,0)),""))</f>
        <v>S תומך זרוע וכתף</v>
      </c>
      <c r="C46" s="9" t="n">
        <f aca="false">SUMIFS('Source PPLAY1 2025'!$D:$D,'Source PPLAY1 2025'!$B:$B,$A46,'Source PPLAY1 2025'!$A:$A,"Quantity (units)")</f>
        <v>0</v>
      </c>
      <c r="D46" s="9" t="n">
        <f aca="false">SUMIFS('Source PPLAY1 2026'!$D:$D,'Source PPLAY1 2026'!$B:$B,$A46,'Source PPLAY1 2026'!$A:$A,"Quantity (units)")</f>
        <v>16</v>
      </c>
      <c r="E46" s="9" t="n">
        <f aca="false">D46*$J$5</f>
        <v>20.2105263157895</v>
      </c>
      <c r="F46" s="9" t="n">
        <f aca="false">E46-C46</f>
        <v>20.2105263157895</v>
      </c>
      <c r="G46" s="10" t="str">
        <f aca="false">IF(AND(C46=0,E46=0),0,IF(C46=0,"New",(E46-C46)/C46))</f>
        <v>New</v>
      </c>
      <c r="H46" s="9" t="n">
        <f aca="false">SUMIFS('Source PPLAY1 2025'!$D:$D,'Source PPLAY1 2025'!$B:$B,$A46,'Source PPLAY1 2025'!$A:$A,"Amount (NIS)")</f>
        <v>0</v>
      </c>
      <c r="I46" s="9" t="n">
        <f aca="false">SUMIFS('Source PPLAY1 2026'!$D:$D,'Source PPLAY1 2026'!$B:$B,$A46,'Source PPLAY1 2026'!$A:$A,"Amount (NIS)")</f>
        <v>2027.2</v>
      </c>
      <c r="J46" s="9" t="n">
        <f aca="false">I46*$J$5</f>
        <v>2560.67368421053</v>
      </c>
      <c r="K46" s="9" t="n">
        <f aca="false">J46-H46</f>
        <v>2560.67368421053</v>
      </c>
      <c r="L46" s="10" t="str">
        <f aca="false">IF(AND(H46=0,J46=0),0,IF(H46=0,"New",(J46-H46)/H46))</f>
        <v>New</v>
      </c>
    </row>
    <row r="47" customFormat="false" ht="15" hidden="false" customHeight="true" outlineLevel="0" collapsed="false">
      <c r="A47" s="8" t="s">
        <v>86</v>
      </c>
      <c r="B47" s="8" t="str">
        <f aca="false">IFERROR(INDEX('Source PPLAY1 2026'!$C:$C,MATCH($A47,'Source PPLAY1 2026'!$B:$B,0)),IFERROR(INDEX('Source PPLAY1 2025'!$C:$C,MATCH($A47,'Source PPLAY1 2025'!$B:$B,0)),""))</f>
        <v>חבק לקרסול</v>
      </c>
      <c r="C47" s="9" t="n">
        <f aca="false">SUMIFS('Source PPLAY1 2025'!$D:$D,'Source PPLAY1 2025'!$B:$B,$A47,'Source PPLAY1 2025'!$A:$A,"Quantity (units)")</f>
        <v>0</v>
      </c>
      <c r="D47" s="9" t="n">
        <f aca="false">SUMIFS('Source PPLAY1 2026'!$D:$D,'Source PPLAY1 2026'!$B:$B,$A47,'Source PPLAY1 2026'!$A:$A,"Quantity (units)")</f>
        <v>97</v>
      </c>
      <c r="E47" s="9" t="n">
        <f aca="false">D47*$J$5</f>
        <v>122.526315789474</v>
      </c>
      <c r="F47" s="9" t="n">
        <f aca="false">E47-C47</f>
        <v>122.526315789474</v>
      </c>
      <c r="G47" s="10" t="str">
        <f aca="false">IF(AND(C47=0,E47=0),0,IF(C47=0,"New",(E47-C47)/C47))</f>
        <v>New</v>
      </c>
      <c r="H47" s="9" t="n">
        <f aca="false">SUMIFS('Source PPLAY1 2025'!$D:$D,'Source PPLAY1 2025'!$B:$B,$A47,'Source PPLAY1 2025'!$A:$A,"Amount (NIS)")</f>
        <v>0</v>
      </c>
      <c r="I47" s="9" t="n">
        <f aca="false">SUMIFS('Source PPLAY1 2026'!$D:$D,'Source PPLAY1 2026'!$B:$B,$A47,'Source PPLAY1 2026'!$A:$A,"Amount (NIS)")</f>
        <v>1989.8</v>
      </c>
      <c r="J47" s="9" t="n">
        <f aca="false">I47*$J$5</f>
        <v>2513.43157894737</v>
      </c>
      <c r="K47" s="9" t="n">
        <f aca="false">J47-H47</f>
        <v>2513.43157894737</v>
      </c>
      <c r="L47" s="10" t="str">
        <f aca="false">IF(AND(H47=0,J47=0),0,IF(H47=0,"New",(J47-H47)/H47))</f>
        <v>New</v>
      </c>
    </row>
    <row r="48" customFormat="false" ht="15" hidden="false" customHeight="true" outlineLevel="0" collapsed="false">
      <c r="A48" s="8" t="s">
        <v>87</v>
      </c>
      <c r="B48" s="8" t="str">
        <f aca="false">IFERROR(INDEX('Source PPLAY1 2026'!$C:$C,MATCH($A48,'Source PPLAY1 2026'!$B:$B,0)),IFERROR(INDEX('Source PPLAY1 2025'!$C:$C,MATCH($A48,'Source PPLAY1 2025'!$B:$B,0)),""))</f>
        <v>חגורת גב אפורה</v>
      </c>
      <c r="C48" s="9" t="n">
        <f aca="false">SUMIFS('Source PPLAY1 2025'!$D:$D,'Source PPLAY1 2025'!$B:$B,$A48,'Source PPLAY1 2025'!$A:$A,"Quantity (units)")</f>
        <v>0</v>
      </c>
      <c r="D48" s="9" t="n">
        <f aca="false">SUMIFS('Source PPLAY1 2026'!$D:$D,'Source PPLAY1 2026'!$B:$B,$A48,'Source PPLAY1 2026'!$A:$A,"Quantity (units)")</f>
        <v>30</v>
      </c>
      <c r="E48" s="9" t="n">
        <f aca="false">D48*$J$5</f>
        <v>37.8947368421053</v>
      </c>
      <c r="F48" s="9" t="n">
        <f aca="false">E48-C48</f>
        <v>37.8947368421053</v>
      </c>
      <c r="G48" s="10" t="str">
        <f aca="false">IF(AND(C48=0,E48=0),0,IF(C48=0,"New",(E48-C48)/C48))</f>
        <v>New</v>
      </c>
      <c r="H48" s="9" t="n">
        <f aca="false">SUMIFS('Source PPLAY1 2025'!$D:$D,'Source PPLAY1 2025'!$B:$B,$A48,'Source PPLAY1 2025'!$A:$A,"Amount (NIS)")</f>
        <v>0</v>
      </c>
      <c r="I48" s="9" t="n">
        <f aca="false">SUMIFS('Source PPLAY1 2026'!$D:$D,'Source PPLAY1 2026'!$B:$B,$A48,'Source PPLAY1 2026'!$A:$A,"Amount (NIS)")</f>
        <v>1950</v>
      </c>
      <c r="J48" s="9" t="n">
        <f aca="false">I48*$J$5</f>
        <v>2463.15789473684</v>
      </c>
      <c r="K48" s="9" t="n">
        <f aca="false">J48-H48</f>
        <v>2463.15789473684</v>
      </c>
      <c r="L48" s="10" t="str">
        <f aca="false">IF(AND(H48=0,J48=0),0,IF(H48=0,"New",(J48-H48)/H48))</f>
        <v>New</v>
      </c>
    </row>
    <row r="49" customFormat="false" ht="15" hidden="false" customHeight="true" outlineLevel="0" collapsed="false">
      <c r="A49" s="8" t="s">
        <v>88</v>
      </c>
      <c r="B49" s="8" t="str">
        <f aca="false">IFERROR(INDEX('Source PPLAY1 2026'!$C:$C,MATCH($A49,'Source PPLAY1 2026'!$B:$B,0)),IFERROR(INDEX('Source PPLAY1 2025'!$C:$C,MATCH($A49,'Source PPLAY1 2025'!$B:$B,0)),""))</f>
        <v>מקבע קרסול</v>
      </c>
      <c r="C49" s="9" t="n">
        <f aca="false">SUMIFS('Source PPLAY1 2025'!$D:$D,'Source PPLAY1 2025'!$B:$B,$A49,'Source PPLAY1 2025'!$A:$A,"Quantity (units)")</f>
        <v>0</v>
      </c>
      <c r="D49" s="9" t="n">
        <f aca="false">SUMIFS('Source PPLAY1 2026'!$D:$D,'Source PPLAY1 2026'!$B:$B,$A49,'Source PPLAY1 2026'!$A:$A,"Quantity (units)")</f>
        <v>21</v>
      </c>
      <c r="E49" s="9" t="n">
        <f aca="false">D49*$J$5</f>
        <v>26.5263157894737</v>
      </c>
      <c r="F49" s="9" t="n">
        <f aca="false">E49-C49</f>
        <v>26.5263157894737</v>
      </c>
      <c r="G49" s="10" t="str">
        <f aca="false">IF(AND(C49=0,E49=0),0,IF(C49=0,"New",(E49-C49)/C49))</f>
        <v>New</v>
      </c>
      <c r="H49" s="9" t="n">
        <f aca="false">SUMIFS('Source PPLAY1 2025'!$D:$D,'Source PPLAY1 2025'!$B:$B,$A49,'Source PPLAY1 2025'!$A:$A,"Amount (NIS)")</f>
        <v>0</v>
      </c>
      <c r="I49" s="9" t="n">
        <f aca="false">SUMIFS('Source PPLAY1 2026'!$D:$D,'Source PPLAY1 2026'!$B:$B,$A49,'Source PPLAY1 2026'!$A:$A,"Amount (NIS)")</f>
        <v>1932</v>
      </c>
      <c r="J49" s="9" t="n">
        <f aca="false">I49*$J$5</f>
        <v>2440.42105263158</v>
      </c>
      <c r="K49" s="9" t="n">
        <f aca="false">J49-H49</f>
        <v>2440.42105263158</v>
      </c>
      <c r="L49" s="10" t="str">
        <f aca="false">IF(AND(H49=0,J49=0),0,IF(H49=0,"New",(J49-H49)/H49))</f>
        <v>New</v>
      </c>
    </row>
    <row r="50" customFormat="false" ht="15" hidden="false" customHeight="true" outlineLevel="0" collapsed="false">
      <c r="A50" s="8" t="s">
        <v>89</v>
      </c>
      <c r="B50" s="8" t="str">
        <f aca="false">IFERROR(INDEX('Source PPLAY1 2026'!$C:$C,MATCH($A50,'Source PPLAY1 2026'!$B:$B,0)),IFERROR(INDEX('Source PPLAY1 2025'!$C:$C,MATCH($A50,'Source PPLAY1 2025'!$B:$B,0)),""))</f>
        <v>שרוול מטטרזלי מסיליקון</v>
      </c>
      <c r="C50" s="9" t="n">
        <f aca="false">SUMIFS('Source PPLAY1 2025'!$D:$D,'Source PPLAY1 2025'!$B:$B,$A50,'Source PPLAY1 2025'!$A:$A,"Quantity (units)")</f>
        <v>0</v>
      </c>
      <c r="D50" s="9" t="n">
        <f aca="false">SUMIFS('Source PPLAY1 2026'!$D:$D,'Source PPLAY1 2026'!$B:$B,$A50,'Source PPLAY1 2026'!$A:$A,"Quantity (units)")</f>
        <v>47</v>
      </c>
      <c r="E50" s="9" t="n">
        <f aca="false">D50*$J$5</f>
        <v>59.3684210526316</v>
      </c>
      <c r="F50" s="9" t="n">
        <f aca="false">E50-C50</f>
        <v>59.3684210526316</v>
      </c>
      <c r="G50" s="10" t="str">
        <f aca="false">IF(AND(C50=0,E50=0),0,IF(C50=0,"New",(E50-C50)/C50))</f>
        <v>New</v>
      </c>
      <c r="H50" s="9" t="n">
        <f aca="false">SUMIFS('Source PPLAY1 2025'!$D:$D,'Source PPLAY1 2025'!$B:$B,$A50,'Source PPLAY1 2025'!$A:$A,"Amount (NIS)")</f>
        <v>0</v>
      </c>
      <c r="I50" s="9" t="n">
        <f aca="false">SUMIFS('Source PPLAY1 2026'!$D:$D,'Source PPLAY1 2026'!$B:$B,$A50,'Source PPLAY1 2026'!$A:$A,"Amount (NIS)")</f>
        <v>1823.1</v>
      </c>
      <c r="J50" s="9" t="n">
        <f aca="false">I50*$J$5</f>
        <v>2302.86315789474</v>
      </c>
      <c r="K50" s="9" t="n">
        <f aca="false">J50-H50</f>
        <v>2302.86315789474</v>
      </c>
      <c r="L50" s="10" t="str">
        <f aca="false">IF(AND(H50=0,J50=0),0,IF(H50=0,"New",(J50-H50)/H50))</f>
        <v>New</v>
      </c>
    </row>
    <row r="51" customFormat="false" ht="15" hidden="false" customHeight="true" outlineLevel="0" collapsed="false">
      <c r="A51" s="8" t="s">
        <v>90</v>
      </c>
      <c r="B51" s="8" t="str">
        <f aca="false">IFERROR(INDEX('Source PPLAY1 2026'!$C:$C,MATCH($A51,'Source PPLAY1 2026'!$B:$B,0)),IFERROR(INDEX('Source PPLAY1 2025'!$C:$C,MATCH($A51,'Source PPLAY1 2025'!$B:$B,0)),""))</f>
        <v>L סד לילה שחור לבוהן שמאל</v>
      </c>
      <c r="C51" s="9" t="n">
        <f aca="false">SUMIFS('Source PPLAY1 2025'!$D:$D,'Source PPLAY1 2025'!$B:$B,$A51,'Source PPLAY1 2025'!$A:$A,"Quantity (units)")</f>
        <v>0</v>
      </c>
      <c r="D51" s="9" t="n">
        <f aca="false">SUMIFS('Source PPLAY1 2026'!$D:$D,'Source PPLAY1 2026'!$B:$B,$A51,'Source PPLAY1 2026'!$A:$A,"Quantity (units)")</f>
        <v>43</v>
      </c>
      <c r="E51" s="9" t="n">
        <f aca="false">D51*$J$5</f>
        <v>54.3157894736842</v>
      </c>
      <c r="F51" s="9" t="n">
        <f aca="false">E51-C51</f>
        <v>54.3157894736842</v>
      </c>
      <c r="G51" s="10" t="str">
        <f aca="false">IF(AND(C51=0,E51=0),0,IF(C51=0,"New",(E51-C51)/C51))</f>
        <v>New</v>
      </c>
      <c r="H51" s="9" t="n">
        <f aca="false">SUMIFS('Source PPLAY1 2025'!$D:$D,'Source PPLAY1 2025'!$B:$B,$A51,'Source PPLAY1 2025'!$A:$A,"Amount (NIS)")</f>
        <v>0</v>
      </c>
      <c r="I51" s="9" t="n">
        <f aca="false">SUMIFS('Source PPLAY1 2026'!$D:$D,'Source PPLAY1 2026'!$B:$B,$A51,'Source PPLAY1 2026'!$A:$A,"Amount (NIS)")</f>
        <v>1806</v>
      </c>
      <c r="J51" s="9" t="n">
        <f aca="false">I51*$J$5</f>
        <v>2281.26315789474</v>
      </c>
      <c r="K51" s="9" t="n">
        <f aca="false">J51-H51</f>
        <v>2281.26315789474</v>
      </c>
      <c r="L51" s="10" t="str">
        <f aca="false">IF(AND(H51=0,J51=0),0,IF(H51=0,"New",(J51-H51)/H51))</f>
        <v>New</v>
      </c>
    </row>
    <row r="52" customFormat="false" ht="15" hidden="false" customHeight="true" outlineLevel="0" collapsed="false">
      <c r="A52" s="8" t="s">
        <v>91</v>
      </c>
      <c r="B52" s="8" t="str">
        <f aca="false">IFERROR(INDEX('Source PPLAY1 2026'!$C:$C,MATCH($A52,'Source PPLAY1 2026'!$B:$B,0)),IFERROR(INDEX('Source PPLAY1 2025'!$C:$C,MATCH($A52,'Source PPLAY1 2025'!$B:$B,0)),""))</f>
        <v>רפידת אנטי ריח -זוג</v>
      </c>
      <c r="C52" s="9" t="n">
        <f aca="false">SUMIFS('Source PPLAY1 2025'!$D:$D,'Source PPLAY1 2025'!$B:$B,$A52,'Source PPLAY1 2025'!$A:$A,"Quantity (units)")</f>
        <v>0</v>
      </c>
      <c r="D52" s="9" t="n">
        <f aca="false">SUMIFS('Source PPLAY1 2026'!$D:$D,'Source PPLAY1 2026'!$B:$B,$A52,'Source PPLAY1 2026'!$A:$A,"Quantity (units)")</f>
        <v>188</v>
      </c>
      <c r="E52" s="9" t="n">
        <f aca="false">D52*$J$5</f>
        <v>237.473684210526</v>
      </c>
      <c r="F52" s="9" t="n">
        <f aca="false">E52-C52</f>
        <v>237.473684210526</v>
      </c>
      <c r="G52" s="10" t="str">
        <f aca="false">IF(AND(C52=0,E52=0),0,IF(C52=0,"New",(E52-C52)/C52))</f>
        <v>New</v>
      </c>
      <c r="H52" s="9" t="n">
        <f aca="false">SUMIFS('Source PPLAY1 2025'!$D:$D,'Source PPLAY1 2025'!$B:$B,$A52,'Source PPLAY1 2025'!$A:$A,"Amount (NIS)")</f>
        <v>0</v>
      </c>
      <c r="I52" s="9" t="n">
        <f aca="false">SUMIFS('Source PPLAY1 2026'!$D:$D,'Source PPLAY1 2026'!$B:$B,$A52,'Source PPLAY1 2026'!$A:$A,"Amount (NIS)")</f>
        <v>1755.3</v>
      </c>
      <c r="J52" s="9" t="n">
        <f aca="false">I52*$J$5</f>
        <v>2217.22105263158</v>
      </c>
      <c r="K52" s="9" t="n">
        <f aca="false">J52-H52</f>
        <v>2217.22105263158</v>
      </c>
      <c r="L52" s="10" t="str">
        <f aca="false">IF(AND(H52=0,J52=0),0,IF(H52=0,"New",(J52-H52)/H52))</f>
        <v>New</v>
      </c>
    </row>
    <row r="53" customFormat="false" ht="15" hidden="false" customHeight="true" outlineLevel="0" collapsed="false">
      <c r="A53" s="8" t="s">
        <v>92</v>
      </c>
      <c r="B53" s="8" t="str">
        <f aca="false">IFERROR(INDEX('Source PPLAY1 2026'!$C:$C,MATCH($A53,'Source PPLAY1 2026'!$B:$B,0)),IFERROR(INDEX('Source PPLAY1 2025'!$C:$C,MATCH($A53,'Source PPLAY1 2025'!$B:$B,0)),""))</f>
        <v>L ימין CTS כפפות</v>
      </c>
      <c r="C53" s="9" t="n">
        <f aca="false">SUMIFS('Source PPLAY1 2025'!$D:$D,'Source PPLAY1 2025'!$B:$B,$A53,'Source PPLAY1 2025'!$A:$A,"Quantity (units)")</f>
        <v>0</v>
      </c>
      <c r="D53" s="9" t="n">
        <f aca="false">SUMIFS('Source PPLAY1 2026'!$D:$D,'Source PPLAY1 2026'!$B:$B,$A53,'Source PPLAY1 2026'!$A:$A,"Quantity (units)")</f>
        <v>23</v>
      </c>
      <c r="E53" s="9" t="n">
        <f aca="false">D53*$J$5</f>
        <v>29.0526315789474</v>
      </c>
      <c r="F53" s="9" t="n">
        <f aca="false">E53-C53</f>
        <v>29.0526315789474</v>
      </c>
      <c r="G53" s="10" t="str">
        <f aca="false">IF(AND(C53=0,E53=0),0,IF(C53=0,"New",(E53-C53)/C53))</f>
        <v>New</v>
      </c>
      <c r="H53" s="9" t="n">
        <f aca="false">SUMIFS('Source PPLAY1 2025'!$D:$D,'Source PPLAY1 2025'!$B:$B,$A53,'Source PPLAY1 2025'!$A:$A,"Amount (NIS)")</f>
        <v>0</v>
      </c>
      <c r="I53" s="9" t="n">
        <f aca="false">SUMIFS('Source PPLAY1 2026'!$D:$D,'Source PPLAY1 2026'!$B:$B,$A53,'Source PPLAY1 2026'!$A:$A,"Amount (NIS)")</f>
        <v>1633</v>
      </c>
      <c r="J53" s="9" t="n">
        <f aca="false">I53*$J$5</f>
        <v>2062.73684210526</v>
      </c>
      <c r="K53" s="9" t="n">
        <f aca="false">J53-H53</f>
        <v>2062.73684210526</v>
      </c>
      <c r="L53" s="10" t="str">
        <f aca="false">IF(AND(H53=0,J53=0),0,IF(H53=0,"New",(J53-H53)/H53))</f>
        <v>New</v>
      </c>
    </row>
    <row r="54" customFormat="false" ht="15" hidden="false" customHeight="true" outlineLevel="0" collapsed="false">
      <c r="A54" s="8" t="s">
        <v>93</v>
      </c>
      <c r="B54" s="8" t="str">
        <f aca="false">IFERROR(INDEX('Source PPLAY1 2026'!$C:$C,MATCH($A54,'Source PPLAY1 2026'!$B:$B,0)),IFERROR(INDEX('Source PPLAY1 2025'!$C:$C,MATCH($A54,'Source PPLAY1 2025'!$B:$B,0)),""))</f>
        <v>Lמפר.אצבע סיליק. ליבל.זוג</v>
      </c>
      <c r="C54" s="9" t="n">
        <f aca="false">SUMIFS('Source PPLAY1 2025'!$D:$D,'Source PPLAY1 2025'!$B:$B,$A54,'Source PPLAY1 2025'!$A:$A,"Quantity (units)")</f>
        <v>0</v>
      </c>
      <c r="D54" s="9" t="n">
        <f aca="false">SUMIFS('Source PPLAY1 2026'!$D:$D,'Source PPLAY1 2026'!$B:$B,$A54,'Source PPLAY1 2026'!$A:$A,"Quantity (units)")</f>
        <v>183</v>
      </c>
      <c r="E54" s="9" t="n">
        <f aca="false">D54*$J$5</f>
        <v>231.157894736842</v>
      </c>
      <c r="F54" s="9" t="n">
        <f aca="false">E54-C54</f>
        <v>231.157894736842</v>
      </c>
      <c r="G54" s="10" t="str">
        <f aca="false">IF(AND(C54=0,E54=0),0,IF(C54=0,"New",(E54-C54)/C54))</f>
        <v>New</v>
      </c>
      <c r="H54" s="9" t="n">
        <f aca="false">SUMIFS('Source PPLAY1 2025'!$D:$D,'Source PPLAY1 2025'!$B:$B,$A54,'Source PPLAY1 2025'!$A:$A,"Amount (NIS)")</f>
        <v>0</v>
      </c>
      <c r="I54" s="9" t="n">
        <f aca="false">SUMIFS('Source PPLAY1 2026'!$D:$D,'Source PPLAY1 2026'!$B:$B,$A54,'Source PPLAY1 2026'!$A:$A,"Amount (NIS)")</f>
        <v>1582.1</v>
      </c>
      <c r="J54" s="9" t="n">
        <f aca="false">I54*$J$5</f>
        <v>1998.44210526316</v>
      </c>
      <c r="K54" s="9" t="n">
        <f aca="false">J54-H54</f>
        <v>1998.44210526316</v>
      </c>
      <c r="L54" s="10" t="str">
        <f aca="false">IF(AND(H54=0,J54=0),0,IF(H54=0,"New",(J54-H54)/H54))</f>
        <v>New</v>
      </c>
    </row>
    <row r="55" customFormat="false" ht="15" hidden="false" customHeight="true" outlineLevel="0" collapsed="false">
      <c r="A55" s="8" t="s">
        <v>94</v>
      </c>
      <c r="B55" s="8" t="str">
        <f aca="false">IFERROR(INDEX('Source PPLAY1 2026'!$C:$C,MATCH($A55,'Source PPLAY1 2026'!$B:$B,0)),IFERROR(INDEX('Source PPLAY1 2025'!$C:$C,MATCH($A55,'Source PPLAY1 2025'!$B:$B,0)),""))</f>
        <v>L שמאל CTS כפפות</v>
      </c>
      <c r="C55" s="9" t="n">
        <f aca="false">SUMIFS('Source PPLAY1 2025'!$D:$D,'Source PPLAY1 2025'!$B:$B,$A55,'Source PPLAY1 2025'!$A:$A,"Quantity (units)")</f>
        <v>0</v>
      </c>
      <c r="D55" s="9" t="n">
        <f aca="false">SUMIFS('Source PPLAY1 2026'!$D:$D,'Source PPLAY1 2026'!$B:$B,$A55,'Source PPLAY1 2026'!$A:$A,"Quantity (units)")</f>
        <v>22</v>
      </c>
      <c r="E55" s="9" t="n">
        <f aca="false">D55*$J$5</f>
        <v>27.7894736842105</v>
      </c>
      <c r="F55" s="9" t="n">
        <f aca="false">E55-C55</f>
        <v>27.7894736842105</v>
      </c>
      <c r="G55" s="10" t="str">
        <f aca="false">IF(AND(C55=0,E55=0),0,IF(C55=0,"New",(E55-C55)/C55))</f>
        <v>New</v>
      </c>
      <c r="H55" s="9" t="n">
        <f aca="false">SUMIFS('Source PPLAY1 2025'!$D:$D,'Source PPLAY1 2025'!$B:$B,$A55,'Source PPLAY1 2025'!$A:$A,"Amount (NIS)")</f>
        <v>0</v>
      </c>
      <c r="I55" s="9" t="n">
        <f aca="false">SUMIFS('Source PPLAY1 2026'!$D:$D,'Source PPLAY1 2026'!$B:$B,$A55,'Source PPLAY1 2026'!$A:$A,"Amount (NIS)")</f>
        <v>1562</v>
      </c>
      <c r="J55" s="9" t="n">
        <f aca="false">I55*$J$5</f>
        <v>1973.05263157895</v>
      </c>
      <c r="K55" s="9" t="n">
        <f aca="false">J55-H55</f>
        <v>1973.05263157895</v>
      </c>
      <c r="L55" s="10" t="str">
        <f aca="false">IF(AND(H55=0,J55=0),0,IF(H55=0,"New",(J55-H55)/H55))</f>
        <v>New</v>
      </c>
    </row>
    <row r="56" customFormat="false" ht="15" hidden="false" customHeight="true" outlineLevel="0" collapsed="false">
      <c r="A56" s="8" t="s">
        <v>95</v>
      </c>
      <c r="B56" s="8" t="str">
        <f aca="false">IFERROR(INDEX('Source PPLAY1 2026'!$C:$C,MATCH($A56,'Source PPLAY1 2026'!$B:$B,0)),IFERROR(INDEX('Source PPLAY1 2025'!$C:$C,MATCH($A56,'Source PPLAY1 2025'!$B:$B,0)),""))</f>
        <v>טייפ קינזיולוגי</v>
      </c>
      <c r="C56" s="9" t="n">
        <f aca="false">SUMIFS('Source PPLAY1 2025'!$D:$D,'Source PPLAY1 2025'!$B:$B,$A56,'Source PPLAY1 2025'!$A:$A,"Quantity (units)")</f>
        <v>0</v>
      </c>
      <c r="D56" s="9" t="n">
        <f aca="false">SUMIFS('Source PPLAY1 2026'!$D:$D,'Source PPLAY1 2026'!$B:$B,$A56,'Source PPLAY1 2026'!$A:$A,"Quantity (units)")</f>
        <v>60</v>
      </c>
      <c r="E56" s="9" t="n">
        <f aca="false">D56*$J$5</f>
        <v>75.7894736842105</v>
      </c>
      <c r="F56" s="9" t="n">
        <f aca="false">E56-C56</f>
        <v>75.7894736842105</v>
      </c>
      <c r="G56" s="10" t="str">
        <f aca="false">IF(AND(C56=0,E56=0),0,IF(C56=0,"New",(E56-C56)/C56))</f>
        <v>New</v>
      </c>
      <c r="H56" s="9" t="n">
        <f aca="false">SUMIFS('Source PPLAY1 2025'!$D:$D,'Source PPLAY1 2025'!$B:$B,$A56,'Source PPLAY1 2025'!$A:$A,"Amount (NIS)")</f>
        <v>0</v>
      </c>
      <c r="I56" s="9" t="n">
        <f aca="false">SUMIFS('Source PPLAY1 2026'!$D:$D,'Source PPLAY1 2026'!$B:$B,$A56,'Source PPLAY1 2026'!$A:$A,"Amount (NIS)")</f>
        <v>1500</v>
      </c>
      <c r="J56" s="9" t="n">
        <f aca="false">I56*$J$5</f>
        <v>1894.73684210526</v>
      </c>
      <c r="K56" s="9" t="n">
        <f aca="false">J56-H56</f>
        <v>1894.73684210526</v>
      </c>
      <c r="L56" s="10" t="str">
        <f aca="false">IF(AND(H56=0,J56=0),0,IF(H56=0,"New",(J56-H56)/H56))</f>
        <v>New</v>
      </c>
    </row>
    <row r="57" customFormat="false" ht="15" hidden="false" customHeight="true" outlineLevel="0" collapsed="false">
      <c r="A57" s="8" t="s">
        <v>96</v>
      </c>
      <c r="B57" s="8" t="str">
        <f aca="false">IFERROR(INDEX('Source PPLAY1 2026'!$C:$C,MATCH($A57,'Source PPLAY1 2026'!$B:$B,0)),IFERROR(INDEX('Source PPLAY1 2025'!$C:$C,MATCH($A57,'Source PPLAY1 2025'!$B:$B,0)),""))</f>
        <v>H מגן ברך עם ציר</v>
      </c>
      <c r="C57" s="9" t="n">
        <f aca="false">SUMIFS('Source PPLAY1 2025'!$D:$D,'Source PPLAY1 2025'!$B:$B,$A57,'Source PPLAY1 2025'!$A:$A,"Quantity (units)")</f>
        <v>0</v>
      </c>
      <c r="D57" s="9" t="n">
        <f aca="false">SUMIFS('Source PPLAY1 2026'!$D:$D,'Source PPLAY1 2026'!$B:$B,$A57,'Source PPLAY1 2026'!$A:$A,"Quantity (units)")</f>
        <v>16</v>
      </c>
      <c r="E57" s="9" t="n">
        <f aca="false">D57*$J$5</f>
        <v>20.2105263157895</v>
      </c>
      <c r="F57" s="9" t="n">
        <f aca="false">E57-C57</f>
        <v>20.2105263157895</v>
      </c>
      <c r="G57" s="10" t="str">
        <f aca="false">IF(AND(C57=0,E57=0),0,IF(C57=0,"New",(E57-C57)/C57))</f>
        <v>New</v>
      </c>
      <c r="H57" s="9" t="n">
        <f aca="false">SUMIFS('Source PPLAY1 2025'!$D:$D,'Source PPLAY1 2025'!$B:$B,$A57,'Source PPLAY1 2025'!$A:$A,"Amount (NIS)")</f>
        <v>0</v>
      </c>
      <c r="I57" s="9" t="n">
        <f aca="false">SUMIFS('Source PPLAY1 2026'!$D:$D,'Source PPLAY1 2026'!$B:$B,$A57,'Source PPLAY1 2026'!$A:$A,"Amount (NIS)")</f>
        <v>1496</v>
      </c>
      <c r="J57" s="9" t="n">
        <f aca="false">I57*$J$5</f>
        <v>1889.68421052632</v>
      </c>
      <c r="K57" s="9" t="n">
        <f aca="false">J57-H57</f>
        <v>1889.68421052632</v>
      </c>
      <c r="L57" s="10" t="str">
        <f aca="false">IF(AND(H57=0,J57=0),0,IF(H57=0,"New",(J57-H57)/H57))</f>
        <v>New</v>
      </c>
    </row>
    <row r="58" customFormat="false" ht="15" hidden="false" customHeight="true" outlineLevel="0" collapsed="false">
      <c r="A58" s="8" t="s">
        <v>97</v>
      </c>
      <c r="B58" s="8" t="str">
        <f aca="false">IFERROR(INDEX('Source PPLAY1 2026'!$C:$C,MATCH($A58,'Source PPLAY1 2026'!$B:$B,0)),IFERROR(INDEX('Source PPLAY1 2025'!$C:$C,MATCH($A58,'Source PPLAY1 2025'!$B:$B,0)),""))</f>
        <v>S חגורת שבר לצד ימין</v>
      </c>
      <c r="C58" s="9" t="n">
        <f aca="false">SUMIFS('Source PPLAY1 2025'!$D:$D,'Source PPLAY1 2025'!$B:$B,$A58,'Source PPLAY1 2025'!$A:$A,"Quantity (units)")</f>
        <v>0</v>
      </c>
      <c r="D58" s="9" t="n">
        <f aca="false">SUMIFS('Source PPLAY1 2026'!$D:$D,'Source PPLAY1 2026'!$B:$B,$A58,'Source PPLAY1 2026'!$A:$A,"Quantity (units)")</f>
        <v>13</v>
      </c>
      <c r="E58" s="9" t="n">
        <f aca="false">D58*$J$5</f>
        <v>16.4210526315789</v>
      </c>
      <c r="F58" s="9" t="n">
        <f aca="false">E58-C58</f>
        <v>16.4210526315789</v>
      </c>
      <c r="G58" s="10" t="str">
        <f aca="false">IF(AND(C58=0,E58=0),0,IF(C58=0,"New",(E58-C58)/C58))</f>
        <v>New</v>
      </c>
      <c r="H58" s="9" t="n">
        <f aca="false">SUMIFS('Source PPLAY1 2025'!$D:$D,'Source PPLAY1 2025'!$B:$B,$A58,'Source PPLAY1 2025'!$A:$A,"Amount (NIS)")</f>
        <v>0</v>
      </c>
      <c r="I58" s="9" t="n">
        <f aca="false">SUMIFS('Source PPLAY1 2026'!$D:$D,'Source PPLAY1 2026'!$B:$B,$A58,'Source PPLAY1 2026'!$A:$A,"Amount (NIS)")</f>
        <v>1487.2</v>
      </c>
      <c r="J58" s="9" t="n">
        <f aca="false">I58*$J$5</f>
        <v>1878.56842105263</v>
      </c>
      <c r="K58" s="9" t="n">
        <f aca="false">J58-H58</f>
        <v>1878.56842105263</v>
      </c>
      <c r="L58" s="10" t="str">
        <f aca="false">IF(AND(H58=0,J58=0),0,IF(H58=0,"New",(J58-H58)/H58))</f>
        <v>New</v>
      </c>
    </row>
    <row r="59" customFormat="false" ht="15" hidden="false" customHeight="true" outlineLevel="0" collapsed="false">
      <c r="A59" s="8" t="s">
        <v>98</v>
      </c>
      <c r="B59" s="8" t="str">
        <f aca="false">IFERROR(INDEX('Source PPLAY1 2026'!$C:$C,MATCH($A59,'Source PPLAY1 2026'!$B:$B,0)),IFERROR(INDEX('Source PPLAY1 2025'!$C:$C,MATCH($A59,'Source PPLAY1 2025'!$B:$B,0)),""))</f>
        <v>S-Lטבעת אלסטית מסיליקון</v>
      </c>
      <c r="C59" s="9" t="n">
        <f aca="false">SUMIFS('Source PPLAY1 2025'!$D:$D,'Source PPLAY1 2025'!$B:$B,$A59,'Source PPLAY1 2025'!$A:$A,"Quantity (units)")</f>
        <v>0</v>
      </c>
      <c r="D59" s="9" t="n">
        <f aca="false">SUMIFS('Source PPLAY1 2026'!$D:$D,'Source PPLAY1 2026'!$B:$B,$A59,'Source PPLAY1 2026'!$A:$A,"Quantity (units)")</f>
        <v>164</v>
      </c>
      <c r="E59" s="9" t="n">
        <f aca="false">D59*$J$5</f>
        <v>207.157894736842</v>
      </c>
      <c r="F59" s="9" t="n">
        <f aca="false">E59-C59</f>
        <v>207.157894736842</v>
      </c>
      <c r="G59" s="10" t="str">
        <f aca="false">IF(AND(C59=0,E59=0),0,IF(C59=0,"New",(E59-C59)/C59))</f>
        <v>New</v>
      </c>
      <c r="H59" s="9" t="n">
        <f aca="false">SUMIFS('Source PPLAY1 2025'!$D:$D,'Source PPLAY1 2025'!$B:$B,$A59,'Source PPLAY1 2025'!$A:$A,"Amount (NIS)")</f>
        <v>0</v>
      </c>
      <c r="I59" s="9" t="n">
        <f aca="false">SUMIFS('Source PPLAY1 2026'!$D:$D,'Source PPLAY1 2026'!$B:$B,$A59,'Source PPLAY1 2026'!$A:$A,"Amount (NIS)")</f>
        <v>1450.1</v>
      </c>
      <c r="J59" s="9" t="n">
        <f aca="false">I59*$J$5</f>
        <v>1831.70526315789</v>
      </c>
      <c r="K59" s="9" t="n">
        <f aca="false">J59-H59</f>
        <v>1831.70526315789</v>
      </c>
      <c r="L59" s="10" t="str">
        <f aca="false">IF(AND(H59=0,J59=0),0,IF(H59=0,"New",(J59-H59)/H59))</f>
        <v>New</v>
      </c>
    </row>
    <row r="60" customFormat="false" ht="15" hidden="false" customHeight="true" outlineLevel="0" collapsed="false">
      <c r="A60" s="8" t="s">
        <v>99</v>
      </c>
      <c r="B60" s="8" t="str">
        <f aca="false">IFERROR(INDEX('Source PPLAY1 2026'!$C:$C,MATCH($A60,'Source PPLAY1 2026'!$B:$B,0)),IFERROR(INDEX('Source PPLAY1 2025'!$C:$C,MATCH($A60,'Source PPLAY1 2025'!$B:$B,0)),""))</f>
        <v>טייפ קינזיולוגי</v>
      </c>
      <c r="C60" s="9" t="n">
        <f aca="false">SUMIFS('Source PPLAY1 2025'!$D:$D,'Source PPLAY1 2025'!$B:$B,$A60,'Source PPLAY1 2025'!$A:$A,"Quantity (units)")</f>
        <v>0</v>
      </c>
      <c r="D60" s="9" t="n">
        <f aca="false">SUMIFS('Source PPLAY1 2026'!$D:$D,'Source PPLAY1 2026'!$B:$B,$A60,'Source PPLAY1 2026'!$A:$A,"Quantity (units)")</f>
        <v>57</v>
      </c>
      <c r="E60" s="9" t="n">
        <f aca="false">D60*$J$5</f>
        <v>72</v>
      </c>
      <c r="F60" s="9" t="n">
        <f aca="false">E60-C60</f>
        <v>72</v>
      </c>
      <c r="G60" s="10" t="str">
        <f aca="false">IF(AND(C60=0,E60=0),0,IF(C60=0,"New",(E60-C60)/C60))</f>
        <v>New</v>
      </c>
      <c r="H60" s="9" t="n">
        <f aca="false">SUMIFS('Source PPLAY1 2025'!$D:$D,'Source PPLAY1 2025'!$B:$B,$A60,'Source PPLAY1 2025'!$A:$A,"Amount (NIS)")</f>
        <v>0</v>
      </c>
      <c r="I60" s="9" t="n">
        <f aca="false">SUMIFS('Source PPLAY1 2026'!$D:$D,'Source PPLAY1 2026'!$B:$B,$A60,'Source PPLAY1 2026'!$A:$A,"Amount (NIS)")</f>
        <v>1425</v>
      </c>
      <c r="J60" s="9" t="n">
        <f aca="false">I60*$J$5</f>
        <v>1800</v>
      </c>
      <c r="K60" s="9" t="n">
        <f aca="false">J60-H60</f>
        <v>1800</v>
      </c>
      <c r="L60" s="10" t="str">
        <f aca="false">IF(AND(H60=0,J60=0),0,IF(H60=0,"New",(J60-H60)/H60))</f>
        <v>New</v>
      </c>
    </row>
    <row r="61" customFormat="false" ht="15" hidden="false" customHeight="true" outlineLevel="0" collapsed="false">
      <c r="A61" s="8" t="s">
        <v>100</v>
      </c>
      <c r="B61" s="8" t="str">
        <f aca="false">IFERROR(INDEX('Source PPLAY1 2026'!$C:$C,MATCH($A61,'Source PPLAY1 2026'!$B:$B,0)),IFERROR(INDEX('Source PPLAY1 2025'!$C:$C,MATCH($A61,'Source PPLAY1 2025'!$B:$B,0)),""))</f>
        <v>מטטרזלי סיליקון362</v>
      </c>
      <c r="C61" s="9" t="n">
        <f aca="false">SUMIFS('Source PPLAY1 2025'!$D:$D,'Source PPLAY1 2025'!$B:$B,$A61,'Source PPLAY1 2025'!$A:$A,"Quantity (units)")</f>
        <v>0</v>
      </c>
      <c r="D61" s="9" t="n">
        <f aca="false">SUMIFS('Source PPLAY1 2026'!$D:$D,'Source PPLAY1 2026'!$B:$B,$A61,'Source PPLAY1 2026'!$A:$A,"Quantity (units)")</f>
        <v>76</v>
      </c>
      <c r="E61" s="9" t="n">
        <f aca="false">D61*$J$5</f>
        <v>96</v>
      </c>
      <c r="F61" s="9" t="n">
        <f aca="false">E61-C61</f>
        <v>96</v>
      </c>
      <c r="G61" s="10" t="str">
        <f aca="false">IF(AND(C61=0,E61=0),0,IF(C61=0,"New",(E61-C61)/C61))</f>
        <v>New</v>
      </c>
      <c r="H61" s="9" t="n">
        <f aca="false">SUMIFS('Source PPLAY1 2025'!$D:$D,'Source PPLAY1 2025'!$B:$B,$A61,'Source PPLAY1 2025'!$A:$A,"Amount (NIS)")</f>
        <v>0</v>
      </c>
      <c r="I61" s="9" t="n">
        <f aca="false">SUMIFS('Source PPLAY1 2026'!$D:$D,'Source PPLAY1 2026'!$B:$B,$A61,'Source PPLAY1 2026'!$A:$A,"Amount (NIS)")</f>
        <v>1300.7</v>
      </c>
      <c r="J61" s="9" t="n">
        <f aca="false">I61*$J$5</f>
        <v>1642.98947368421</v>
      </c>
      <c r="K61" s="9" t="n">
        <f aca="false">J61-H61</f>
        <v>1642.98947368421</v>
      </c>
      <c r="L61" s="10" t="str">
        <f aca="false">IF(AND(H61=0,J61=0),0,IF(H61=0,"New",(J61-H61)/H61))</f>
        <v>New</v>
      </c>
    </row>
    <row r="62" customFormat="false" ht="15" hidden="false" customHeight="true" outlineLevel="0" collapsed="false">
      <c r="A62" s="8" t="s">
        <v>101</v>
      </c>
      <c r="B62" s="8" t="str">
        <f aca="false">IFERROR(INDEX('Source PPLAY1 2026'!$C:$C,MATCH($A62,'Source PPLAY1 2026'!$B:$B,0)),IFERROR(INDEX('Source PPLAY1 2025'!$C:$C,MATCH($A62,'Source PPLAY1 2025'!$B:$B,0)),""))</f>
        <v>S חגורת שבר דו צדדי</v>
      </c>
      <c r="C62" s="9" t="n">
        <f aca="false">SUMIFS('Source PPLAY1 2025'!$D:$D,'Source PPLAY1 2025'!$B:$B,$A62,'Source PPLAY1 2025'!$A:$A,"Quantity (units)")</f>
        <v>0</v>
      </c>
      <c r="D62" s="9" t="n">
        <f aca="false">SUMIFS('Source PPLAY1 2026'!$D:$D,'Source PPLAY1 2026'!$B:$B,$A62,'Source PPLAY1 2026'!$A:$A,"Quantity (units)")</f>
        <v>7</v>
      </c>
      <c r="E62" s="9" t="n">
        <f aca="false">D62*$J$5</f>
        <v>8.84210526315789</v>
      </c>
      <c r="F62" s="9" t="n">
        <f aca="false">E62-C62</f>
        <v>8.84210526315789</v>
      </c>
      <c r="G62" s="10" t="str">
        <f aca="false">IF(AND(C62=0,E62=0),0,IF(C62=0,"New",(E62-C62)/C62))</f>
        <v>New</v>
      </c>
      <c r="H62" s="9" t="n">
        <f aca="false">SUMIFS('Source PPLAY1 2025'!$D:$D,'Source PPLAY1 2025'!$B:$B,$A62,'Source PPLAY1 2025'!$A:$A,"Amount (NIS)")</f>
        <v>0</v>
      </c>
      <c r="I62" s="9" t="n">
        <f aca="false">SUMIFS('Source PPLAY1 2026'!$D:$D,'Source PPLAY1 2026'!$B:$B,$A62,'Source PPLAY1 2026'!$A:$A,"Amount (NIS)")</f>
        <v>1272.2</v>
      </c>
      <c r="J62" s="9" t="n">
        <f aca="false">I62*$J$5</f>
        <v>1606.98947368421</v>
      </c>
      <c r="K62" s="9" t="n">
        <f aca="false">J62-H62</f>
        <v>1606.98947368421</v>
      </c>
      <c r="L62" s="10" t="str">
        <f aca="false">IF(AND(H62=0,J62=0),0,IF(H62=0,"New",(J62-H62)/H62))</f>
        <v>New</v>
      </c>
    </row>
    <row r="63" customFormat="false" ht="15" hidden="false" customHeight="true" outlineLevel="0" collapsed="false">
      <c r="A63" s="8" t="s">
        <v>102</v>
      </c>
      <c r="B63" s="8" t="str">
        <f aca="false">IFERROR(INDEX('Source PPLAY1 2026'!$C:$C,MATCH($A63,'Source PPLAY1 2026'!$B:$B,0)),IFERROR(INDEX('Source PPLAY1 2025'!$C:$C,MATCH($A63,'Source PPLAY1 2025'!$B:$B,0)),""))</f>
        <v>3667 מגן בוניון</v>
      </c>
      <c r="C63" s="9" t="n">
        <f aca="false">SUMIFS('Source PPLAY1 2025'!$D:$D,'Source PPLAY1 2025'!$B:$B,$A63,'Source PPLAY1 2025'!$A:$A,"Quantity (units)")</f>
        <v>0</v>
      </c>
      <c r="D63" s="9" t="n">
        <f aca="false">SUMIFS('Source PPLAY1 2026'!$D:$D,'Source PPLAY1 2026'!$B:$B,$A63,'Source PPLAY1 2026'!$A:$A,"Quantity (units)")</f>
        <v>62</v>
      </c>
      <c r="E63" s="9" t="n">
        <f aca="false">D63*$J$5</f>
        <v>78.3157894736842</v>
      </c>
      <c r="F63" s="9" t="n">
        <f aca="false">E63-C63</f>
        <v>78.3157894736842</v>
      </c>
      <c r="G63" s="10" t="str">
        <f aca="false">IF(AND(C63=0,E63=0),0,IF(C63=0,"New",(E63-C63)/C63))</f>
        <v>New</v>
      </c>
      <c r="H63" s="9" t="n">
        <f aca="false">SUMIFS('Source PPLAY1 2025'!$D:$D,'Source PPLAY1 2025'!$B:$B,$A63,'Source PPLAY1 2025'!$A:$A,"Amount (NIS)")</f>
        <v>0</v>
      </c>
      <c r="I63" s="9" t="n">
        <f aca="false">SUMIFS('Source PPLAY1 2026'!$D:$D,'Source PPLAY1 2026'!$B:$B,$A63,'Source PPLAY1 2026'!$A:$A,"Amount (NIS)")</f>
        <v>1262</v>
      </c>
      <c r="J63" s="9" t="n">
        <f aca="false">I63*$J$5</f>
        <v>1594.10526315789</v>
      </c>
      <c r="K63" s="9" t="n">
        <f aca="false">J63-H63</f>
        <v>1594.10526315789</v>
      </c>
      <c r="L63" s="10" t="str">
        <f aca="false">IF(AND(H63=0,J63=0),0,IF(H63=0,"New",(J63-H63)/H63))</f>
        <v>New</v>
      </c>
    </row>
    <row r="64" customFormat="false" ht="15" hidden="false" customHeight="true" outlineLevel="0" collapsed="false">
      <c r="A64" s="8" t="s">
        <v>103</v>
      </c>
      <c r="B64" s="8" t="str">
        <f aca="false">IFERROR(INDEX('Source PPLAY1 2026'!$C:$C,MATCH($A64,'Source PPLAY1 2026'!$B:$B,0)),IFERROR(INDEX('Source PPLAY1 2025'!$C:$C,MATCH($A64,'Source PPLAY1 2025'!$B:$B,0)),""))</f>
        <v>S חגורת שבר לצד שמאל</v>
      </c>
      <c r="C64" s="9" t="n">
        <f aca="false">SUMIFS('Source PPLAY1 2025'!$D:$D,'Source PPLAY1 2025'!$B:$B,$A64,'Source PPLAY1 2025'!$A:$A,"Quantity (units)")</f>
        <v>0</v>
      </c>
      <c r="D64" s="9" t="n">
        <f aca="false">SUMIFS('Source PPLAY1 2026'!$D:$D,'Source PPLAY1 2026'!$B:$B,$A64,'Source PPLAY1 2026'!$A:$A,"Quantity (units)")</f>
        <v>10</v>
      </c>
      <c r="E64" s="9" t="n">
        <f aca="false">D64*$J$5</f>
        <v>12.6315789473684</v>
      </c>
      <c r="F64" s="9" t="n">
        <f aca="false">E64-C64</f>
        <v>12.6315789473684</v>
      </c>
      <c r="G64" s="10" t="str">
        <f aca="false">IF(AND(C64=0,E64=0),0,IF(C64=0,"New",(E64-C64)/C64))</f>
        <v>New</v>
      </c>
      <c r="H64" s="9" t="n">
        <f aca="false">SUMIFS('Source PPLAY1 2025'!$D:$D,'Source PPLAY1 2025'!$B:$B,$A64,'Source PPLAY1 2025'!$A:$A,"Amount (NIS)")</f>
        <v>0</v>
      </c>
      <c r="I64" s="9" t="n">
        <f aca="false">SUMIFS('Source PPLAY1 2026'!$D:$D,'Source PPLAY1 2026'!$B:$B,$A64,'Source PPLAY1 2026'!$A:$A,"Amount (NIS)")</f>
        <v>1202.4</v>
      </c>
      <c r="J64" s="9" t="n">
        <f aca="false">I64*$J$5</f>
        <v>1518.82105263158</v>
      </c>
      <c r="K64" s="9" t="n">
        <f aca="false">J64-H64</f>
        <v>1518.82105263158</v>
      </c>
      <c r="L64" s="10" t="str">
        <f aca="false">IF(AND(H64=0,J64=0),0,IF(H64=0,"New",(J64-H64)/H64))</f>
        <v>New</v>
      </c>
    </row>
    <row r="65" customFormat="false" ht="15" hidden="false" customHeight="true" outlineLevel="0" collapsed="false">
      <c r="A65" s="8" t="s">
        <v>104</v>
      </c>
      <c r="B65" s="8" t="str">
        <f aca="false">IFERROR(INDEX('Source PPLAY1 2026'!$C:$C,MATCH($A65,'Source PPLAY1 2026'!$B:$B,0)),IFERROR(INDEX('Source PPLAY1 2025'!$C:$C,MATCH($A65,'Source PPLAY1 2025'!$B:$B,0)),""))</f>
        <v>XLמפריד אצבע סיליקון ליבלת</v>
      </c>
      <c r="C65" s="9" t="n">
        <f aca="false">SUMIFS('Source PPLAY1 2025'!$D:$D,'Source PPLAY1 2025'!$B:$B,$A65,'Source PPLAY1 2025'!$A:$A,"Quantity (units)")</f>
        <v>0</v>
      </c>
      <c r="D65" s="9" t="n">
        <f aca="false">SUMIFS('Source PPLAY1 2026'!$D:$D,'Source PPLAY1 2026'!$B:$B,$A65,'Source PPLAY1 2026'!$A:$A,"Quantity (units)")</f>
        <v>136</v>
      </c>
      <c r="E65" s="9" t="n">
        <f aca="false">D65*$J$5</f>
        <v>171.789473684211</v>
      </c>
      <c r="F65" s="9" t="n">
        <f aca="false">E65-C65</f>
        <v>171.789473684211</v>
      </c>
      <c r="G65" s="10" t="str">
        <f aca="false">IF(AND(C65=0,E65=0),0,IF(C65=0,"New",(E65-C65)/C65))</f>
        <v>New</v>
      </c>
      <c r="H65" s="9" t="n">
        <f aca="false">SUMIFS('Source PPLAY1 2025'!$D:$D,'Source PPLAY1 2025'!$B:$B,$A65,'Source PPLAY1 2025'!$A:$A,"Amount (NIS)")</f>
        <v>0</v>
      </c>
      <c r="I65" s="9" t="n">
        <f aca="false">SUMIFS('Source PPLAY1 2026'!$D:$D,'Source PPLAY1 2026'!$B:$B,$A65,'Source PPLAY1 2026'!$A:$A,"Amount (NIS)")</f>
        <v>1201.7</v>
      </c>
      <c r="J65" s="9" t="n">
        <f aca="false">I65*$J$5</f>
        <v>1517.93684210526</v>
      </c>
      <c r="K65" s="9" t="n">
        <f aca="false">J65-H65</f>
        <v>1517.93684210526</v>
      </c>
      <c r="L65" s="10" t="str">
        <f aca="false">IF(AND(H65=0,J65=0),0,IF(H65=0,"New",(J65-H65)/H65))</f>
        <v>New</v>
      </c>
    </row>
    <row r="66" customFormat="false" ht="15" hidden="false" customHeight="true" outlineLevel="0" collapsed="false">
      <c r="A66" s="8" t="s">
        <v>105</v>
      </c>
      <c r="B66" s="8" t="str">
        <f aca="false">IFERROR(INDEX('Source PPLAY1 2026'!$C:$C,MATCH($A66,'Source PPLAY1 2026'!$B:$B,0)),IFERROR(INDEX('Source PPLAY1 2025'!$C:$C,MATCH($A66,'Source PPLAY1 2025'!$B:$B,0)),""))</f>
        <v>חבק יד</v>
      </c>
      <c r="C66" s="9" t="n">
        <f aca="false">SUMIFS('Source PPLAY1 2025'!$D:$D,'Source PPLAY1 2025'!$B:$B,$A66,'Source PPLAY1 2025'!$A:$A,"Quantity (units)")</f>
        <v>0</v>
      </c>
      <c r="D66" s="9" t="n">
        <f aca="false">SUMIFS('Source PPLAY1 2026'!$D:$D,'Source PPLAY1 2026'!$B:$B,$A66,'Source PPLAY1 2026'!$A:$A,"Quantity (units)")</f>
        <v>72</v>
      </c>
      <c r="E66" s="9" t="n">
        <f aca="false">D66*$J$5</f>
        <v>90.9473684210526</v>
      </c>
      <c r="F66" s="9" t="n">
        <f aca="false">E66-C66</f>
        <v>90.9473684210526</v>
      </c>
      <c r="G66" s="10" t="str">
        <f aca="false">IF(AND(C66=0,E66=0),0,IF(C66=0,"New",(E66-C66)/C66))</f>
        <v>New</v>
      </c>
      <c r="H66" s="9" t="n">
        <f aca="false">SUMIFS('Source PPLAY1 2025'!$D:$D,'Source PPLAY1 2025'!$B:$B,$A66,'Source PPLAY1 2025'!$A:$A,"Amount (NIS)")</f>
        <v>0</v>
      </c>
      <c r="I66" s="9" t="n">
        <f aca="false">SUMIFS('Source PPLAY1 2026'!$D:$D,'Source PPLAY1 2026'!$B:$B,$A66,'Source PPLAY1 2026'!$A:$A,"Amount (NIS)")</f>
        <v>1133</v>
      </c>
      <c r="J66" s="9" t="n">
        <f aca="false">I66*$J$5</f>
        <v>1431.15789473684</v>
      </c>
      <c r="K66" s="9" t="n">
        <f aca="false">J66-H66</f>
        <v>1431.15789473684</v>
      </c>
      <c r="L66" s="10" t="str">
        <f aca="false">IF(AND(H66=0,J66=0),0,IF(H66=0,"New",(J66-H66)/H66))</f>
        <v>New</v>
      </c>
    </row>
    <row r="67" customFormat="false" ht="15" hidden="false" customHeight="true" outlineLevel="0" collapsed="false">
      <c r="A67" s="8" t="s">
        <v>106</v>
      </c>
      <c r="B67" s="8" t="str">
        <f aca="false">IFERROR(INDEX('Source PPLAY1 2026'!$C:$C,MATCH($A67,'Source PPLAY1 2026'!$B:$B,0)),IFERROR(INDEX('Source PPLAY1 2025'!$C:$C,MATCH($A67,'Source PPLAY1 2025'!$B:$B,0)),""))</f>
        <v>כרית ליישור אצבע פטיש</v>
      </c>
      <c r="C67" s="9" t="n">
        <f aca="false">SUMIFS('Source PPLAY1 2025'!$D:$D,'Source PPLAY1 2025'!$B:$B,$A67,'Source PPLAY1 2025'!$A:$A,"Quantity (units)")</f>
        <v>0</v>
      </c>
      <c r="D67" s="9" t="n">
        <f aca="false">SUMIFS('Source PPLAY1 2026'!$D:$D,'Source PPLAY1 2026'!$B:$B,$A67,'Source PPLAY1 2026'!$A:$A,"Quantity (units)")</f>
        <v>57</v>
      </c>
      <c r="E67" s="9" t="n">
        <f aca="false">D67*$J$5</f>
        <v>72</v>
      </c>
      <c r="F67" s="9" t="n">
        <f aca="false">E67-C67</f>
        <v>72</v>
      </c>
      <c r="G67" s="10" t="str">
        <f aca="false">IF(AND(C67=0,E67=0),0,IF(C67=0,"New",(E67-C67)/C67))</f>
        <v>New</v>
      </c>
      <c r="H67" s="9" t="n">
        <f aca="false">SUMIFS('Source PPLAY1 2025'!$D:$D,'Source PPLAY1 2025'!$B:$B,$A67,'Source PPLAY1 2025'!$A:$A,"Amount (NIS)")</f>
        <v>0</v>
      </c>
      <c r="I67" s="9" t="n">
        <f aca="false">SUMIFS('Source PPLAY1 2026'!$D:$D,'Source PPLAY1 2026'!$B:$B,$A67,'Source PPLAY1 2026'!$A:$A,"Amount (NIS)")</f>
        <v>1095.6</v>
      </c>
      <c r="J67" s="9" t="n">
        <f aca="false">I67*$J$5</f>
        <v>1383.91578947368</v>
      </c>
      <c r="K67" s="9" t="n">
        <f aca="false">J67-H67</f>
        <v>1383.91578947368</v>
      </c>
      <c r="L67" s="10" t="str">
        <f aca="false">IF(AND(H67=0,J67=0),0,IF(H67=0,"New",(J67-H67)/H67))</f>
        <v>New</v>
      </c>
    </row>
    <row r="68" customFormat="false" ht="15" hidden="false" customHeight="true" outlineLevel="0" collapsed="false">
      <c r="A68" s="8" t="s">
        <v>107</v>
      </c>
      <c r="B68" s="8" t="str">
        <f aca="false">IFERROR(INDEX('Source PPLAY1 2026'!$C:$C,MATCH($A68,'Source PPLAY1 2026'!$B:$B,0)),IFERROR(INDEX('Source PPLAY1 2025'!$C:$C,MATCH($A68,'Source PPLAY1 2025'!$B:$B,0)),""))</f>
        <v>S חגורה אחרי ניתוח</v>
      </c>
      <c r="C68" s="9" t="n">
        <f aca="false">SUMIFS('Source PPLAY1 2025'!$D:$D,'Source PPLAY1 2025'!$B:$B,$A68,'Source PPLAY1 2025'!$A:$A,"Quantity (units)")</f>
        <v>0</v>
      </c>
      <c r="D68" s="9" t="n">
        <f aca="false">SUMIFS('Source PPLAY1 2026'!$D:$D,'Source PPLAY1 2026'!$B:$B,$A68,'Source PPLAY1 2026'!$A:$A,"Quantity (units)")</f>
        <v>9</v>
      </c>
      <c r="E68" s="9" t="n">
        <f aca="false">D68*$J$5</f>
        <v>11.3684210526316</v>
      </c>
      <c r="F68" s="9" t="n">
        <f aca="false">E68-C68</f>
        <v>11.3684210526316</v>
      </c>
      <c r="G68" s="10" t="str">
        <f aca="false">IF(AND(C68=0,E68=0),0,IF(C68=0,"New",(E68-C68)/C68))</f>
        <v>New</v>
      </c>
      <c r="H68" s="9" t="n">
        <f aca="false">SUMIFS('Source PPLAY1 2025'!$D:$D,'Source PPLAY1 2025'!$B:$B,$A68,'Source PPLAY1 2025'!$A:$A,"Amount (NIS)")</f>
        <v>0</v>
      </c>
      <c r="I68" s="9" t="n">
        <f aca="false">SUMIFS('Source PPLAY1 2026'!$D:$D,'Source PPLAY1 2026'!$B:$B,$A68,'Source PPLAY1 2026'!$A:$A,"Amount (NIS)")</f>
        <v>1022.3</v>
      </c>
      <c r="J68" s="9" t="n">
        <f aca="false">I68*$J$5</f>
        <v>1291.32631578947</v>
      </c>
      <c r="K68" s="9" t="n">
        <f aca="false">J68-H68</f>
        <v>1291.32631578947</v>
      </c>
      <c r="L68" s="10" t="str">
        <f aca="false">IF(AND(H68=0,J68=0),0,IF(H68=0,"New",(J68-H68)/H68))</f>
        <v>New</v>
      </c>
    </row>
    <row r="69" customFormat="false" ht="15" hidden="false" customHeight="true" outlineLevel="0" collapsed="false">
      <c r="A69" s="8" t="s">
        <v>108</v>
      </c>
      <c r="B69" s="8" t="str">
        <f aca="false">IFERROR(INDEX('Source PPLAY1 2026'!$C:$C,MATCH($A69,'Source PPLAY1 2026'!$B:$B,0)),IFERROR(INDEX('Source PPLAY1 2025'!$C:$C,MATCH($A69,'Source PPLAY1 2025'!$B:$B,0)),""))</f>
        <v>להסרת עור קשה</v>
      </c>
      <c r="C69" s="9" t="n">
        <f aca="false">SUMIFS('Source PPLAY1 2025'!$D:$D,'Source PPLAY1 2025'!$B:$B,$A69,'Source PPLAY1 2025'!$A:$A,"Quantity (units)")</f>
        <v>0</v>
      </c>
      <c r="D69" s="9" t="n">
        <f aca="false">SUMIFS('Source PPLAY1 2026'!$D:$D,'Source PPLAY1 2026'!$B:$B,$A69,'Source PPLAY1 2026'!$A:$A,"Quantity (units)")</f>
        <v>48</v>
      </c>
      <c r="E69" s="9" t="n">
        <f aca="false">D69*$J$5</f>
        <v>60.6315789473684</v>
      </c>
      <c r="F69" s="9" t="n">
        <f aca="false">E69-C69</f>
        <v>60.6315789473684</v>
      </c>
      <c r="G69" s="10" t="str">
        <f aca="false">IF(AND(C69=0,E69=0),0,IF(C69=0,"New",(E69-C69)/C69))</f>
        <v>New</v>
      </c>
      <c r="H69" s="9" t="n">
        <f aca="false">SUMIFS('Source PPLAY1 2025'!$D:$D,'Source PPLAY1 2025'!$B:$B,$A69,'Source PPLAY1 2025'!$A:$A,"Amount (NIS)")</f>
        <v>0</v>
      </c>
      <c r="I69" s="9" t="n">
        <f aca="false">SUMIFS('Source PPLAY1 2026'!$D:$D,'Source PPLAY1 2026'!$B:$B,$A69,'Source PPLAY1 2026'!$A:$A,"Amount (NIS)")</f>
        <v>1004.4</v>
      </c>
      <c r="J69" s="9" t="n">
        <f aca="false">I69*$J$5</f>
        <v>1268.71578947368</v>
      </c>
      <c r="K69" s="9" t="n">
        <f aca="false">J69-H69</f>
        <v>1268.71578947368</v>
      </c>
      <c r="L69" s="10" t="str">
        <f aca="false">IF(AND(H69=0,J69=0),0,IF(H69=0,"New",(J69-H69)/H69))</f>
        <v>New</v>
      </c>
    </row>
    <row r="70" customFormat="false" ht="15" hidden="false" customHeight="true" outlineLevel="0" collapsed="false">
      <c r="A70" s="8" t="s">
        <v>109</v>
      </c>
      <c r="B70" s="8" t="str">
        <f aca="false">IFERROR(INDEX('Source PPLAY1 2026'!$C:$C,MATCH($A70,'Source PPLAY1 2026'!$B:$B,0)),IFERROR(INDEX('Source PPLAY1 2025'!$C:$C,MATCH($A70,'Source PPLAY1 2025'!$B:$B,0)),""))</f>
        <v>רצועת ""פיקה""+כרית</v>
      </c>
      <c r="C70" s="9" t="n">
        <f aca="false">SUMIFS('Source PPLAY1 2025'!$D:$D,'Source PPLAY1 2025'!$B:$B,$A70,'Source PPLAY1 2025'!$A:$A,"Quantity (units)")</f>
        <v>0</v>
      </c>
      <c r="D70" s="9" t="n">
        <f aca="false">SUMIFS('Source PPLAY1 2026'!$D:$D,'Source PPLAY1 2026'!$B:$B,$A70,'Source PPLAY1 2026'!$A:$A,"Quantity (units)")</f>
        <v>16</v>
      </c>
      <c r="E70" s="9" t="n">
        <f aca="false">D70*$J$5</f>
        <v>20.2105263157895</v>
      </c>
      <c r="F70" s="9" t="n">
        <f aca="false">E70-C70</f>
        <v>20.2105263157895</v>
      </c>
      <c r="G70" s="10" t="str">
        <f aca="false">IF(AND(C70=0,E70=0),0,IF(C70=0,"New",(E70-C70)/C70))</f>
        <v>New</v>
      </c>
      <c r="H70" s="9" t="n">
        <f aca="false">SUMIFS('Source PPLAY1 2025'!$D:$D,'Source PPLAY1 2025'!$B:$B,$A70,'Source PPLAY1 2025'!$A:$A,"Amount (NIS)")</f>
        <v>0</v>
      </c>
      <c r="I70" s="9" t="n">
        <f aca="false">SUMIFS('Source PPLAY1 2026'!$D:$D,'Source PPLAY1 2026'!$B:$B,$A70,'Source PPLAY1 2026'!$A:$A,"Amount (NIS)")</f>
        <v>957.1</v>
      </c>
      <c r="J70" s="9" t="n">
        <f aca="false">I70*$J$5</f>
        <v>1208.96842105263</v>
      </c>
      <c r="K70" s="9" t="n">
        <f aca="false">J70-H70</f>
        <v>1208.96842105263</v>
      </c>
      <c r="L70" s="10" t="str">
        <f aca="false">IF(AND(H70=0,J70=0),0,IF(H70=0,"New",(J70-H70)/H70))</f>
        <v>New</v>
      </c>
    </row>
    <row r="71" customFormat="false" ht="15" hidden="false" customHeight="true" outlineLevel="0" collapsed="false">
      <c r="A71" s="8" t="s">
        <v>110</v>
      </c>
      <c r="B71" s="8" t="str">
        <f aca="false">IFERROR(INDEX('Source PPLAY1 2026'!$C:$C,MATCH($A71,'Source PPLAY1 2026'!$B:$B,0)),IFERROR(INDEX('Source PPLAY1 2025'!$C:$C,MATCH($A71,'Source PPLAY1 2025'!$B:$B,0)),""))</f>
        <v>בליסטר פלסטר</v>
      </c>
      <c r="C71" s="9" t="n">
        <f aca="false">SUMIFS('Source PPLAY1 2025'!$D:$D,'Source PPLAY1 2025'!$B:$B,$A71,'Source PPLAY1 2025'!$A:$A,"Quantity (units)")</f>
        <v>0</v>
      </c>
      <c r="D71" s="9" t="n">
        <f aca="false">SUMIFS('Source PPLAY1 2026'!$D:$D,'Source PPLAY1 2026'!$B:$B,$A71,'Source PPLAY1 2026'!$A:$A,"Quantity (units)")</f>
        <v>78</v>
      </c>
      <c r="E71" s="9" t="n">
        <f aca="false">D71*$J$5</f>
        <v>98.5263157894737</v>
      </c>
      <c r="F71" s="9" t="n">
        <f aca="false">E71-C71</f>
        <v>98.5263157894737</v>
      </c>
      <c r="G71" s="10" t="str">
        <f aca="false">IF(AND(C71=0,E71=0),0,IF(C71=0,"New",(E71-C71)/C71))</f>
        <v>New</v>
      </c>
      <c r="H71" s="9" t="n">
        <f aca="false">SUMIFS('Source PPLAY1 2025'!$D:$D,'Source PPLAY1 2025'!$B:$B,$A71,'Source PPLAY1 2025'!$A:$A,"Amount (NIS)")</f>
        <v>0</v>
      </c>
      <c r="I71" s="9" t="n">
        <f aca="false">SUMIFS('Source PPLAY1 2026'!$D:$D,'Source PPLAY1 2026'!$B:$B,$A71,'Source PPLAY1 2026'!$A:$A,"Amount (NIS)")</f>
        <v>939.1</v>
      </c>
      <c r="J71" s="9" t="n">
        <f aca="false">I71*$J$5</f>
        <v>1186.23157894737</v>
      </c>
      <c r="K71" s="9" t="n">
        <f aca="false">J71-H71</f>
        <v>1186.23157894737</v>
      </c>
      <c r="L71" s="10" t="str">
        <f aca="false">IF(AND(H71=0,J71=0),0,IF(H71=0,"New",(J71-H71)/H71))</f>
        <v>New</v>
      </c>
    </row>
    <row r="72" customFormat="false" ht="15" hidden="false" customHeight="true" outlineLevel="0" collapsed="false">
      <c r="A72" s="8" t="s">
        <v>111</v>
      </c>
      <c r="B72" s="8" t="str">
        <f aca="false">IFERROR(INDEX('Source PPLAY1 2026'!$C:$C,MATCH($A72,'Source PPLAY1 2026'!$B:$B,0)),IFERROR(INDEX('Source PPLAY1 2025'!$C:$C,MATCH($A72,'Source PPLAY1 2025'!$B:$B,0)),""))</f>
        <v>מגן קרסול עקב סגור+רצוע</v>
      </c>
      <c r="C72" s="9" t="n">
        <f aca="false">SUMIFS('Source PPLAY1 2025'!$D:$D,'Source PPLAY1 2025'!$B:$B,$A72,'Source PPLAY1 2025'!$A:$A,"Quantity (units)")</f>
        <v>0</v>
      </c>
      <c r="D72" s="9" t="n">
        <f aca="false">SUMIFS('Source PPLAY1 2026'!$D:$D,'Source PPLAY1 2026'!$B:$B,$A72,'Source PPLAY1 2026'!$A:$A,"Quantity (units)")</f>
        <v>23</v>
      </c>
      <c r="E72" s="9" t="n">
        <f aca="false">D72*$J$5</f>
        <v>29.0526315789474</v>
      </c>
      <c r="F72" s="9" t="n">
        <f aca="false">E72-C72</f>
        <v>29.0526315789474</v>
      </c>
      <c r="G72" s="10" t="str">
        <f aca="false">IF(AND(C72=0,E72=0),0,IF(C72=0,"New",(E72-C72)/C72))</f>
        <v>New</v>
      </c>
      <c r="H72" s="9" t="n">
        <f aca="false">SUMIFS('Source PPLAY1 2025'!$D:$D,'Source PPLAY1 2025'!$B:$B,$A72,'Source PPLAY1 2025'!$A:$A,"Amount (NIS)")</f>
        <v>0</v>
      </c>
      <c r="I72" s="9" t="n">
        <f aca="false">SUMIFS('Source PPLAY1 2026'!$D:$D,'Source PPLAY1 2026'!$B:$B,$A72,'Source PPLAY1 2026'!$A:$A,"Amount (NIS)")</f>
        <v>906.6</v>
      </c>
      <c r="J72" s="9" t="n">
        <f aca="false">I72*$J$5</f>
        <v>1145.17894736842</v>
      </c>
      <c r="K72" s="9" t="n">
        <f aca="false">J72-H72</f>
        <v>1145.17894736842</v>
      </c>
      <c r="L72" s="10" t="str">
        <f aca="false">IF(AND(H72=0,J72=0),0,IF(H72=0,"New",(J72-H72)/H72))</f>
        <v>New</v>
      </c>
    </row>
    <row r="73" customFormat="false" ht="15" hidden="false" customHeight="true" outlineLevel="0" collapsed="false">
      <c r="A73" s="8" t="s">
        <v>112</v>
      </c>
      <c r="B73" s="8" t="str">
        <f aca="false">IFERROR(INDEX('Source PPLAY1 2026'!$C:$C,MATCH($A73,'Source PPLAY1 2026'!$B:$B,0)),IFERROR(INDEX('Source PPLAY1 2025'!$C:$C,MATCH($A73,'Source PPLAY1 2025'!$B:$B,0)),""))</f>
        <v>תחבושת אלסטית מקררת</v>
      </c>
      <c r="C73" s="9" t="n">
        <f aca="false">SUMIFS('Source PPLAY1 2025'!$D:$D,'Source PPLAY1 2025'!$B:$B,$A73,'Source PPLAY1 2025'!$A:$A,"Quantity (units)")</f>
        <v>0</v>
      </c>
      <c r="D73" s="9" t="n">
        <f aca="false">SUMIFS('Source PPLAY1 2026'!$D:$D,'Source PPLAY1 2026'!$B:$B,$A73,'Source PPLAY1 2026'!$A:$A,"Quantity (units)")</f>
        <v>65</v>
      </c>
      <c r="E73" s="9" t="n">
        <f aca="false">D73*$J$5</f>
        <v>82.1052631578947</v>
      </c>
      <c r="F73" s="9" t="n">
        <f aca="false">E73-C73</f>
        <v>82.1052631578947</v>
      </c>
      <c r="G73" s="10" t="str">
        <f aca="false">IF(AND(C73=0,E73=0),0,IF(C73=0,"New",(E73-C73)/C73))</f>
        <v>New</v>
      </c>
      <c r="H73" s="9" t="n">
        <f aca="false">SUMIFS('Source PPLAY1 2025'!$D:$D,'Source PPLAY1 2025'!$B:$B,$A73,'Source PPLAY1 2025'!$A:$A,"Amount (NIS)")</f>
        <v>0</v>
      </c>
      <c r="I73" s="9" t="n">
        <f aca="false">SUMIFS('Source PPLAY1 2026'!$D:$D,'Source PPLAY1 2026'!$B:$B,$A73,'Source PPLAY1 2026'!$A:$A,"Amount (NIS)")</f>
        <v>879.9</v>
      </c>
      <c r="J73" s="9" t="n">
        <f aca="false">I73*$J$5</f>
        <v>1111.45263157895</v>
      </c>
      <c r="K73" s="9" t="n">
        <f aca="false">J73-H73</f>
        <v>1111.45263157895</v>
      </c>
      <c r="L73" s="10" t="str">
        <f aca="false">IF(AND(H73=0,J73=0),0,IF(H73=0,"New",(J73-H73)/H73))</f>
        <v>New</v>
      </c>
    </row>
    <row r="74" customFormat="false" ht="15" hidden="false" customHeight="true" outlineLevel="0" collapsed="false">
      <c r="A74" s="8" t="s">
        <v>113</v>
      </c>
      <c r="B74" s="8" t="str">
        <f aca="false">IFERROR(INDEX('Source PPLAY1 2026'!$C:$C,MATCH($A74,'Source PPLAY1 2026'!$B:$B,0)),IFERROR(INDEX('Source PPLAY1 2025'!$C:$C,MATCH($A74,'Source PPLAY1 2025'!$B:$B,0)),""))</f>
        <v>טייפ קינזיולוגי</v>
      </c>
      <c r="C74" s="9" t="n">
        <f aca="false">SUMIFS('Source PPLAY1 2025'!$D:$D,'Source PPLAY1 2025'!$B:$B,$A74,'Source PPLAY1 2025'!$A:$A,"Quantity (units)")</f>
        <v>0</v>
      </c>
      <c r="D74" s="9" t="n">
        <f aca="false">SUMIFS('Source PPLAY1 2026'!$D:$D,'Source PPLAY1 2026'!$B:$B,$A74,'Source PPLAY1 2026'!$A:$A,"Quantity (units)")</f>
        <v>35</v>
      </c>
      <c r="E74" s="9" t="n">
        <f aca="false">D74*$J$5</f>
        <v>44.2105263157895</v>
      </c>
      <c r="F74" s="9" t="n">
        <f aca="false">E74-C74</f>
        <v>44.2105263157895</v>
      </c>
      <c r="G74" s="10" t="str">
        <f aca="false">IF(AND(C74=0,E74=0),0,IF(C74=0,"New",(E74-C74)/C74))</f>
        <v>New</v>
      </c>
      <c r="H74" s="9" t="n">
        <f aca="false">SUMIFS('Source PPLAY1 2025'!$D:$D,'Source PPLAY1 2025'!$B:$B,$A74,'Source PPLAY1 2025'!$A:$A,"Amount (NIS)")</f>
        <v>0</v>
      </c>
      <c r="I74" s="9" t="n">
        <f aca="false">SUMIFS('Source PPLAY1 2026'!$D:$D,'Source PPLAY1 2026'!$B:$B,$A74,'Source PPLAY1 2026'!$A:$A,"Amount (NIS)")</f>
        <v>875</v>
      </c>
      <c r="J74" s="9" t="n">
        <f aca="false">I74*$J$5</f>
        <v>1105.26315789474</v>
      </c>
      <c r="K74" s="9" t="n">
        <f aca="false">J74-H74</f>
        <v>1105.26315789474</v>
      </c>
      <c r="L74" s="10" t="str">
        <f aca="false">IF(AND(H74=0,J74=0),0,IF(H74=0,"New",(J74-H74)/H74))</f>
        <v>New</v>
      </c>
    </row>
    <row r="75" customFormat="false" ht="15" hidden="false" customHeight="true" outlineLevel="0" collapsed="false">
      <c r="A75" s="8" t="s">
        <v>114</v>
      </c>
      <c r="B75" s="8" t="str">
        <f aca="false">IFERROR(INDEX('Source PPLAY1 2026'!$C:$C,MATCH($A75,'Source PPLAY1 2026'!$B:$B,0)),IFERROR(INDEX('Source PPLAY1 2025'!$C:$C,MATCH($A75,'Source PPLAY1 2025'!$B:$B,0)),""))</f>
        <v>למניעת שפשוף 5 יח</v>
      </c>
      <c r="C75" s="9" t="n">
        <f aca="false">SUMIFS('Source PPLAY1 2025'!$D:$D,'Source PPLAY1 2025'!$B:$B,$A75,'Source PPLAY1 2025'!$A:$A,"Quantity (units)")</f>
        <v>0</v>
      </c>
      <c r="D75" s="9" t="n">
        <f aca="false">SUMIFS('Source PPLAY1 2026'!$D:$D,'Source PPLAY1 2026'!$B:$B,$A75,'Source PPLAY1 2026'!$A:$A,"Quantity (units)")</f>
        <v>90</v>
      </c>
      <c r="E75" s="9" t="n">
        <f aca="false">D75*$J$5</f>
        <v>113.684210526316</v>
      </c>
      <c r="F75" s="9" t="n">
        <f aca="false">E75-C75</f>
        <v>113.684210526316</v>
      </c>
      <c r="G75" s="10" t="str">
        <f aca="false">IF(AND(C75=0,E75=0),0,IF(C75=0,"New",(E75-C75)/C75))</f>
        <v>New</v>
      </c>
      <c r="H75" s="9" t="n">
        <f aca="false">SUMIFS('Source PPLAY1 2025'!$D:$D,'Source PPLAY1 2025'!$B:$B,$A75,'Source PPLAY1 2025'!$A:$A,"Amount (NIS)")</f>
        <v>0</v>
      </c>
      <c r="I75" s="9" t="n">
        <f aca="false">SUMIFS('Source PPLAY1 2026'!$D:$D,'Source PPLAY1 2026'!$B:$B,$A75,'Source PPLAY1 2026'!$A:$A,"Amount (NIS)")</f>
        <v>837.1</v>
      </c>
      <c r="J75" s="9" t="n">
        <f aca="false">I75*$J$5</f>
        <v>1057.38947368421</v>
      </c>
      <c r="K75" s="9" t="n">
        <f aca="false">J75-H75</f>
        <v>1057.38947368421</v>
      </c>
      <c r="L75" s="10" t="str">
        <f aca="false">IF(AND(H75=0,J75=0),0,IF(H75=0,"New",(J75-H75)/H75))</f>
        <v>New</v>
      </c>
    </row>
    <row r="76" customFormat="false" ht="15" hidden="false" customHeight="true" outlineLevel="0" collapsed="false">
      <c r="A76" s="8" t="s">
        <v>115</v>
      </c>
      <c r="B76" s="8" t="str">
        <f aca="false">IFERROR(INDEX('Source PPLAY1 2026'!$C:$C,MATCH($A76,'Source PPLAY1 2026'!$B:$B,0)),IFERROR(INDEX('Source PPLAY1 2025'!$C:$C,MATCH($A76,'Source PPLAY1 2025'!$B:$B,0)),""))</f>
        <v>מגן זרת מסיליקון</v>
      </c>
      <c r="C76" s="9" t="n">
        <f aca="false">SUMIFS('Source PPLAY1 2025'!$D:$D,'Source PPLAY1 2025'!$B:$B,$A76,'Source PPLAY1 2025'!$A:$A,"Quantity (units)")</f>
        <v>0</v>
      </c>
      <c r="D76" s="9" t="n">
        <f aca="false">SUMIFS('Source PPLAY1 2026'!$D:$D,'Source PPLAY1 2026'!$B:$B,$A76,'Source PPLAY1 2026'!$A:$A,"Quantity (units)")</f>
        <v>41</v>
      </c>
      <c r="E76" s="9" t="n">
        <f aca="false">D76*$J$5</f>
        <v>51.7894736842105</v>
      </c>
      <c r="F76" s="9" t="n">
        <f aca="false">E76-C76</f>
        <v>51.7894736842105</v>
      </c>
      <c r="G76" s="10" t="str">
        <f aca="false">IF(AND(C76=0,E76=0),0,IF(C76=0,"New",(E76-C76)/C76))</f>
        <v>New</v>
      </c>
      <c r="H76" s="9" t="n">
        <f aca="false">SUMIFS('Source PPLAY1 2025'!$D:$D,'Source PPLAY1 2025'!$B:$B,$A76,'Source PPLAY1 2025'!$A:$A,"Amount (NIS)")</f>
        <v>0</v>
      </c>
      <c r="I76" s="9" t="n">
        <f aca="false">SUMIFS('Source PPLAY1 2026'!$D:$D,'Source PPLAY1 2026'!$B:$B,$A76,'Source PPLAY1 2026'!$A:$A,"Amount (NIS)")</f>
        <v>829.8</v>
      </c>
      <c r="J76" s="9" t="n">
        <f aca="false">I76*$J$5</f>
        <v>1048.16842105263</v>
      </c>
      <c r="K76" s="9" t="n">
        <f aca="false">J76-H76</f>
        <v>1048.16842105263</v>
      </c>
      <c r="L76" s="10" t="str">
        <f aca="false">IF(AND(H76=0,J76=0),0,IF(H76=0,"New",(J76-H76)/H76))</f>
        <v>New</v>
      </c>
    </row>
    <row r="77" customFormat="false" ht="15" hidden="false" customHeight="true" outlineLevel="0" collapsed="false">
      <c r="A77" s="8" t="s">
        <v>116</v>
      </c>
      <c r="B77" s="8" t="str">
        <f aca="false">IFERROR(INDEX('Source PPLAY1 2026'!$C:$C,MATCH($A77,'Source PPLAY1 2026'!$B:$B,0)),IFERROR(INDEX('Source PPLAY1 2025'!$C:$C,MATCH($A77,'Source PPLAY1 2025'!$B:$B,0)),""))</f>
        <v>להסרת עור קשה</v>
      </c>
      <c r="C77" s="9" t="n">
        <f aca="false">SUMIFS('Source PPLAY1 2025'!$D:$D,'Source PPLAY1 2025'!$B:$B,$A77,'Source PPLAY1 2025'!$A:$A,"Quantity (units)")</f>
        <v>0</v>
      </c>
      <c r="D77" s="9" t="n">
        <f aca="false">SUMIFS('Source PPLAY1 2026'!$D:$D,'Source PPLAY1 2026'!$B:$B,$A77,'Source PPLAY1 2026'!$A:$A,"Quantity (units)")</f>
        <v>46</v>
      </c>
      <c r="E77" s="9" t="n">
        <f aca="false">D77*$J$5</f>
        <v>58.1052631578947</v>
      </c>
      <c r="F77" s="9" t="n">
        <f aca="false">E77-C77</f>
        <v>58.1052631578947</v>
      </c>
      <c r="G77" s="10" t="str">
        <f aca="false">IF(AND(C77=0,E77=0),0,IF(C77=0,"New",(E77-C77)/C77))</f>
        <v>New</v>
      </c>
      <c r="H77" s="9" t="n">
        <f aca="false">SUMIFS('Source PPLAY1 2025'!$D:$D,'Source PPLAY1 2025'!$B:$B,$A77,'Source PPLAY1 2025'!$A:$A,"Amount (NIS)")</f>
        <v>0</v>
      </c>
      <c r="I77" s="9" t="n">
        <f aca="false">SUMIFS('Source PPLAY1 2026'!$D:$D,'Source PPLAY1 2026'!$B:$B,$A77,'Source PPLAY1 2026'!$A:$A,"Amount (NIS)")</f>
        <v>821.2</v>
      </c>
      <c r="J77" s="9" t="n">
        <f aca="false">I77*$J$5</f>
        <v>1037.30526315789</v>
      </c>
      <c r="K77" s="9" t="n">
        <f aca="false">J77-H77</f>
        <v>1037.30526315789</v>
      </c>
      <c r="L77" s="10" t="str">
        <f aca="false">IF(AND(H77=0,J77=0),0,IF(H77=0,"New",(J77-H77)/H77))</f>
        <v>New</v>
      </c>
    </row>
    <row r="78" customFormat="false" ht="15" hidden="false" customHeight="true" outlineLevel="0" collapsed="false">
      <c r="A78" s="8" t="s">
        <v>117</v>
      </c>
      <c r="B78" s="8" t="str">
        <f aca="false">IFERROR(INDEX('Source PPLAY1 2026'!$C:$C,MATCH($A78,'Source PPLAY1 2026'!$B:$B,0)),IFERROR(INDEX('Source PPLAY1 2025'!$C:$C,MATCH($A78,'Source PPLAY1 2025'!$B:$B,0)),""))</f>
        <v>לחץ מיבלת2יח</v>
      </c>
      <c r="C78" s="9" t="n">
        <f aca="false">SUMIFS('Source PPLAY1 2025'!$D:$D,'Source PPLAY1 2025'!$B:$B,$A78,'Source PPLAY1 2025'!$A:$A,"Quantity (units)")</f>
        <v>0</v>
      </c>
      <c r="D78" s="9" t="n">
        <f aca="false">SUMIFS('Source PPLAY1 2026'!$D:$D,'Source PPLAY1 2026'!$B:$B,$A78,'Source PPLAY1 2026'!$A:$A,"Quantity (units)")</f>
        <v>75</v>
      </c>
      <c r="E78" s="9" t="n">
        <f aca="false">D78*$J$5</f>
        <v>94.7368421052632</v>
      </c>
      <c r="F78" s="9" t="n">
        <f aca="false">E78-C78</f>
        <v>94.7368421052632</v>
      </c>
      <c r="G78" s="10" t="str">
        <f aca="false">IF(AND(C78=0,E78=0),0,IF(C78=0,"New",(E78-C78)/C78))</f>
        <v>New</v>
      </c>
      <c r="H78" s="9" t="n">
        <f aca="false">SUMIFS('Source PPLAY1 2025'!$D:$D,'Source PPLAY1 2025'!$B:$B,$A78,'Source PPLAY1 2025'!$A:$A,"Amount (NIS)")</f>
        <v>0</v>
      </c>
      <c r="I78" s="9" t="n">
        <f aca="false">SUMIFS('Source PPLAY1 2026'!$D:$D,'Source PPLAY1 2026'!$B:$B,$A78,'Source PPLAY1 2026'!$A:$A,"Amount (NIS)")</f>
        <v>801.6</v>
      </c>
      <c r="J78" s="9" t="n">
        <f aca="false">I78*$J$5</f>
        <v>1012.54736842105</v>
      </c>
      <c r="K78" s="9" t="n">
        <f aca="false">J78-H78</f>
        <v>1012.54736842105</v>
      </c>
      <c r="L78" s="10" t="str">
        <f aca="false">IF(AND(H78=0,J78=0),0,IF(H78=0,"New",(J78-H78)/H78))</f>
        <v>New</v>
      </c>
    </row>
    <row r="79" customFormat="false" ht="15" hidden="false" customHeight="true" outlineLevel="0" collapsed="false">
      <c r="A79" s="8" t="s">
        <v>118</v>
      </c>
      <c r="B79" s="8" t="str">
        <f aca="false">IFERROR(INDEX('Source PPLAY1 2026'!$C:$C,MATCH($A79,'Source PPLAY1 2026'!$B:$B,0)),IFERROR(INDEX('Source PPLAY1 2025'!$C:$C,MATCH($A79,'Source PPLAY1 2025'!$B:$B,0)),""))</f>
        <v>סד אגודלי עם מוט תמיכה</v>
      </c>
      <c r="C79" s="9" t="n">
        <f aca="false">SUMIFS('Source PPLAY1 2025'!$D:$D,'Source PPLAY1 2025'!$B:$B,$A79,'Source PPLAY1 2025'!$A:$A,"Quantity (units)")</f>
        <v>0</v>
      </c>
      <c r="D79" s="9" t="n">
        <f aca="false">SUMIFS('Source PPLAY1 2026'!$D:$D,'Source PPLAY1 2026'!$B:$B,$A79,'Source PPLAY1 2026'!$A:$A,"Quantity (units)")</f>
        <v>32</v>
      </c>
      <c r="E79" s="9" t="n">
        <f aca="false">D79*$J$5</f>
        <v>40.4210526315789</v>
      </c>
      <c r="F79" s="9" t="n">
        <f aca="false">E79-C79</f>
        <v>40.4210526315789</v>
      </c>
      <c r="G79" s="10" t="str">
        <f aca="false">IF(AND(C79=0,E79=0),0,IF(C79=0,"New",(E79-C79)/C79))</f>
        <v>New</v>
      </c>
      <c r="H79" s="9" t="n">
        <f aca="false">SUMIFS('Source PPLAY1 2025'!$D:$D,'Source PPLAY1 2025'!$B:$B,$A79,'Source PPLAY1 2025'!$A:$A,"Amount (NIS)")</f>
        <v>0</v>
      </c>
      <c r="I79" s="9" t="n">
        <f aca="false">SUMIFS('Source PPLAY1 2026'!$D:$D,'Source PPLAY1 2026'!$B:$B,$A79,'Source PPLAY1 2026'!$A:$A,"Amount (NIS)")</f>
        <v>800</v>
      </c>
      <c r="J79" s="9" t="n">
        <f aca="false">I79*$J$5</f>
        <v>1010.52631578947</v>
      </c>
      <c r="K79" s="9" t="n">
        <f aca="false">J79-H79</f>
        <v>1010.52631578947</v>
      </c>
      <c r="L79" s="10" t="str">
        <f aca="false">IF(AND(H79=0,J79=0),0,IF(H79=0,"New",(J79-H79)/H79))</f>
        <v>New</v>
      </c>
    </row>
    <row r="80" customFormat="false" ht="15" hidden="false" customHeight="true" outlineLevel="0" collapsed="false">
      <c r="A80" s="8" t="s">
        <v>119</v>
      </c>
      <c r="B80" s="8" t="str">
        <f aca="false">IFERROR(INDEX('Source PPLAY1 2026'!$C:$C,MATCH($A80,'Source PPLAY1 2026'!$B:$B,0)),IFERROR(INDEX('Source PPLAY1 2025'!$C:$C,MATCH($A80,'Source PPLAY1 2025'!$B:$B,0)),""))</f>
        <v>מדבקה לשחרור לחץ 2 יח</v>
      </c>
      <c r="C80" s="9" t="n">
        <f aca="false">SUMIFS('Source PPLAY1 2025'!$D:$D,'Source PPLAY1 2025'!$B:$B,$A80,'Source PPLAY1 2025'!$A:$A,"Quantity (units)")</f>
        <v>0</v>
      </c>
      <c r="D80" s="9" t="n">
        <f aca="false">SUMIFS('Source PPLAY1 2026'!$D:$D,'Source PPLAY1 2026'!$B:$B,$A80,'Source PPLAY1 2026'!$A:$A,"Quantity (units)")</f>
        <v>36</v>
      </c>
      <c r="E80" s="9" t="n">
        <f aca="false">D80*$J$5</f>
        <v>45.4736842105263</v>
      </c>
      <c r="F80" s="9" t="n">
        <f aca="false">E80-C80</f>
        <v>45.4736842105263</v>
      </c>
      <c r="G80" s="10" t="str">
        <f aca="false">IF(AND(C80=0,E80=0),0,IF(C80=0,"New",(E80-C80)/C80))</f>
        <v>New</v>
      </c>
      <c r="H80" s="9" t="n">
        <f aca="false">SUMIFS('Source PPLAY1 2025'!$D:$D,'Source PPLAY1 2025'!$B:$B,$A80,'Source PPLAY1 2025'!$A:$A,"Amount (NIS)")</f>
        <v>0</v>
      </c>
      <c r="I80" s="9" t="n">
        <f aca="false">SUMIFS('Source PPLAY1 2026'!$D:$D,'Source PPLAY1 2026'!$B:$B,$A80,'Source PPLAY1 2026'!$A:$A,"Amount (NIS)")</f>
        <v>795.6</v>
      </c>
      <c r="J80" s="9" t="n">
        <f aca="false">I80*$J$5</f>
        <v>1004.96842105263</v>
      </c>
      <c r="K80" s="9" t="n">
        <f aca="false">J80-H80</f>
        <v>1004.96842105263</v>
      </c>
      <c r="L80" s="10" t="str">
        <f aca="false">IF(AND(H80=0,J80=0),0,IF(H80=0,"New",(J80-H80)/H80))</f>
        <v>New</v>
      </c>
    </row>
    <row r="81" customFormat="false" ht="15" hidden="false" customHeight="true" outlineLevel="0" collapsed="false">
      <c r="A81" s="8" t="s">
        <v>120</v>
      </c>
      <c r="B81" s="8" t="str">
        <f aca="false">IFERROR(INDEX('Source PPLAY1 2026'!$C:$C,MATCH($A81,'Source PPLAY1 2026'!$B:$B,0)),IFERROR(INDEX('Source PPLAY1 2025'!$C:$C,MATCH($A81,'Source PPLAY1 2025'!$B:$B,0)),""))</f>
        <v>טייפ קינזיולוגי</v>
      </c>
      <c r="C81" s="9" t="n">
        <f aca="false">SUMIFS('Source PPLAY1 2025'!$D:$D,'Source PPLAY1 2025'!$B:$B,$A81,'Source PPLAY1 2025'!$A:$A,"Quantity (units)")</f>
        <v>0</v>
      </c>
      <c r="D81" s="9" t="n">
        <f aca="false">SUMIFS('Source PPLAY1 2026'!$D:$D,'Source PPLAY1 2026'!$B:$B,$A81,'Source PPLAY1 2026'!$A:$A,"Quantity (units)")</f>
        <v>31</v>
      </c>
      <c r="E81" s="9" t="n">
        <f aca="false">D81*$J$5</f>
        <v>39.1578947368421</v>
      </c>
      <c r="F81" s="9" t="n">
        <f aca="false">E81-C81</f>
        <v>39.1578947368421</v>
      </c>
      <c r="G81" s="10" t="str">
        <f aca="false">IF(AND(C81=0,E81=0),0,IF(C81=0,"New",(E81-C81)/C81))</f>
        <v>New</v>
      </c>
      <c r="H81" s="9" t="n">
        <f aca="false">SUMIFS('Source PPLAY1 2025'!$D:$D,'Source PPLAY1 2025'!$B:$B,$A81,'Source PPLAY1 2025'!$A:$A,"Amount (NIS)")</f>
        <v>0</v>
      </c>
      <c r="I81" s="9" t="n">
        <f aca="false">SUMIFS('Source PPLAY1 2026'!$D:$D,'Source PPLAY1 2026'!$B:$B,$A81,'Source PPLAY1 2026'!$A:$A,"Amount (NIS)")</f>
        <v>775</v>
      </c>
      <c r="J81" s="9" t="n">
        <f aca="false">I81*$J$5</f>
        <v>978.947368421053</v>
      </c>
      <c r="K81" s="9" t="n">
        <f aca="false">J81-H81</f>
        <v>978.947368421053</v>
      </c>
      <c r="L81" s="10" t="str">
        <f aca="false">IF(AND(H81=0,J81=0),0,IF(H81=0,"New",(J81-H81)/H81))</f>
        <v>New</v>
      </c>
    </row>
    <row r="82" customFormat="false" ht="15" hidden="false" customHeight="true" outlineLevel="0" collapsed="false">
      <c r="A82" s="8" t="s">
        <v>121</v>
      </c>
      <c r="B82" s="8" t="str">
        <f aca="false">IFERROR(INDEX('Source PPLAY1 2026'!$C:$C,MATCH($A82,'Source PPLAY1 2026'!$B:$B,0)),IFERROR(INDEX('Source PPLAY1 2025'!$C:$C,MATCH($A82,'Source PPLAY1 2025'!$B:$B,0)),""))</f>
        <v>344-אבן טבעית להסרת עור קשה</v>
      </c>
      <c r="C82" s="9" t="n">
        <f aca="false">SUMIFS('Source PPLAY1 2025'!$D:$D,'Source PPLAY1 2025'!$B:$B,$A82,'Source PPLAY1 2025'!$A:$A,"Quantity (units)")</f>
        <v>0</v>
      </c>
      <c r="D82" s="9" t="n">
        <f aca="false">SUMIFS('Source PPLAY1 2026'!$D:$D,'Source PPLAY1 2026'!$B:$B,$A82,'Source PPLAY1 2026'!$A:$A,"Quantity (units)")</f>
        <v>138</v>
      </c>
      <c r="E82" s="9" t="n">
        <f aca="false">D82*$J$5</f>
        <v>174.315789473684</v>
      </c>
      <c r="F82" s="9" t="n">
        <f aca="false">E82-C82</f>
        <v>174.315789473684</v>
      </c>
      <c r="G82" s="10" t="str">
        <f aca="false">IF(AND(C82=0,E82=0),0,IF(C82=0,"New",(E82-C82)/C82))</f>
        <v>New</v>
      </c>
      <c r="H82" s="9" t="n">
        <f aca="false">SUMIFS('Source PPLAY1 2025'!$D:$D,'Source PPLAY1 2025'!$B:$B,$A82,'Source PPLAY1 2025'!$A:$A,"Amount (NIS)")</f>
        <v>0</v>
      </c>
      <c r="I82" s="9" t="n">
        <f aca="false">SUMIFS('Source PPLAY1 2026'!$D:$D,'Source PPLAY1 2026'!$B:$B,$A82,'Source PPLAY1 2026'!$A:$A,"Amount (NIS)")</f>
        <v>771.2</v>
      </c>
      <c r="J82" s="9" t="n">
        <f aca="false">I82*$J$5</f>
        <v>974.147368421053</v>
      </c>
      <c r="K82" s="9" t="n">
        <f aca="false">J82-H82</f>
        <v>974.147368421053</v>
      </c>
      <c r="L82" s="10" t="str">
        <f aca="false">IF(AND(H82=0,J82=0),0,IF(H82=0,"New",(J82-H82)/H82))</f>
        <v>New</v>
      </c>
    </row>
    <row r="83" customFormat="false" ht="15" hidden="false" customHeight="true" outlineLevel="0" collapsed="false">
      <c r="A83" s="8" t="s">
        <v>122</v>
      </c>
      <c r="B83" s="8" t="str">
        <f aca="false">IFERROR(INDEX('Source PPLAY1 2026'!$C:$C,MATCH($A83,'Source PPLAY1 2026'!$B:$B,0)),IFERROR(INDEX('Source PPLAY1 2025'!$C:$C,MATCH($A83,'Source PPLAY1 2025'!$B:$B,0)),""))</f>
        <v>35-38 גרב.כסף לסכרתים לבן</v>
      </c>
      <c r="C83" s="9" t="n">
        <f aca="false">SUMIFS('Source PPLAY1 2025'!$D:$D,'Source PPLAY1 2025'!$B:$B,$A83,'Source PPLAY1 2025'!$A:$A,"Quantity (units)")</f>
        <v>0</v>
      </c>
      <c r="D83" s="9" t="n">
        <f aca="false">SUMIFS('Source PPLAY1 2026'!$D:$D,'Source PPLAY1 2026'!$B:$B,$A83,'Source PPLAY1 2026'!$A:$A,"Quantity (units)")</f>
        <v>41</v>
      </c>
      <c r="E83" s="9" t="n">
        <f aca="false">D83*$J$5</f>
        <v>51.7894736842105</v>
      </c>
      <c r="F83" s="9" t="n">
        <f aca="false">E83-C83</f>
        <v>51.7894736842105</v>
      </c>
      <c r="G83" s="10" t="str">
        <f aca="false">IF(AND(C83=0,E83=0),0,IF(C83=0,"New",(E83-C83)/C83))</f>
        <v>New</v>
      </c>
      <c r="H83" s="9" t="n">
        <f aca="false">SUMIFS('Source PPLAY1 2025'!$D:$D,'Source PPLAY1 2025'!$B:$B,$A83,'Source PPLAY1 2025'!$A:$A,"Amount (NIS)")</f>
        <v>0</v>
      </c>
      <c r="I83" s="9" t="n">
        <f aca="false">SUMIFS('Source PPLAY1 2026'!$D:$D,'Source PPLAY1 2026'!$B:$B,$A83,'Source PPLAY1 2026'!$A:$A,"Amount (NIS)")</f>
        <v>754.4</v>
      </c>
      <c r="J83" s="9" t="n">
        <f aca="false">I83*$J$5</f>
        <v>952.926315789474</v>
      </c>
      <c r="K83" s="9" t="n">
        <f aca="false">J83-H83</f>
        <v>952.926315789474</v>
      </c>
      <c r="L83" s="10" t="str">
        <f aca="false">IF(AND(H83=0,J83=0),0,IF(H83=0,"New",(J83-H83)/H83))</f>
        <v>New</v>
      </c>
    </row>
    <row r="84" customFormat="false" ht="15" hidden="false" customHeight="true" outlineLevel="0" collapsed="false">
      <c r="A84" s="8" t="s">
        <v>123</v>
      </c>
      <c r="B84" s="8" t="str">
        <f aca="false">IFERROR(INDEX('Source PPLAY1 2026'!$C:$C,MATCH($A84,'Source PPLAY1 2026'!$B:$B,0)),IFERROR(INDEX('Source PPLAY1 2025'!$C:$C,MATCH($A84,'Source PPLAY1 2025'!$B:$B,0)),""))</f>
        <v>רפידת נוחות-זוג</v>
      </c>
      <c r="C84" s="9" t="n">
        <f aca="false">SUMIFS('Source PPLAY1 2025'!$D:$D,'Source PPLAY1 2025'!$B:$B,$A84,'Source PPLAY1 2025'!$A:$A,"Quantity (units)")</f>
        <v>0</v>
      </c>
      <c r="D84" s="9" t="n">
        <f aca="false">SUMIFS('Source PPLAY1 2026'!$D:$D,'Source PPLAY1 2026'!$B:$B,$A84,'Source PPLAY1 2026'!$A:$A,"Quantity (units)")</f>
        <v>100</v>
      </c>
      <c r="E84" s="9" t="n">
        <f aca="false">D84*$J$5</f>
        <v>126.315789473684</v>
      </c>
      <c r="F84" s="9" t="n">
        <f aca="false">E84-C84</f>
        <v>126.315789473684</v>
      </c>
      <c r="G84" s="10" t="str">
        <f aca="false">IF(AND(C84=0,E84=0),0,IF(C84=0,"New",(E84-C84)/C84))</f>
        <v>New</v>
      </c>
      <c r="H84" s="9" t="n">
        <f aca="false">SUMIFS('Source PPLAY1 2025'!$D:$D,'Source PPLAY1 2025'!$B:$B,$A84,'Source PPLAY1 2025'!$A:$A,"Amount (NIS)")</f>
        <v>0</v>
      </c>
      <c r="I84" s="9" t="n">
        <f aca="false">SUMIFS('Source PPLAY1 2026'!$D:$D,'Source PPLAY1 2026'!$B:$B,$A84,'Source PPLAY1 2026'!$A:$A,"Amount (NIS)")</f>
        <v>752.4</v>
      </c>
      <c r="J84" s="9" t="n">
        <f aca="false">I84*$J$5</f>
        <v>950.4</v>
      </c>
      <c r="K84" s="9" t="n">
        <f aca="false">J84-H84</f>
        <v>950.4</v>
      </c>
      <c r="L84" s="10" t="str">
        <f aca="false">IF(AND(H84=0,J84=0),0,IF(H84=0,"New",(J84-H84)/H84))</f>
        <v>New</v>
      </c>
    </row>
    <row r="85" customFormat="false" ht="15" hidden="false" customHeight="true" outlineLevel="0" collapsed="false">
      <c r="A85" s="8" t="s">
        <v>124</v>
      </c>
      <c r="B85" s="8" t="str">
        <f aca="false">IFERROR(INDEX('Source PPLAY1 2026'!$C:$C,MATCH($A85,'Source PPLAY1 2026'!$B:$B,0)),IFERROR(INDEX('Source PPLAY1 2025'!$C:$C,MATCH($A85,'Source PPLAY1 2025'!$B:$B,0)),""))</f>
        <v>פיקה לברך</v>
      </c>
      <c r="C85" s="9" t="n">
        <f aca="false">SUMIFS('Source PPLAY1 2025'!$D:$D,'Source PPLAY1 2025'!$B:$B,$A85,'Source PPLAY1 2025'!$A:$A,"Quantity (units)")</f>
        <v>0</v>
      </c>
      <c r="D85" s="9" t="n">
        <f aca="false">SUMIFS('Source PPLAY1 2026'!$D:$D,'Source PPLAY1 2026'!$B:$B,$A85,'Source PPLAY1 2026'!$A:$A,"Quantity (units)")</f>
        <v>21</v>
      </c>
      <c r="E85" s="9" t="n">
        <f aca="false">D85*$J$5</f>
        <v>26.5263157894737</v>
      </c>
      <c r="F85" s="9" t="n">
        <f aca="false">E85-C85</f>
        <v>26.5263157894737</v>
      </c>
      <c r="G85" s="10" t="str">
        <f aca="false">IF(AND(C85=0,E85=0),0,IF(C85=0,"New",(E85-C85)/C85))</f>
        <v>New</v>
      </c>
      <c r="H85" s="9" t="n">
        <f aca="false">SUMIFS('Source PPLAY1 2025'!$D:$D,'Source PPLAY1 2025'!$B:$B,$A85,'Source PPLAY1 2025'!$A:$A,"Amount (NIS)")</f>
        <v>0</v>
      </c>
      <c r="I85" s="9" t="n">
        <f aca="false">SUMIFS('Source PPLAY1 2026'!$D:$D,'Source PPLAY1 2026'!$B:$B,$A85,'Source PPLAY1 2026'!$A:$A,"Amount (NIS)")</f>
        <v>749.1</v>
      </c>
      <c r="J85" s="9" t="n">
        <f aca="false">I85*$J$5</f>
        <v>946.231578947368</v>
      </c>
      <c r="K85" s="9" t="n">
        <f aca="false">J85-H85</f>
        <v>946.231578947368</v>
      </c>
      <c r="L85" s="10" t="str">
        <f aca="false">IF(AND(H85=0,J85=0),0,IF(H85=0,"New",(J85-H85)/H85))</f>
        <v>New</v>
      </c>
    </row>
    <row r="86" customFormat="false" ht="15" hidden="false" customHeight="true" outlineLevel="0" collapsed="false">
      <c r="A86" s="8" t="s">
        <v>125</v>
      </c>
      <c r="B86" s="8" t="str">
        <f aca="false">IFERROR(INDEX('Source PPLAY1 2026'!$C:$C,MATCH($A86,'Source PPLAY1 2026'!$B:$B,0)),IFERROR(INDEX('Source PPLAY1 2025'!$C:$C,MATCH($A86,'Source PPLAY1 2025'!$B:$B,0)),""))</f>
        <v>בננה לתמיכת אצבעות ז.כרית</v>
      </c>
      <c r="C86" s="9" t="n">
        <f aca="false">SUMIFS('Source PPLAY1 2025'!$D:$D,'Source PPLAY1 2025'!$B:$B,$A86,'Source PPLAY1 2025'!$A:$A,"Quantity (units)")</f>
        <v>0</v>
      </c>
      <c r="D86" s="9" t="n">
        <f aca="false">SUMIFS('Source PPLAY1 2026'!$D:$D,'Source PPLAY1 2026'!$B:$B,$A86,'Source PPLAY1 2026'!$A:$A,"Quantity (units)")</f>
        <v>41</v>
      </c>
      <c r="E86" s="9" t="n">
        <f aca="false">D86*$J$5</f>
        <v>51.7894736842105</v>
      </c>
      <c r="F86" s="9" t="n">
        <f aca="false">E86-C86</f>
        <v>51.7894736842105</v>
      </c>
      <c r="G86" s="10" t="str">
        <f aca="false">IF(AND(C86=0,E86=0),0,IF(C86=0,"New",(E86-C86)/C86))</f>
        <v>New</v>
      </c>
      <c r="H86" s="9" t="n">
        <f aca="false">SUMIFS('Source PPLAY1 2025'!$D:$D,'Source PPLAY1 2025'!$B:$B,$A86,'Source PPLAY1 2025'!$A:$A,"Amount (NIS)")</f>
        <v>0</v>
      </c>
      <c r="I86" s="9" t="n">
        <f aca="false">SUMIFS('Source PPLAY1 2026'!$D:$D,'Source PPLAY1 2026'!$B:$B,$A86,'Source PPLAY1 2026'!$A:$A,"Amount (NIS)")</f>
        <v>668</v>
      </c>
      <c r="J86" s="9" t="n">
        <f aca="false">I86*$J$5</f>
        <v>843.789473684211</v>
      </c>
      <c r="K86" s="9" t="n">
        <f aca="false">J86-H86</f>
        <v>843.789473684211</v>
      </c>
      <c r="L86" s="10" t="str">
        <f aca="false">IF(AND(H86=0,J86=0),0,IF(H86=0,"New",(J86-H86)/H86))</f>
        <v>New</v>
      </c>
    </row>
    <row r="87" customFormat="false" ht="15" hidden="false" customHeight="true" outlineLevel="0" collapsed="false">
      <c r="A87" s="8" t="s">
        <v>126</v>
      </c>
      <c r="B87" s="8" t="str">
        <f aca="false">IFERROR(INDEX('Source PPLAY1 2026'!$C:$C,MATCH($A87,'Source PPLAY1 2026'!$B:$B,0)),IFERROR(INDEX('Source PPLAY1 2025'!$C:$C,MATCH($A87,'Source PPLAY1 2025'!$B:$B,0)),""))</f>
        <v>סד לקרסול עם כריות אויר</v>
      </c>
      <c r="C87" s="9" t="n">
        <f aca="false">SUMIFS('Source PPLAY1 2025'!$D:$D,'Source PPLAY1 2025'!$B:$B,$A87,'Source PPLAY1 2025'!$A:$A,"Quantity (units)")</f>
        <v>0</v>
      </c>
      <c r="D87" s="9" t="n">
        <f aca="false">SUMIFS('Source PPLAY1 2026'!$D:$D,'Source PPLAY1 2026'!$B:$B,$A87,'Source PPLAY1 2026'!$A:$A,"Quantity (units)")</f>
        <v>7</v>
      </c>
      <c r="E87" s="9" t="n">
        <f aca="false">D87*$J$5</f>
        <v>8.84210526315789</v>
      </c>
      <c r="F87" s="9" t="n">
        <f aca="false">E87-C87</f>
        <v>8.84210526315789</v>
      </c>
      <c r="G87" s="10" t="str">
        <f aca="false">IF(AND(C87=0,E87=0),0,IF(C87=0,"New",(E87-C87)/C87))</f>
        <v>New</v>
      </c>
      <c r="H87" s="9" t="n">
        <f aca="false">SUMIFS('Source PPLAY1 2025'!$D:$D,'Source PPLAY1 2025'!$B:$B,$A87,'Source PPLAY1 2025'!$A:$A,"Amount (NIS)")</f>
        <v>0</v>
      </c>
      <c r="I87" s="9" t="n">
        <f aca="false">SUMIFS('Source PPLAY1 2026'!$D:$D,'Source PPLAY1 2026'!$B:$B,$A87,'Source PPLAY1 2026'!$A:$A,"Amount (NIS)")</f>
        <v>632.8</v>
      </c>
      <c r="J87" s="9" t="n">
        <f aca="false">I87*$J$5</f>
        <v>799.326315789474</v>
      </c>
      <c r="K87" s="9" t="n">
        <f aca="false">J87-H87</f>
        <v>799.326315789474</v>
      </c>
      <c r="L87" s="10" t="str">
        <f aca="false">IF(AND(H87=0,J87=0),0,IF(H87=0,"New",(J87-H87)/H87))</f>
        <v>New</v>
      </c>
    </row>
    <row r="88" customFormat="false" ht="15" hidden="false" customHeight="true" outlineLevel="0" collapsed="false">
      <c r="A88" s="8" t="s">
        <v>127</v>
      </c>
      <c r="B88" s="8" t="str">
        <f aca="false">IFERROR(INDEX('Source PPLAY1 2026'!$C:$C,MATCH($A88,'Source PPLAY1 2026'!$B:$B,0)),IFERROR(INDEX('Source PPLAY1 2025'!$C:$C,MATCH($A88,'Source PPLAY1 2025'!$B:$B,0)),""))</f>
        <v>מפריד הלוקס</v>
      </c>
      <c r="C88" s="9" t="n">
        <f aca="false">SUMIFS('Source PPLAY1 2025'!$D:$D,'Source PPLAY1 2025'!$B:$B,$A88,'Source PPLAY1 2025'!$A:$A,"Quantity (units)")</f>
        <v>0</v>
      </c>
      <c r="D88" s="9" t="n">
        <f aca="false">SUMIFS('Source PPLAY1 2026'!$D:$D,'Source PPLAY1 2026'!$B:$B,$A88,'Source PPLAY1 2026'!$A:$A,"Quantity (units)")</f>
        <v>16</v>
      </c>
      <c r="E88" s="9" t="n">
        <f aca="false">D88*$J$5</f>
        <v>20.2105263157895</v>
      </c>
      <c r="F88" s="9" t="n">
        <f aca="false">E88-C88</f>
        <v>20.2105263157895</v>
      </c>
      <c r="G88" s="10" t="str">
        <f aca="false">IF(AND(C88=0,E88=0),0,IF(C88=0,"New",(E88-C88)/C88))</f>
        <v>New</v>
      </c>
      <c r="H88" s="9" t="n">
        <f aca="false">SUMIFS('Source PPLAY1 2025'!$D:$D,'Source PPLAY1 2025'!$B:$B,$A88,'Source PPLAY1 2025'!$A:$A,"Amount (NIS)")</f>
        <v>0</v>
      </c>
      <c r="I88" s="9" t="n">
        <f aca="false">SUMIFS('Source PPLAY1 2026'!$D:$D,'Source PPLAY1 2026'!$B:$B,$A88,'Source PPLAY1 2026'!$A:$A,"Amount (NIS)")</f>
        <v>619.2</v>
      </c>
      <c r="J88" s="9" t="n">
        <f aca="false">I88*$J$5</f>
        <v>782.147368421053</v>
      </c>
      <c r="K88" s="9" t="n">
        <f aca="false">J88-H88</f>
        <v>782.147368421053</v>
      </c>
      <c r="L88" s="10" t="str">
        <f aca="false">IF(AND(H88=0,J88=0),0,IF(H88=0,"New",(J88-H88)/H88))</f>
        <v>New</v>
      </c>
    </row>
    <row r="89" customFormat="false" ht="15" hidden="false" customHeight="true" outlineLevel="0" collapsed="false">
      <c r="A89" s="8" t="s">
        <v>128</v>
      </c>
      <c r="B89" s="8" t="str">
        <f aca="false">IFERROR(INDEX('Source PPLAY1 2026'!$C:$C,MATCH($A89,'Source PPLAY1 2026'!$B:$B,0)),IFERROR(INDEX('Source PPLAY1 2025'!$C:$C,MATCH($A89,'Source PPLAY1 2025'!$B:$B,0)),""))</f>
        <v>0 כרית חום וקור</v>
      </c>
      <c r="C89" s="9" t="n">
        <f aca="false">SUMIFS('Source PPLAY1 2025'!$D:$D,'Source PPLAY1 2025'!$B:$B,$A89,'Source PPLAY1 2025'!$A:$A,"Quantity (units)")</f>
        <v>0</v>
      </c>
      <c r="D89" s="9" t="n">
        <f aca="false">SUMIFS('Source PPLAY1 2026'!$D:$D,'Source PPLAY1 2026'!$B:$B,$A89,'Source PPLAY1 2026'!$A:$A,"Quantity (units)")</f>
        <v>18</v>
      </c>
      <c r="E89" s="9" t="n">
        <f aca="false">D89*$J$5</f>
        <v>22.7368421052632</v>
      </c>
      <c r="F89" s="9" t="n">
        <f aca="false">E89-C89</f>
        <v>22.7368421052632</v>
      </c>
      <c r="G89" s="10" t="str">
        <f aca="false">IF(AND(C89=0,E89=0),0,IF(C89=0,"New",(E89-C89)/C89))</f>
        <v>New</v>
      </c>
      <c r="H89" s="9" t="n">
        <f aca="false">SUMIFS('Source PPLAY1 2025'!$D:$D,'Source PPLAY1 2025'!$B:$B,$A89,'Source PPLAY1 2025'!$A:$A,"Amount (NIS)")</f>
        <v>0</v>
      </c>
      <c r="I89" s="9" t="n">
        <f aca="false">SUMIFS('Source PPLAY1 2026'!$D:$D,'Source PPLAY1 2026'!$B:$B,$A89,'Source PPLAY1 2026'!$A:$A,"Amount (NIS)")</f>
        <v>583.7</v>
      </c>
      <c r="J89" s="9" t="n">
        <f aca="false">I89*$J$5</f>
        <v>737.305263157895</v>
      </c>
      <c r="K89" s="9" t="n">
        <f aca="false">J89-H89</f>
        <v>737.305263157895</v>
      </c>
      <c r="L89" s="10" t="str">
        <f aca="false">IF(AND(H89=0,J89=0),0,IF(H89=0,"New",(J89-H89)/H89))</f>
        <v>New</v>
      </c>
    </row>
    <row r="90" customFormat="false" ht="15" hidden="false" customHeight="true" outlineLevel="0" collapsed="false">
      <c r="A90" s="8" t="s">
        <v>129</v>
      </c>
      <c r="B90" s="8" t="str">
        <f aca="false">IFERROR(INDEX('Source PPLAY1 2026'!$C:$C,MATCH($A90,'Source PPLAY1 2026'!$B:$B,0)),IFERROR(INDEX('Source PPLAY1 2025'!$C:$C,MATCH($A90,'Source PPLAY1 2025'!$B:$B,0)),""))</f>
        <v>גרב.כסף לסכרתים שחור35-38</v>
      </c>
      <c r="C90" s="9" t="n">
        <f aca="false">SUMIFS('Source PPLAY1 2025'!$D:$D,'Source PPLAY1 2025'!$B:$B,$A90,'Source PPLAY1 2025'!$A:$A,"Quantity (units)")</f>
        <v>0</v>
      </c>
      <c r="D90" s="9" t="n">
        <f aca="false">SUMIFS('Source PPLAY1 2026'!$D:$D,'Source PPLAY1 2026'!$B:$B,$A90,'Source PPLAY1 2026'!$A:$A,"Quantity (units)")</f>
        <v>26</v>
      </c>
      <c r="E90" s="9" t="n">
        <f aca="false">D90*$J$5</f>
        <v>32.8421052631579</v>
      </c>
      <c r="F90" s="9" t="n">
        <f aca="false">E90-C90</f>
        <v>32.8421052631579</v>
      </c>
      <c r="G90" s="10" t="str">
        <f aca="false">IF(AND(C90=0,E90=0),0,IF(C90=0,"New",(E90-C90)/C90))</f>
        <v>New</v>
      </c>
      <c r="H90" s="9" t="n">
        <f aca="false">SUMIFS('Source PPLAY1 2025'!$D:$D,'Source PPLAY1 2025'!$B:$B,$A90,'Source PPLAY1 2025'!$A:$A,"Amount (NIS)")</f>
        <v>0</v>
      </c>
      <c r="I90" s="9" t="n">
        <f aca="false">SUMIFS('Source PPLAY1 2026'!$D:$D,'Source PPLAY1 2026'!$B:$B,$A90,'Source PPLAY1 2026'!$A:$A,"Amount (NIS)")</f>
        <v>578.2</v>
      </c>
      <c r="J90" s="9" t="n">
        <f aca="false">I90*$J$5</f>
        <v>730.357894736842</v>
      </c>
      <c r="K90" s="9" t="n">
        <f aca="false">J90-H90</f>
        <v>730.357894736842</v>
      </c>
      <c r="L90" s="10" t="str">
        <f aca="false">IF(AND(H90=0,J90=0),0,IF(H90=0,"New",(J90-H90)/H90))</f>
        <v>New</v>
      </c>
    </row>
    <row r="91" customFormat="false" ht="15" hidden="false" customHeight="true" outlineLevel="0" collapsed="false">
      <c r="A91" s="8" t="s">
        <v>130</v>
      </c>
      <c r="B91" s="8" t="str">
        <f aca="false">IFERROR(INDEX('Source PPLAY1 2026'!$C:$C,MATCH($A91,'Source PPLAY1 2026'!$B:$B,0)),IFERROR(INDEX('Source PPLAY1 2025'!$C:$C,MATCH($A91,'Source PPLAY1 2025'!$B:$B,0)),""))</f>
        <v>S ימין CTS כפפות</v>
      </c>
      <c r="C91" s="9" t="n">
        <f aca="false">SUMIFS('Source PPLAY1 2025'!$D:$D,'Source PPLAY1 2025'!$B:$B,$A91,'Source PPLAY1 2025'!$A:$A,"Quantity (units)")</f>
        <v>0</v>
      </c>
      <c r="D91" s="9" t="n">
        <f aca="false">SUMIFS('Source PPLAY1 2026'!$D:$D,'Source PPLAY1 2026'!$B:$B,$A91,'Source PPLAY1 2026'!$A:$A,"Quantity (units)")</f>
        <v>8</v>
      </c>
      <c r="E91" s="9" t="n">
        <f aca="false">D91*$J$5</f>
        <v>10.1052631578947</v>
      </c>
      <c r="F91" s="9" t="n">
        <f aca="false">E91-C91</f>
        <v>10.1052631578947</v>
      </c>
      <c r="G91" s="10" t="str">
        <f aca="false">IF(AND(C91=0,E91=0),0,IF(C91=0,"New",(E91-C91)/C91))</f>
        <v>New</v>
      </c>
      <c r="H91" s="9" t="n">
        <f aca="false">SUMIFS('Source PPLAY1 2025'!$D:$D,'Source PPLAY1 2025'!$B:$B,$A91,'Source PPLAY1 2025'!$A:$A,"Amount (NIS)")</f>
        <v>0</v>
      </c>
      <c r="I91" s="9" t="n">
        <f aca="false">SUMIFS('Source PPLAY1 2026'!$D:$D,'Source PPLAY1 2026'!$B:$B,$A91,'Source PPLAY1 2026'!$A:$A,"Amount (NIS)")</f>
        <v>568</v>
      </c>
      <c r="J91" s="9" t="n">
        <f aca="false">I91*$J$5</f>
        <v>717.473684210526</v>
      </c>
      <c r="K91" s="9" t="n">
        <f aca="false">J91-H91</f>
        <v>717.473684210526</v>
      </c>
      <c r="L91" s="10" t="str">
        <f aca="false">IF(AND(H91=0,J91=0),0,IF(H91=0,"New",(J91-H91)/H91))</f>
        <v>New</v>
      </c>
    </row>
    <row r="92" customFormat="false" ht="15" hidden="false" customHeight="true" outlineLevel="0" collapsed="false">
      <c r="A92" s="8" t="s">
        <v>131</v>
      </c>
      <c r="B92" s="8" t="str">
        <f aca="false">IFERROR(INDEX('Source PPLAY1 2026'!$C:$C,MATCH($A92,'Source PPLAY1 2026'!$B:$B,0)),IFERROR(INDEX('Source PPLAY1 2025'!$C:$C,MATCH($A92,'Source PPLAY1 2025'!$B:$B,0)),""))</f>
        <v>9 מ""ס להתאמהX5 מדבקה גדולה</v>
      </c>
      <c r="C92" s="9" t="n">
        <f aca="false">SUMIFS('Source PPLAY1 2025'!$D:$D,'Source PPLAY1 2025'!$B:$B,$A92,'Source PPLAY1 2025'!$A:$A,"Quantity (units)")</f>
        <v>0</v>
      </c>
      <c r="D92" s="9" t="n">
        <f aca="false">SUMIFS('Source PPLAY1 2026'!$D:$D,'Source PPLAY1 2026'!$B:$B,$A92,'Source PPLAY1 2026'!$A:$A,"Quantity (units)")</f>
        <v>43</v>
      </c>
      <c r="E92" s="9" t="n">
        <f aca="false">D92*$J$5</f>
        <v>54.3157894736842</v>
      </c>
      <c r="F92" s="9" t="n">
        <f aca="false">E92-C92</f>
        <v>54.3157894736842</v>
      </c>
      <c r="G92" s="10" t="str">
        <f aca="false">IF(AND(C92=0,E92=0),0,IF(C92=0,"New",(E92-C92)/C92))</f>
        <v>New</v>
      </c>
      <c r="H92" s="9" t="n">
        <f aca="false">SUMIFS('Source PPLAY1 2025'!$D:$D,'Source PPLAY1 2025'!$B:$B,$A92,'Source PPLAY1 2025'!$A:$A,"Amount (NIS)")</f>
        <v>0</v>
      </c>
      <c r="I92" s="9" t="n">
        <f aca="false">SUMIFS('Source PPLAY1 2026'!$D:$D,'Source PPLAY1 2026'!$B:$B,$A92,'Source PPLAY1 2026'!$A:$A,"Amount (NIS)")</f>
        <v>556.9</v>
      </c>
      <c r="J92" s="9" t="n">
        <f aca="false">I92*$J$5</f>
        <v>703.452631578947</v>
      </c>
      <c r="K92" s="9" t="n">
        <f aca="false">J92-H92</f>
        <v>703.452631578947</v>
      </c>
      <c r="L92" s="10" t="str">
        <f aca="false">IF(AND(H92=0,J92=0),0,IF(H92=0,"New",(J92-H92)/H92))</f>
        <v>New</v>
      </c>
    </row>
    <row r="93" customFormat="false" ht="15" hidden="false" customHeight="true" outlineLevel="0" collapsed="false">
      <c r="A93" s="8" t="s">
        <v>132</v>
      </c>
      <c r="B93" s="8" t="str">
        <f aca="false">IFERROR(INDEX('Source PPLAY1 2026'!$C:$C,MATCH($A93,'Source PPLAY1 2026'!$B:$B,0)),IFERROR(INDEX('Source PPLAY1 2025'!$C:$C,MATCH($A93,'Source PPLAY1 2025'!$B:$B,0)),""))</f>
        <v>0 חגורה למנותחי בית חזה</v>
      </c>
      <c r="C93" s="9" t="n">
        <f aca="false">SUMIFS('Source PPLAY1 2025'!$D:$D,'Source PPLAY1 2025'!$B:$B,$A93,'Source PPLAY1 2025'!$A:$A,"Quantity (units)")</f>
        <v>0</v>
      </c>
      <c r="D93" s="9" t="n">
        <f aca="false">SUMIFS('Source PPLAY1 2026'!$D:$D,'Source PPLAY1 2026'!$B:$B,$A93,'Source PPLAY1 2026'!$A:$A,"Quantity (units)")</f>
        <v>3</v>
      </c>
      <c r="E93" s="9" t="n">
        <f aca="false">D93*$J$5</f>
        <v>3.78947368421053</v>
      </c>
      <c r="F93" s="9" t="n">
        <f aca="false">E93-C93</f>
        <v>3.78947368421053</v>
      </c>
      <c r="G93" s="10" t="str">
        <f aca="false">IF(AND(C93=0,E93=0),0,IF(C93=0,"New",(E93-C93)/C93))</f>
        <v>New</v>
      </c>
      <c r="H93" s="9" t="n">
        <f aca="false">SUMIFS('Source PPLAY1 2025'!$D:$D,'Source PPLAY1 2025'!$B:$B,$A93,'Source PPLAY1 2025'!$A:$A,"Amount (NIS)")</f>
        <v>0</v>
      </c>
      <c r="I93" s="9" t="n">
        <f aca="false">SUMIFS('Source PPLAY1 2026'!$D:$D,'Source PPLAY1 2026'!$B:$B,$A93,'Source PPLAY1 2026'!$A:$A,"Amount (NIS)")</f>
        <v>480</v>
      </c>
      <c r="J93" s="9" t="n">
        <f aca="false">I93*$J$5</f>
        <v>606.315789473684</v>
      </c>
      <c r="K93" s="9" t="n">
        <f aca="false">J93-H93</f>
        <v>606.315789473684</v>
      </c>
      <c r="L93" s="10" t="str">
        <f aca="false">IF(AND(H93=0,J93=0),0,IF(H93=0,"New",(J93-H93)/H93))</f>
        <v>New</v>
      </c>
    </row>
    <row r="94" customFormat="false" ht="15" hidden="false" customHeight="true" outlineLevel="0" collapsed="false">
      <c r="A94" s="8" t="s">
        <v>133</v>
      </c>
      <c r="B94" s="8" t="str">
        <f aca="false">IFERROR(INDEX('Source PPLAY1 2026'!$C:$C,MATCH($A94,'Source PPLAY1 2026'!$B:$B,0)),IFERROR(INDEX('Source PPLAY1 2025'!$C:$C,MATCH($A94,'Source PPLAY1 2025'!$B:$B,0)),""))</f>
        <v>גרב.כסף לסכרתים שחור35-38</v>
      </c>
      <c r="C94" s="9" t="n">
        <f aca="false">SUMIFS('Source PPLAY1 2025'!$D:$D,'Source PPLAY1 2025'!$B:$B,$A94,'Source PPLAY1 2025'!$A:$A,"Quantity (units)")</f>
        <v>0</v>
      </c>
      <c r="D94" s="9" t="n">
        <f aca="false">SUMIFS('Source PPLAY1 2026'!$D:$D,'Source PPLAY1 2026'!$B:$B,$A94,'Source PPLAY1 2026'!$A:$A,"Quantity (units)")</f>
        <v>25</v>
      </c>
      <c r="E94" s="9" t="n">
        <f aca="false">D94*$J$5</f>
        <v>31.5789473684211</v>
      </c>
      <c r="F94" s="9" t="n">
        <f aca="false">E94-C94</f>
        <v>31.5789473684211</v>
      </c>
      <c r="G94" s="10" t="str">
        <f aca="false">IF(AND(C94=0,E94=0),0,IF(C94=0,"New",(E94-C94)/C94))</f>
        <v>New</v>
      </c>
      <c r="H94" s="9" t="n">
        <f aca="false">SUMIFS('Source PPLAY1 2025'!$D:$D,'Source PPLAY1 2025'!$B:$B,$A94,'Source PPLAY1 2025'!$A:$A,"Amount (NIS)")</f>
        <v>0</v>
      </c>
      <c r="I94" s="9" t="n">
        <f aca="false">SUMIFS('Source PPLAY1 2026'!$D:$D,'Source PPLAY1 2026'!$B:$B,$A94,'Source PPLAY1 2026'!$A:$A,"Amount (NIS)")</f>
        <v>460</v>
      </c>
      <c r="J94" s="9" t="n">
        <f aca="false">I94*$J$5</f>
        <v>581.052631578947</v>
      </c>
      <c r="K94" s="9" t="n">
        <f aca="false">J94-H94</f>
        <v>581.052631578947</v>
      </c>
      <c r="L94" s="10" t="str">
        <f aca="false">IF(AND(H94=0,J94=0),0,IF(H94=0,"New",(J94-H94)/H94))</f>
        <v>New</v>
      </c>
    </row>
    <row r="95" customFormat="false" ht="15" hidden="false" customHeight="true" outlineLevel="0" collapsed="false">
      <c r="A95" s="8" t="s">
        <v>134</v>
      </c>
      <c r="B95" s="8" t="str">
        <f aca="false">IFERROR(INDEX('Source PPLAY1 2026'!$C:$C,MATCH($A95,'Source PPLAY1 2026'!$B:$B,0)),IFERROR(INDEX('Source PPLAY1 2025'!$C:$C,MATCH($A95,'Source PPLAY1 2025'!$B:$B,0)),""))</f>
        <v>תרסיס דאודורנט לכף הרגל</v>
      </c>
      <c r="C95" s="9" t="n">
        <f aca="false">SUMIFS('Source PPLAY1 2025'!$D:$D,'Source PPLAY1 2025'!$B:$B,$A95,'Source PPLAY1 2025'!$A:$A,"Quantity (units)")</f>
        <v>0</v>
      </c>
      <c r="D95" s="9" t="n">
        <f aca="false">SUMIFS('Source PPLAY1 2026'!$D:$D,'Source PPLAY1 2026'!$B:$B,$A95,'Source PPLAY1 2026'!$A:$A,"Quantity (units)")</f>
        <v>29</v>
      </c>
      <c r="E95" s="9" t="n">
        <f aca="false">D95*$J$5</f>
        <v>36.6315789473684</v>
      </c>
      <c r="F95" s="9" t="n">
        <f aca="false">E95-C95</f>
        <v>36.6315789473684</v>
      </c>
      <c r="G95" s="10" t="str">
        <f aca="false">IF(AND(C95=0,E95=0),0,IF(C95=0,"New",(E95-C95)/C95))</f>
        <v>New</v>
      </c>
      <c r="H95" s="9" t="n">
        <f aca="false">SUMIFS('Source PPLAY1 2025'!$D:$D,'Source PPLAY1 2025'!$B:$B,$A95,'Source PPLAY1 2025'!$A:$A,"Amount (NIS)")</f>
        <v>0</v>
      </c>
      <c r="I95" s="9" t="n">
        <f aca="false">SUMIFS('Source PPLAY1 2026'!$D:$D,'Source PPLAY1 2026'!$B:$B,$A95,'Source PPLAY1 2026'!$A:$A,"Amount (NIS)")</f>
        <v>429.2</v>
      </c>
      <c r="J95" s="9" t="n">
        <f aca="false">I95*$J$5</f>
        <v>542.147368421053</v>
      </c>
      <c r="K95" s="9" t="n">
        <f aca="false">J95-H95</f>
        <v>542.147368421053</v>
      </c>
      <c r="L95" s="10" t="str">
        <f aca="false">IF(AND(H95=0,J95=0),0,IF(H95=0,"New",(J95-H95)/H95))</f>
        <v>New</v>
      </c>
    </row>
    <row r="96" customFormat="false" ht="15" hidden="false" customHeight="true" outlineLevel="0" collapsed="false">
      <c r="A96" s="8" t="s">
        <v>135</v>
      </c>
      <c r="B96" s="8" t="str">
        <f aca="false">IFERROR(INDEX('Source PPLAY1 2026'!$C:$C,MATCH($A96,'Source PPLAY1 2026'!$B:$B,0)),IFERROR(INDEX('Source PPLAY1 2025'!$C:$C,MATCH($A96,'Source PPLAY1 2025'!$B:$B,0)),""))</f>
        <v>לחץ א.הבוניון</v>
      </c>
      <c r="C96" s="9" t="n">
        <f aca="false">SUMIFS('Source PPLAY1 2025'!$D:$D,'Source PPLAY1 2025'!$B:$B,$A96,'Source PPLAY1 2025'!$A:$A,"Quantity (units)")</f>
        <v>0</v>
      </c>
      <c r="D96" s="9" t="n">
        <f aca="false">SUMIFS('Source PPLAY1 2026'!$D:$D,'Source PPLAY1 2026'!$B:$B,$A96,'Source PPLAY1 2026'!$A:$A,"Quantity (units)")</f>
        <v>31</v>
      </c>
      <c r="E96" s="9" t="n">
        <f aca="false">D96*$J$5</f>
        <v>39.1578947368421</v>
      </c>
      <c r="F96" s="9" t="n">
        <f aca="false">E96-C96</f>
        <v>39.1578947368421</v>
      </c>
      <c r="G96" s="10" t="str">
        <f aca="false">IF(AND(C96=0,E96=0),0,IF(C96=0,"New",(E96-C96)/C96))</f>
        <v>New</v>
      </c>
      <c r="H96" s="9" t="n">
        <f aca="false">SUMIFS('Source PPLAY1 2025'!$D:$D,'Source PPLAY1 2025'!$B:$B,$A96,'Source PPLAY1 2025'!$A:$A,"Amount (NIS)")</f>
        <v>0</v>
      </c>
      <c r="I96" s="9" t="n">
        <f aca="false">SUMIFS('Source PPLAY1 2026'!$D:$D,'Source PPLAY1 2026'!$B:$B,$A96,'Source PPLAY1 2026'!$A:$A,"Amount (NIS)")</f>
        <v>404.8</v>
      </c>
      <c r="J96" s="9" t="n">
        <f aca="false">I96*$J$5</f>
        <v>511.326315789474</v>
      </c>
      <c r="K96" s="9" t="n">
        <f aca="false">J96-H96</f>
        <v>511.326315789474</v>
      </c>
      <c r="L96" s="10" t="str">
        <f aca="false">IF(AND(H96=0,J96=0),0,IF(H96=0,"New",(J96-H96)/H96))</f>
        <v>New</v>
      </c>
    </row>
    <row r="97" customFormat="false" ht="15" hidden="false" customHeight="true" outlineLevel="0" collapsed="false">
      <c r="A97" s="8" t="s">
        <v>136</v>
      </c>
      <c r="B97" s="8" t="str">
        <f aca="false">IFERROR(INDEX('Source PPLAY1 2026'!$C:$C,MATCH($A97,'Source PPLAY1 2026'!$B:$B,0)),IFERROR(INDEX('Source PPLAY1 2025'!$C:$C,MATCH($A97,'Source PPLAY1 2025'!$B:$B,0)),""))</f>
        <v>רפידת בולמת זעזועים -זוג</v>
      </c>
      <c r="C97" s="9" t="n">
        <f aca="false">SUMIFS('Source PPLAY1 2025'!$D:$D,'Source PPLAY1 2025'!$B:$B,$A97,'Source PPLAY1 2025'!$A:$A,"Quantity (units)")</f>
        <v>0</v>
      </c>
      <c r="D97" s="9" t="n">
        <f aca="false">SUMIFS('Source PPLAY1 2026'!$D:$D,'Source PPLAY1 2026'!$B:$B,$A97,'Source PPLAY1 2026'!$A:$A,"Quantity (units)")</f>
        <v>44</v>
      </c>
      <c r="E97" s="9" t="n">
        <f aca="false">D97*$J$5</f>
        <v>55.5789473684211</v>
      </c>
      <c r="F97" s="9" t="n">
        <f aca="false">E97-C97</f>
        <v>55.5789473684211</v>
      </c>
      <c r="G97" s="10" t="str">
        <f aca="false">IF(AND(C97=0,E97=0),0,IF(C97=0,"New",(E97-C97)/C97))</f>
        <v>New</v>
      </c>
      <c r="H97" s="9" t="n">
        <f aca="false">SUMIFS('Source PPLAY1 2025'!$D:$D,'Source PPLAY1 2025'!$B:$B,$A97,'Source PPLAY1 2025'!$A:$A,"Amount (NIS)")</f>
        <v>0</v>
      </c>
      <c r="I97" s="9" t="n">
        <f aca="false">SUMIFS('Source PPLAY1 2026'!$D:$D,'Source PPLAY1 2026'!$B:$B,$A97,'Source PPLAY1 2026'!$A:$A,"Amount (NIS)")</f>
        <v>400.2</v>
      </c>
      <c r="J97" s="9" t="n">
        <f aca="false">I97*$J$5</f>
        <v>505.515789473684</v>
      </c>
      <c r="K97" s="9" t="n">
        <f aca="false">J97-H97</f>
        <v>505.515789473684</v>
      </c>
      <c r="L97" s="10" t="str">
        <f aca="false">IF(AND(H97=0,J97=0),0,IF(H97=0,"New",(J97-H97)/H97))</f>
        <v>New</v>
      </c>
    </row>
    <row r="98" customFormat="false" ht="15" hidden="false" customHeight="true" outlineLevel="0" collapsed="false">
      <c r="A98" s="8" t="s">
        <v>137</v>
      </c>
      <c r="B98" s="8" t="str">
        <f aca="false">IFERROR(INDEX('Source PPLAY1 2026'!$C:$C,MATCH($A98,'Source PPLAY1 2026'!$B:$B,0)),IFERROR(INDEX('Source PPLAY1 2025'!$C:$C,MATCH($A98,'Source PPLAY1 2025'!$B:$B,0)),""))</f>
        <v>S מגן ירך</v>
      </c>
      <c r="C98" s="9" t="n">
        <f aca="false">SUMIFS('Source PPLAY1 2025'!$D:$D,'Source PPLAY1 2025'!$B:$B,$A98,'Source PPLAY1 2025'!$A:$A,"Quantity (units)")</f>
        <v>0</v>
      </c>
      <c r="D98" s="9" t="n">
        <f aca="false">SUMIFS('Source PPLAY1 2026'!$D:$D,'Source PPLAY1 2026'!$B:$B,$A98,'Source PPLAY1 2026'!$A:$A,"Quantity (units)")</f>
        <v>21</v>
      </c>
      <c r="E98" s="9" t="n">
        <f aca="false">D98*$J$5</f>
        <v>26.5263157894737</v>
      </c>
      <c r="F98" s="9" t="n">
        <f aca="false">E98-C98</f>
        <v>26.5263157894737</v>
      </c>
      <c r="G98" s="10" t="str">
        <f aca="false">IF(AND(C98=0,E98=0),0,IF(C98=0,"New",(E98-C98)/C98))</f>
        <v>New</v>
      </c>
      <c r="H98" s="9" t="n">
        <f aca="false">SUMIFS('Source PPLAY1 2025'!$D:$D,'Source PPLAY1 2025'!$B:$B,$A98,'Source PPLAY1 2025'!$A:$A,"Amount (NIS)")</f>
        <v>0</v>
      </c>
      <c r="I98" s="9" t="n">
        <f aca="false">SUMIFS('Source PPLAY1 2026'!$D:$D,'Source PPLAY1 2026'!$B:$B,$A98,'Source PPLAY1 2026'!$A:$A,"Amount (NIS)")</f>
        <v>388.6</v>
      </c>
      <c r="J98" s="9" t="n">
        <f aca="false">I98*$J$5</f>
        <v>490.863157894737</v>
      </c>
      <c r="K98" s="9" t="n">
        <f aca="false">J98-H98</f>
        <v>490.863157894737</v>
      </c>
      <c r="L98" s="10" t="str">
        <f aca="false">IF(AND(H98=0,J98=0),0,IF(H98=0,"New",(J98-H98)/H98))</f>
        <v>New</v>
      </c>
    </row>
    <row r="99" customFormat="false" ht="15" hidden="false" customHeight="true" outlineLevel="0" collapsed="false">
      <c r="A99" s="8" t="s">
        <v>138</v>
      </c>
      <c r="B99" s="8" t="str">
        <f aca="false">IFERROR(INDEX('Source PPLAY1 2026'!$C:$C,MATCH($A99,'Source PPLAY1 2026'!$B:$B,0)),IFERROR(INDEX('Source PPLAY1 2025'!$C:$C,MATCH($A99,'Source PPLAY1 2025'!$B:$B,0)),""))</f>
        <v>חגורת גב אפורה</v>
      </c>
      <c r="C99" s="9" t="n">
        <f aca="false">SUMIFS('Source PPLAY1 2025'!$D:$D,'Source PPLAY1 2025'!$B:$B,$A99,'Source PPLAY1 2025'!$A:$A,"Quantity (units)")</f>
        <v>0</v>
      </c>
      <c r="D99" s="9" t="n">
        <f aca="false">SUMIFS('Source PPLAY1 2026'!$D:$D,'Source PPLAY1 2026'!$B:$B,$A99,'Source PPLAY1 2026'!$A:$A,"Quantity (units)")</f>
        <v>5</v>
      </c>
      <c r="E99" s="9" t="n">
        <f aca="false">D99*$J$5</f>
        <v>6.31578947368421</v>
      </c>
      <c r="F99" s="9" t="n">
        <f aca="false">E99-C99</f>
        <v>6.31578947368421</v>
      </c>
      <c r="G99" s="10" t="str">
        <f aca="false">IF(AND(C99=0,E99=0),0,IF(C99=0,"New",(E99-C99)/C99))</f>
        <v>New</v>
      </c>
      <c r="H99" s="9" t="n">
        <f aca="false">SUMIFS('Source PPLAY1 2025'!$D:$D,'Source PPLAY1 2025'!$B:$B,$A99,'Source PPLAY1 2025'!$A:$A,"Amount (NIS)")</f>
        <v>0</v>
      </c>
      <c r="I99" s="9" t="n">
        <f aca="false">SUMIFS('Source PPLAY1 2026'!$D:$D,'Source PPLAY1 2026'!$B:$B,$A99,'Source PPLAY1 2026'!$A:$A,"Amount (NIS)")</f>
        <v>325</v>
      </c>
      <c r="J99" s="9" t="n">
        <f aca="false">I99*$J$5</f>
        <v>410.526315789474</v>
      </c>
      <c r="K99" s="9" t="n">
        <f aca="false">J99-H99</f>
        <v>410.526315789474</v>
      </c>
      <c r="L99" s="10" t="str">
        <f aca="false">IF(AND(H99=0,J99=0),0,IF(H99=0,"New",(J99-H99)/H99))</f>
        <v>New</v>
      </c>
    </row>
    <row r="100" customFormat="false" ht="15" hidden="false" customHeight="true" outlineLevel="0" collapsed="false">
      <c r="A100" s="8" t="s">
        <v>139</v>
      </c>
      <c r="B100" s="8" t="str">
        <f aca="false">IFERROR(INDEX('Source PPLAY1 2026'!$C:$C,MATCH($A100,'Source PPLAY1 2026'!$B:$B,0)),IFERROR(INDEX('Source PPLAY1 2025'!$C:$C,MATCH($A100,'Source PPLAY1 2025'!$B:$B,0)),""))</f>
        <v>Sמ.ברך מוצלב+ספירלות בצדדים</v>
      </c>
      <c r="C100" s="9" t="n">
        <f aca="false">SUMIFS('Source PPLAY1 2025'!$D:$D,'Source PPLAY1 2025'!$B:$B,$A100,'Source PPLAY1 2025'!$A:$A,"Quantity (units)")</f>
        <v>0</v>
      </c>
      <c r="D100" s="9" t="n">
        <f aca="false">SUMIFS('Source PPLAY1 2026'!$D:$D,'Source PPLAY1 2026'!$B:$B,$A100,'Source PPLAY1 2026'!$A:$A,"Quantity (units)")</f>
        <v>4</v>
      </c>
      <c r="E100" s="9" t="n">
        <f aca="false">D100*$J$5</f>
        <v>5.05263157894737</v>
      </c>
      <c r="F100" s="9" t="n">
        <f aca="false">E100-C100</f>
        <v>5.05263157894737</v>
      </c>
      <c r="G100" s="10" t="str">
        <f aca="false">IF(AND(C100=0,E100=0),0,IF(C100=0,"New",(E100-C100)/C100))</f>
        <v>New</v>
      </c>
      <c r="H100" s="9" t="n">
        <f aca="false">SUMIFS('Source PPLAY1 2025'!$D:$D,'Source PPLAY1 2025'!$B:$B,$A100,'Source PPLAY1 2025'!$A:$A,"Amount (NIS)")</f>
        <v>0</v>
      </c>
      <c r="I100" s="9" t="n">
        <f aca="false">SUMIFS('Source PPLAY1 2026'!$D:$D,'Source PPLAY1 2026'!$B:$B,$A100,'Source PPLAY1 2026'!$A:$A,"Amount (NIS)")</f>
        <v>309</v>
      </c>
      <c r="J100" s="9" t="n">
        <f aca="false">I100*$J$5</f>
        <v>390.315789473684</v>
      </c>
      <c r="K100" s="9" t="n">
        <f aca="false">J100-H100</f>
        <v>390.315789473684</v>
      </c>
      <c r="L100" s="10" t="str">
        <f aca="false">IF(AND(H100=0,J100=0),0,IF(H100=0,"New",(J100-H100)/H100))</f>
        <v>New</v>
      </c>
    </row>
    <row r="101" customFormat="false" ht="15" hidden="false" customHeight="true" outlineLevel="0" collapsed="false">
      <c r="A101" s="8" t="s">
        <v>140</v>
      </c>
      <c r="B101" s="8" t="str">
        <f aca="false">IFERROR(INDEX('Source PPLAY1 2026'!$C:$C,MATCH($A101,'Source PPLAY1 2026'!$B:$B,0)),IFERROR(INDEX('Source PPLAY1 2025'!$C:$C,MATCH($A101,'Source PPLAY1 2025'!$B:$B,0)),""))</f>
        <v>מדרס מטטרזלי לנעלי עקב</v>
      </c>
      <c r="C101" s="9" t="n">
        <f aca="false">SUMIFS('Source PPLAY1 2025'!$D:$D,'Source PPLAY1 2025'!$B:$B,$A101,'Source PPLAY1 2025'!$A:$A,"Quantity (units)")</f>
        <v>0</v>
      </c>
      <c r="D101" s="9" t="n">
        <f aca="false">SUMIFS('Source PPLAY1 2026'!$D:$D,'Source PPLAY1 2026'!$B:$B,$A101,'Source PPLAY1 2026'!$A:$A,"Quantity (units)")</f>
        <v>17</v>
      </c>
      <c r="E101" s="9" t="n">
        <f aca="false">D101*$J$5</f>
        <v>21.4736842105263</v>
      </c>
      <c r="F101" s="9" t="n">
        <f aca="false">E101-C101</f>
        <v>21.4736842105263</v>
      </c>
      <c r="G101" s="10" t="str">
        <f aca="false">IF(AND(C101=0,E101=0),0,IF(C101=0,"New",(E101-C101)/C101))</f>
        <v>New</v>
      </c>
      <c r="H101" s="9" t="n">
        <f aca="false">SUMIFS('Source PPLAY1 2025'!$D:$D,'Source PPLAY1 2025'!$B:$B,$A101,'Source PPLAY1 2025'!$A:$A,"Amount (NIS)")</f>
        <v>0</v>
      </c>
      <c r="I101" s="9" t="n">
        <f aca="false">SUMIFS('Source PPLAY1 2026'!$D:$D,'Source PPLAY1 2026'!$B:$B,$A101,'Source PPLAY1 2026'!$A:$A,"Amount (NIS)")</f>
        <v>275.4</v>
      </c>
      <c r="J101" s="9" t="n">
        <f aca="false">I101*$J$5</f>
        <v>347.873684210526</v>
      </c>
      <c r="K101" s="9" t="n">
        <f aca="false">J101-H101</f>
        <v>347.873684210526</v>
      </c>
      <c r="L101" s="10" t="str">
        <f aca="false">IF(AND(H101=0,J101=0),0,IF(H101=0,"New",(J101-H101)/H101))</f>
        <v>New</v>
      </c>
    </row>
    <row r="102" customFormat="false" ht="15" hidden="false" customHeight="true" outlineLevel="0" collapsed="false">
      <c r="A102" s="8" t="s">
        <v>141</v>
      </c>
      <c r="B102" s="8" t="str">
        <f aca="false">IFERROR(INDEX('Source PPLAY1 2026'!$C:$C,MATCH($A102,'Source PPLAY1 2026'!$B:$B,0)),IFERROR(INDEX('Source PPLAY1 2025'!$C:$C,MATCH($A102,'Source PPLAY1 2025'!$B:$B,0)),""))</f>
        <v>אמבט לכף הרגל</v>
      </c>
      <c r="C102" s="9" t="n">
        <f aca="false">SUMIFS('Source PPLAY1 2025'!$D:$D,'Source PPLAY1 2025'!$B:$B,$A102,'Source PPLAY1 2025'!$A:$A,"Quantity (units)")</f>
        <v>0</v>
      </c>
      <c r="D102" s="9" t="n">
        <f aca="false">SUMIFS('Source PPLAY1 2026'!$D:$D,'Source PPLAY1 2026'!$B:$B,$A102,'Source PPLAY1 2026'!$A:$A,"Quantity (units)")</f>
        <v>33</v>
      </c>
      <c r="E102" s="9" t="n">
        <f aca="false">D102*$J$5</f>
        <v>41.6842105263158</v>
      </c>
      <c r="F102" s="9" t="n">
        <f aca="false">E102-C102</f>
        <v>41.6842105263158</v>
      </c>
      <c r="G102" s="10" t="str">
        <f aca="false">IF(AND(C102=0,E102=0),0,IF(C102=0,"New",(E102-C102)/C102))</f>
        <v>New</v>
      </c>
      <c r="H102" s="9" t="n">
        <f aca="false">SUMIFS('Source PPLAY1 2025'!$D:$D,'Source PPLAY1 2025'!$B:$B,$A102,'Source PPLAY1 2025'!$A:$A,"Amount (NIS)")</f>
        <v>0</v>
      </c>
      <c r="I102" s="9" t="n">
        <f aca="false">SUMIFS('Source PPLAY1 2026'!$D:$D,'Source PPLAY1 2026'!$B:$B,$A102,'Source PPLAY1 2026'!$A:$A,"Amount (NIS)")</f>
        <v>270.6</v>
      </c>
      <c r="J102" s="9" t="n">
        <f aca="false">I102*$J$5</f>
        <v>341.81052631579</v>
      </c>
      <c r="K102" s="9" t="n">
        <f aca="false">J102-H102</f>
        <v>341.81052631579</v>
      </c>
      <c r="L102" s="10" t="str">
        <f aca="false">IF(AND(H102=0,J102=0),0,IF(H102=0,"New",(J102-H102)/H102))</f>
        <v>New</v>
      </c>
    </row>
    <row r="103" customFormat="false" ht="15" hidden="false" customHeight="true" outlineLevel="0" collapsed="false">
      <c r="A103" s="8" t="s">
        <v>142</v>
      </c>
      <c r="B103" s="8" t="str">
        <f aca="false">IFERROR(INDEX('Source PPLAY1 2026'!$C:$C,MATCH($A103,'Source PPLAY1 2026'!$B:$B,0)),IFERROR(INDEX('Source PPLAY1 2025'!$C:$C,MATCH($A103,'Source PPLAY1 2025'!$B:$B,0)),""))</f>
        <v>חגורת גב +סגירה כפולה</v>
      </c>
      <c r="C103" s="9" t="n">
        <f aca="false">SUMIFS('Source PPLAY1 2025'!$D:$D,'Source PPLAY1 2025'!$B:$B,$A103,'Source PPLAY1 2025'!$A:$A,"Quantity (units)")</f>
        <v>0</v>
      </c>
      <c r="D103" s="9" t="n">
        <f aca="false">SUMIFS('Source PPLAY1 2026'!$D:$D,'Source PPLAY1 2026'!$B:$B,$A103,'Source PPLAY1 2026'!$A:$A,"Quantity (units)")</f>
        <v>4</v>
      </c>
      <c r="E103" s="9" t="n">
        <f aca="false">D103*$J$5</f>
        <v>5.05263157894737</v>
      </c>
      <c r="F103" s="9" t="n">
        <f aca="false">E103-C103</f>
        <v>5.05263157894737</v>
      </c>
      <c r="G103" s="10" t="str">
        <f aca="false">IF(AND(C103=0,E103=0),0,IF(C103=0,"New",(E103-C103)/C103))</f>
        <v>New</v>
      </c>
      <c r="H103" s="9" t="n">
        <f aca="false">SUMIFS('Source PPLAY1 2025'!$D:$D,'Source PPLAY1 2025'!$B:$B,$A103,'Source PPLAY1 2025'!$A:$A,"Amount (NIS)")</f>
        <v>0</v>
      </c>
      <c r="I103" s="9" t="n">
        <f aca="false">SUMIFS('Source PPLAY1 2026'!$D:$D,'Source PPLAY1 2026'!$B:$B,$A103,'Source PPLAY1 2026'!$A:$A,"Amount (NIS)")</f>
        <v>260</v>
      </c>
      <c r="J103" s="9" t="n">
        <f aca="false">I103*$J$5</f>
        <v>328.421052631579</v>
      </c>
      <c r="K103" s="9" t="n">
        <f aca="false">J103-H103</f>
        <v>328.421052631579</v>
      </c>
      <c r="L103" s="10" t="str">
        <f aca="false">IF(AND(H103=0,J103=0),0,IF(H103=0,"New",(J103-H103)/H103))</f>
        <v>New</v>
      </c>
    </row>
    <row r="104" customFormat="false" ht="15" hidden="false" customHeight="true" outlineLevel="0" collapsed="false">
      <c r="A104" s="8" t="s">
        <v>143</v>
      </c>
      <c r="B104" s="8" t="str">
        <f aca="false">IFERROR(INDEX('Source PPLAY1 2026'!$C:$C,MATCH($A104,'Source PPLAY1 2026'!$B:$B,0)),IFERROR(INDEX('Source PPLAY1 2025'!$C:$C,MATCH($A104,'Source PPLAY1 2025'!$B:$B,0)),""))</f>
        <v>סיליק.לכרית כף הרגל373</v>
      </c>
      <c r="C104" s="9" t="n">
        <f aca="false">SUMIFS('Source PPLAY1 2025'!$D:$D,'Source PPLAY1 2025'!$B:$B,$A104,'Source PPLAY1 2025'!$A:$A,"Quantity (units)")</f>
        <v>0</v>
      </c>
      <c r="D104" s="9" t="n">
        <f aca="false">SUMIFS('Source PPLAY1 2026'!$D:$D,'Source PPLAY1 2026'!$B:$B,$A104,'Source PPLAY1 2026'!$A:$A,"Quantity (units)")</f>
        <v>15</v>
      </c>
      <c r="E104" s="9" t="n">
        <f aca="false">D104*$J$5</f>
        <v>18.9473684210526</v>
      </c>
      <c r="F104" s="9" t="n">
        <f aca="false">E104-C104</f>
        <v>18.9473684210526</v>
      </c>
      <c r="G104" s="10" t="str">
        <f aca="false">IF(AND(C104=0,E104=0),0,IF(C104=0,"New",(E104-C104)/C104))</f>
        <v>New</v>
      </c>
      <c r="H104" s="9" t="n">
        <f aca="false">SUMIFS('Source PPLAY1 2025'!$D:$D,'Source PPLAY1 2025'!$B:$B,$A104,'Source PPLAY1 2025'!$A:$A,"Amount (NIS)")</f>
        <v>0</v>
      </c>
      <c r="I104" s="9" t="n">
        <f aca="false">SUMIFS('Source PPLAY1 2026'!$D:$D,'Source PPLAY1 2026'!$B:$B,$A104,'Source PPLAY1 2026'!$A:$A,"Amount (NIS)")</f>
        <v>205.9</v>
      </c>
      <c r="J104" s="9" t="n">
        <f aca="false">I104*$J$5</f>
        <v>260.084210526316</v>
      </c>
      <c r="K104" s="9" t="n">
        <f aca="false">J104-H104</f>
        <v>260.084210526316</v>
      </c>
      <c r="L104" s="10" t="str">
        <f aca="false">IF(AND(H104=0,J104=0),0,IF(H104=0,"New",(J104-H104)/H104))</f>
        <v>New</v>
      </c>
    </row>
    <row r="105" customFormat="false" ht="15" hidden="false" customHeight="true" outlineLevel="0" collapsed="false">
      <c r="A105" s="8" t="s">
        <v>144</v>
      </c>
      <c r="B105" s="8" t="str">
        <f aca="false">IFERROR(INDEX('Source PPLAY1 2026'!$C:$C,MATCH($A105,'Source PPLAY1 2026'!$B:$B,0)),IFERROR(INDEX('Source PPLAY1 2025'!$C:$C,MATCH($A105,'Source PPLAY1 2025'!$B:$B,0)),""))</f>
        <v>ריפוד סיליק.לעקב תחתון</v>
      </c>
      <c r="C105" s="9" t="n">
        <f aca="false">SUMIFS('Source PPLAY1 2025'!$D:$D,'Source PPLAY1 2025'!$B:$B,$A105,'Source PPLAY1 2025'!$A:$A,"Quantity (units)")</f>
        <v>0</v>
      </c>
      <c r="D105" s="9" t="n">
        <f aca="false">SUMIFS('Source PPLAY1 2026'!$D:$D,'Source PPLAY1 2026'!$B:$B,$A105,'Source PPLAY1 2026'!$A:$A,"Quantity (units)")</f>
        <v>11</v>
      </c>
      <c r="E105" s="9" t="n">
        <f aca="false">D105*$J$5</f>
        <v>13.8947368421053</v>
      </c>
      <c r="F105" s="9" t="n">
        <f aca="false">E105-C105</f>
        <v>13.8947368421053</v>
      </c>
      <c r="G105" s="10" t="str">
        <f aca="false">IF(AND(C105=0,E105=0),0,IF(C105=0,"New",(E105-C105)/C105))</f>
        <v>New</v>
      </c>
      <c r="H105" s="9" t="n">
        <f aca="false">SUMIFS('Source PPLAY1 2025'!$D:$D,'Source PPLAY1 2025'!$B:$B,$A105,'Source PPLAY1 2025'!$A:$A,"Amount (NIS)")</f>
        <v>0</v>
      </c>
      <c r="I105" s="9" t="n">
        <f aca="false">SUMIFS('Source PPLAY1 2026'!$D:$D,'Source PPLAY1 2026'!$B:$B,$A105,'Source PPLAY1 2026'!$A:$A,"Amount (NIS)")</f>
        <v>171</v>
      </c>
      <c r="J105" s="9" t="n">
        <f aca="false">I105*$J$5</f>
        <v>216</v>
      </c>
      <c r="K105" s="9" t="n">
        <f aca="false">J105-H105</f>
        <v>216</v>
      </c>
      <c r="L105" s="10" t="str">
        <f aca="false">IF(AND(H105=0,J105=0),0,IF(H105=0,"New",(J105-H105)/H105))</f>
        <v>New</v>
      </c>
    </row>
    <row r="106" customFormat="false" ht="15" hidden="false" customHeight="true" outlineLevel="0" collapsed="false">
      <c r="A106" s="8" t="s">
        <v>145</v>
      </c>
      <c r="B106" s="8" t="str">
        <f aca="false">IFERROR(INDEX('Source PPLAY1 2026'!$C:$C,MATCH($A106,'Source PPLAY1 2026'!$B:$B,0)),IFERROR(INDEX('Source PPLAY1 2025'!$C:$C,MATCH($A106,'Source PPLAY1 2025'!$B:$B,0)),""))</f>
        <v>חגורת בטן</v>
      </c>
      <c r="C106" s="9" t="n">
        <f aca="false">SUMIFS('Source PPLAY1 2025'!$D:$D,'Source PPLAY1 2025'!$B:$B,$A106,'Source PPLAY1 2025'!$A:$A,"Quantity (units)")</f>
        <v>0</v>
      </c>
      <c r="D106" s="9" t="n">
        <f aca="false">SUMIFS('Source PPLAY1 2026'!$D:$D,'Source PPLAY1 2026'!$B:$B,$A106,'Source PPLAY1 2026'!$A:$A,"Quantity (units)")</f>
        <v>5</v>
      </c>
      <c r="E106" s="9" t="n">
        <f aca="false">D106*$J$5</f>
        <v>6.31578947368421</v>
      </c>
      <c r="F106" s="9" t="n">
        <f aca="false">E106-C106</f>
        <v>6.31578947368421</v>
      </c>
      <c r="G106" s="10" t="str">
        <f aca="false">IF(AND(C106=0,E106=0),0,IF(C106=0,"New",(E106-C106)/C106))</f>
        <v>New</v>
      </c>
      <c r="H106" s="9" t="n">
        <f aca="false">SUMIFS('Source PPLAY1 2025'!$D:$D,'Source PPLAY1 2025'!$B:$B,$A106,'Source PPLAY1 2025'!$A:$A,"Amount (NIS)")</f>
        <v>0</v>
      </c>
      <c r="I106" s="9" t="n">
        <f aca="false">SUMIFS('Source PPLAY1 2026'!$D:$D,'Source PPLAY1 2026'!$B:$B,$A106,'Source PPLAY1 2026'!$A:$A,"Amount (NIS)")</f>
        <v>171</v>
      </c>
      <c r="J106" s="9" t="n">
        <f aca="false">I106*$J$5</f>
        <v>216</v>
      </c>
      <c r="K106" s="9" t="n">
        <f aca="false">J106-H106</f>
        <v>216</v>
      </c>
      <c r="L106" s="10" t="str">
        <f aca="false">IF(AND(H106=0,J106=0),0,IF(H106=0,"New",(J106-H106)/H106))</f>
        <v>New</v>
      </c>
    </row>
    <row r="107" customFormat="false" ht="15" hidden="false" customHeight="true" outlineLevel="0" collapsed="false">
      <c r="A107" s="8" t="s">
        <v>146</v>
      </c>
      <c r="B107" s="8" t="str">
        <f aca="false">IFERROR(INDEX('Source PPLAY1 2026'!$C:$C,MATCH($A107,'Source PPLAY1 2026'!$B:$B,0)),IFERROR(INDEX('Source PPLAY1 2025'!$C:$C,MATCH($A107,'Source PPLAY1 2025'!$B:$B,0)),""))</f>
        <v>מ.קרסול+עכב סגור+רצועות</v>
      </c>
      <c r="C107" s="9" t="n">
        <f aca="false">SUMIFS('Source PPLAY1 2025'!$D:$D,'Source PPLAY1 2025'!$B:$B,$A107,'Source PPLAY1 2025'!$A:$A,"Quantity (units)")</f>
        <v>0</v>
      </c>
      <c r="D107" s="9" t="n">
        <f aca="false">SUMIFS('Source PPLAY1 2026'!$D:$D,'Source PPLAY1 2026'!$B:$B,$A107,'Source PPLAY1 2026'!$A:$A,"Quantity (units)")</f>
        <v>4</v>
      </c>
      <c r="E107" s="9" t="n">
        <f aca="false">D107*$J$5</f>
        <v>5.05263157894737</v>
      </c>
      <c r="F107" s="9" t="n">
        <f aca="false">E107-C107</f>
        <v>5.05263157894737</v>
      </c>
      <c r="G107" s="10" t="str">
        <f aca="false">IF(AND(C107=0,E107=0),0,IF(C107=0,"New",(E107-C107)/C107))</f>
        <v>New</v>
      </c>
      <c r="H107" s="9" t="n">
        <f aca="false">SUMIFS('Source PPLAY1 2025'!$D:$D,'Source PPLAY1 2025'!$B:$B,$A107,'Source PPLAY1 2025'!$A:$A,"Amount (NIS)")</f>
        <v>0</v>
      </c>
      <c r="I107" s="9" t="n">
        <f aca="false">SUMIFS('Source PPLAY1 2026'!$D:$D,'Source PPLAY1 2026'!$B:$B,$A107,'Source PPLAY1 2026'!$A:$A,"Amount (NIS)")</f>
        <v>158.1</v>
      </c>
      <c r="J107" s="9" t="n">
        <f aca="false">I107*$J$5</f>
        <v>199.705263157895</v>
      </c>
      <c r="K107" s="9" t="n">
        <f aca="false">J107-H107</f>
        <v>199.705263157895</v>
      </c>
      <c r="L107" s="10" t="str">
        <f aca="false">IF(AND(H107=0,J107=0),0,IF(H107=0,"New",(J107-H107)/H107))</f>
        <v>New</v>
      </c>
    </row>
    <row r="108" customFormat="false" ht="15" hidden="false" customHeight="true" outlineLevel="0" collapsed="false">
      <c r="A108" s="8" t="s">
        <v>147</v>
      </c>
      <c r="B108" s="8" t="str">
        <f aca="false">IFERROR(INDEX('Source PPLAY1 2026'!$C:$C,MATCH($A108,'Source PPLAY1 2026'!$B:$B,0)),IFERROR(INDEX('Source PPLAY1 2025'!$C:$C,MATCH($A108,'Source PPLAY1 2025'!$B:$B,0)),""))</f>
        <v>ריפוד סיליקון לעקב אחורי</v>
      </c>
      <c r="C108" s="9" t="n">
        <f aca="false">SUMIFS('Source PPLAY1 2025'!$D:$D,'Source PPLAY1 2025'!$B:$B,$A108,'Source PPLAY1 2025'!$A:$A,"Quantity (units)")</f>
        <v>0</v>
      </c>
      <c r="D108" s="9" t="n">
        <f aca="false">SUMIFS('Source PPLAY1 2026'!$D:$D,'Source PPLAY1 2026'!$B:$B,$A108,'Source PPLAY1 2026'!$A:$A,"Quantity (units)")</f>
        <v>9</v>
      </c>
      <c r="E108" s="9" t="n">
        <f aca="false">D108*$J$5</f>
        <v>11.3684210526316</v>
      </c>
      <c r="F108" s="9" t="n">
        <f aca="false">E108-C108</f>
        <v>11.3684210526316</v>
      </c>
      <c r="G108" s="10" t="str">
        <f aca="false">IF(AND(C108=0,E108=0),0,IF(C108=0,"New",(E108-C108)/C108))</f>
        <v>New</v>
      </c>
      <c r="H108" s="9" t="n">
        <f aca="false">SUMIFS('Source PPLAY1 2025'!$D:$D,'Source PPLAY1 2025'!$B:$B,$A108,'Source PPLAY1 2025'!$A:$A,"Amount (NIS)")</f>
        <v>0</v>
      </c>
      <c r="I108" s="9" t="n">
        <f aca="false">SUMIFS('Source PPLAY1 2026'!$D:$D,'Source PPLAY1 2026'!$B:$B,$A108,'Source PPLAY1 2026'!$A:$A,"Amount (NIS)")</f>
        <v>135.2</v>
      </c>
      <c r="J108" s="9" t="n">
        <f aca="false">I108*$J$5</f>
        <v>170.778947368421</v>
      </c>
      <c r="K108" s="9" t="n">
        <f aca="false">J108-H108</f>
        <v>170.778947368421</v>
      </c>
      <c r="L108" s="10" t="str">
        <f aca="false">IF(AND(H108=0,J108=0),0,IF(H108=0,"New",(J108-H108)/H108))</f>
        <v>New</v>
      </c>
    </row>
    <row r="109" customFormat="false" ht="15" hidden="false" customHeight="true" outlineLevel="0" collapsed="false">
      <c r="A109" s="8" t="s">
        <v>148</v>
      </c>
      <c r="B109" s="8" t="str">
        <f aca="false">IFERROR(INDEX('Source PPLAY1 2026'!$C:$C,MATCH($A109,'Source PPLAY1 2026'!$B:$B,0)),IFERROR(INDEX('Source PPLAY1 2025'!$C:$C,MATCH($A109,'Source PPLAY1 2025'!$B:$B,0)),""))</f>
        <v>ג.כסף לסכרתיים אפור35-38</v>
      </c>
      <c r="C109" s="9" t="n">
        <f aca="false">SUMIFS('Source PPLAY1 2025'!$D:$D,'Source PPLAY1 2025'!$B:$B,$A109,'Source PPLAY1 2025'!$A:$A,"Quantity (units)")</f>
        <v>0</v>
      </c>
      <c r="D109" s="9" t="n">
        <f aca="false">SUMIFS('Source PPLAY1 2026'!$D:$D,'Source PPLAY1 2026'!$B:$B,$A109,'Source PPLAY1 2026'!$A:$A,"Quantity (units)")</f>
        <v>5</v>
      </c>
      <c r="E109" s="9" t="n">
        <f aca="false">D109*$J$5</f>
        <v>6.31578947368421</v>
      </c>
      <c r="F109" s="9" t="n">
        <f aca="false">E109-C109</f>
        <v>6.31578947368421</v>
      </c>
      <c r="G109" s="10" t="str">
        <f aca="false">IF(AND(C109=0,E109=0),0,IF(C109=0,"New",(E109-C109)/C109))</f>
        <v>New</v>
      </c>
      <c r="H109" s="9" t="n">
        <f aca="false">SUMIFS('Source PPLAY1 2025'!$D:$D,'Source PPLAY1 2025'!$B:$B,$A109,'Source PPLAY1 2025'!$A:$A,"Amount (NIS)")</f>
        <v>0</v>
      </c>
      <c r="I109" s="9" t="n">
        <f aca="false">SUMIFS('Source PPLAY1 2026'!$D:$D,'Source PPLAY1 2026'!$B:$B,$A109,'Source PPLAY1 2026'!$A:$A,"Amount (NIS)")</f>
        <v>118</v>
      </c>
      <c r="J109" s="9" t="n">
        <f aca="false">I109*$J$5</f>
        <v>149.052631578947</v>
      </c>
      <c r="K109" s="9" t="n">
        <f aca="false">J109-H109</f>
        <v>149.052631578947</v>
      </c>
      <c r="L109" s="10" t="str">
        <f aca="false">IF(AND(H109=0,J109=0),0,IF(H109=0,"New",(J109-H109)/H109))</f>
        <v>New</v>
      </c>
    </row>
    <row r="110" customFormat="false" ht="15" hidden="false" customHeight="true" outlineLevel="0" collapsed="false">
      <c r="A110" s="8" t="s">
        <v>149</v>
      </c>
      <c r="B110" s="8" t="str">
        <f aca="false">IFERROR(INDEX('Source PPLAY1 2026'!$C:$C,MATCH($A110,'Source PPLAY1 2026'!$B:$B,0)),IFERROR(INDEX('Source PPLAY1 2025'!$C:$C,MATCH($A110,'Source PPLAY1 2025'!$B:$B,0)),""))</f>
        <v>רצועת טניס אלבו עם פלסטיק</v>
      </c>
      <c r="C110" s="9" t="n">
        <f aca="false">SUMIFS('Source PPLAY1 2025'!$D:$D,'Source PPLAY1 2025'!$B:$B,$A110,'Source PPLAY1 2025'!$A:$A,"Quantity (units)")</f>
        <v>0</v>
      </c>
      <c r="D110" s="9" t="n">
        <f aca="false">SUMIFS('Source PPLAY1 2026'!$D:$D,'Source PPLAY1 2026'!$B:$B,$A110,'Source PPLAY1 2026'!$A:$A,"Quantity (units)")</f>
        <v>2</v>
      </c>
      <c r="E110" s="9" t="n">
        <f aca="false">D110*$J$5</f>
        <v>2.52631578947368</v>
      </c>
      <c r="F110" s="9" t="n">
        <f aca="false">E110-C110</f>
        <v>2.52631578947368</v>
      </c>
      <c r="G110" s="10" t="str">
        <f aca="false">IF(AND(C110=0,E110=0),0,IF(C110=0,"New",(E110-C110)/C110))</f>
        <v>New</v>
      </c>
      <c r="H110" s="9" t="n">
        <f aca="false">SUMIFS('Source PPLAY1 2025'!$D:$D,'Source PPLAY1 2025'!$B:$B,$A110,'Source PPLAY1 2025'!$A:$A,"Amount (NIS)")</f>
        <v>0</v>
      </c>
      <c r="I110" s="9" t="n">
        <f aca="false">SUMIFS('Source PPLAY1 2026'!$D:$D,'Source PPLAY1 2026'!$B:$B,$A110,'Source PPLAY1 2026'!$A:$A,"Amount (NIS)")</f>
        <v>115.9</v>
      </c>
      <c r="J110" s="9" t="n">
        <f aca="false">I110*$J$5</f>
        <v>146.4</v>
      </c>
      <c r="K110" s="9" t="n">
        <f aca="false">J110-H110</f>
        <v>146.4</v>
      </c>
      <c r="L110" s="10" t="str">
        <f aca="false">IF(AND(H110=0,J110=0),0,IF(H110=0,"New",(J110-H110)/H110))</f>
        <v>New</v>
      </c>
    </row>
    <row r="111" customFormat="false" ht="15" hidden="false" customHeight="true" outlineLevel="0" collapsed="false">
      <c r="A111" s="8" t="s">
        <v>150</v>
      </c>
      <c r="B111" s="8" t="str">
        <f aca="false">IFERROR(INDEX('Source PPLAY1 2026'!$C:$C,MATCH($A111,'Source PPLAY1 2026'!$B:$B,0)),IFERROR(INDEX('Source PPLAY1 2025'!$C:$C,MATCH($A111,'Source PPLAY1 2025'!$B:$B,0)),""))</f>
        <v>סכינים למקצוע</v>
      </c>
      <c r="C111" s="9" t="n">
        <f aca="false">SUMIFS('Source PPLAY1 2025'!$D:$D,'Source PPLAY1 2025'!$B:$B,$A111,'Source PPLAY1 2025'!$A:$A,"Quantity (units)")</f>
        <v>0</v>
      </c>
      <c r="D111" s="9" t="n">
        <f aca="false">SUMIFS('Source PPLAY1 2026'!$D:$D,'Source PPLAY1 2026'!$B:$B,$A111,'Source PPLAY1 2026'!$A:$A,"Quantity (units)")</f>
        <v>17</v>
      </c>
      <c r="E111" s="9" t="n">
        <f aca="false">D111*$J$5</f>
        <v>21.4736842105263</v>
      </c>
      <c r="F111" s="9" t="n">
        <f aca="false">E111-C111</f>
        <v>21.4736842105263</v>
      </c>
      <c r="G111" s="10" t="str">
        <f aca="false">IF(AND(C111=0,E111=0),0,IF(C111=0,"New",(E111-C111)/C111))</f>
        <v>New</v>
      </c>
      <c r="H111" s="9" t="n">
        <f aca="false">SUMIFS('Source PPLAY1 2025'!$D:$D,'Source PPLAY1 2025'!$B:$B,$A111,'Source PPLAY1 2025'!$A:$A,"Amount (NIS)")</f>
        <v>0</v>
      </c>
      <c r="I111" s="9" t="n">
        <f aca="false">SUMIFS('Source PPLAY1 2026'!$D:$D,'Source PPLAY1 2026'!$B:$B,$A111,'Source PPLAY1 2026'!$A:$A,"Amount (NIS)")</f>
        <v>115.6</v>
      </c>
      <c r="J111" s="9" t="n">
        <f aca="false">I111*$J$5</f>
        <v>146.021052631579</v>
      </c>
      <c r="K111" s="9" t="n">
        <f aca="false">J111-H111</f>
        <v>146.021052631579</v>
      </c>
      <c r="L111" s="10" t="str">
        <f aca="false">IF(AND(H111=0,J111=0),0,IF(H111=0,"New",(J111-H111)/H111))</f>
        <v>New</v>
      </c>
    </row>
    <row r="112" customFormat="false" ht="15" hidden="false" customHeight="true" outlineLevel="0" collapsed="false">
      <c r="A112" s="8" t="s">
        <v>151</v>
      </c>
      <c r="B112" s="8" t="str">
        <f aca="false">IFERROR(INDEX('Source PPLAY1 2026'!$C:$C,MATCH($A112,'Source PPLAY1 2026'!$B:$B,0)),IFERROR(INDEX('Source PPLAY1 2025'!$C:$C,MATCH($A112,'Source PPLAY1 2025'!$B:$B,0)),""))</f>
        <v>L-XL STRAP4U</v>
      </c>
      <c r="C112" s="9" t="n">
        <f aca="false">SUMIFS('Source PPLAY1 2025'!$D:$D,'Source PPLAY1 2025'!$B:$B,$A112,'Source PPLAY1 2025'!$A:$A,"Quantity (units)")</f>
        <v>0</v>
      </c>
      <c r="D112" s="9" t="n">
        <f aca="false">SUMIFS('Source PPLAY1 2026'!$D:$D,'Source PPLAY1 2026'!$B:$B,$A112,'Source PPLAY1 2026'!$A:$A,"Quantity (units)")</f>
        <v>6</v>
      </c>
      <c r="E112" s="9" t="n">
        <f aca="false">D112*$J$5</f>
        <v>7.57894736842105</v>
      </c>
      <c r="F112" s="9" t="n">
        <f aca="false">E112-C112</f>
        <v>7.57894736842105</v>
      </c>
      <c r="G112" s="10" t="str">
        <f aca="false">IF(AND(C112=0,E112=0),0,IF(C112=0,"New",(E112-C112)/C112))</f>
        <v>New</v>
      </c>
      <c r="H112" s="9" t="n">
        <f aca="false">SUMIFS('Source PPLAY1 2025'!$D:$D,'Source PPLAY1 2025'!$B:$B,$A112,'Source PPLAY1 2025'!$A:$A,"Amount (NIS)")</f>
        <v>0</v>
      </c>
      <c r="I112" s="9" t="n">
        <f aca="false">SUMIFS('Source PPLAY1 2026'!$D:$D,'Source PPLAY1 2026'!$B:$B,$A112,'Source PPLAY1 2026'!$A:$A,"Amount (NIS)")</f>
        <v>66</v>
      </c>
      <c r="J112" s="9" t="n">
        <f aca="false">I112*$J$5</f>
        <v>83.3684210526316</v>
      </c>
      <c r="K112" s="9" t="n">
        <f aca="false">J112-H112</f>
        <v>83.3684210526316</v>
      </c>
      <c r="L112" s="10" t="str">
        <f aca="false">IF(AND(H112=0,J112=0),0,IF(H112=0,"New",(J112-H112)/H112))</f>
        <v>New</v>
      </c>
    </row>
    <row r="113" customFormat="false" ht="15" hidden="false" customHeight="true" outlineLevel="0" collapsed="false">
      <c r="A113" s="8" t="s">
        <v>152</v>
      </c>
      <c r="B113" s="8" t="str">
        <f aca="false">IFERROR(INDEX('Source PPLAY1 2026'!$C:$C,MATCH($A113,'Source PPLAY1 2026'!$B:$B,0)),IFERROR(INDEX('Source PPLAY1 2025'!$C:$C,MATCH($A113,'Source PPLAY1 2025'!$B:$B,0)),""))</f>
        <v>מגן ירך</v>
      </c>
      <c r="C113" s="9" t="n">
        <f aca="false">SUMIFS('Source PPLAY1 2025'!$D:$D,'Source PPLAY1 2025'!$B:$B,$A113,'Source PPLAY1 2025'!$A:$A,"Quantity (units)")</f>
        <v>0</v>
      </c>
      <c r="D113" s="9" t="n">
        <f aca="false">SUMIFS('Source PPLAY1 2026'!$D:$D,'Source PPLAY1 2026'!$B:$B,$A113,'Source PPLAY1 2026'!$A:$A,"Quantity (units)")</f>
        <v>3</v>
      </c>
      <c r="E113" s="9" t="n">
        <f aca="false">D113*$J$5</f>
        <v>3.78947368421053</v>
      </c>
      <c r="F113" s="9" t="n">
        <f aca="false">E113-C113</f>
        <v>3.78947368421053</v>
      </c>
      <c r="G113" s="10" t="str">
        <f aca="false">IF(AND(C113=0,E113=0),0,IF(C113=0,"New",(E113-C113)/C113))</f>
        <v>New</v>
      </c>
      <c r="H113" s="9" t="n">
        <f aca="false">SUMIFS('Source PPLAY1 2025'!$D:$D,'Source PPLAY1 2025'!$B:$B,$A113,'Source PPLAY1 2025'!$A:$A,"Amount (NIS)")</f>
        <v>0</v>
      </c>
      <c r="I113" s="9" t="n">
        <f aca="false">SUMIFS('Source PPLAY1 2026'!$D:$D,'Source PPLAY1 2026'!$B:$B,$A113,'Source PPLAY1 2026'!$A:$A,"Amount (NIS)")</f>
        <v>61.5</v>
      </c>
      <c r="J113" s="9" t="n">
        <f aca="false">I113*$J$5</f>
        <v>77.6842105263158</v>
      </c>
      <c r="K113" s="9" t="n">
        <f aca="false">J113-H113</f>
        <v>77.6842105263158</v>
      </c>
      <c r="L113" s="10" t="str">
        <f aca="false">IF(AND(H113=0,J113=0),0,IF(H113=0,"New",(J113-H113)/H113))</f>
        <v>New</v>
      </c>
    </row>
    <row r="114" customFormat="false" ht="15" hidden="false" customHeight="true" outlineLevel="0" collapsed="false">
      <c r="A114" s="8" t="s">
        <v>153</v>
      </c>
      <c r="B114" s="8" t="str">
        <f aca="false">IFERROR(INDEX('Source PPLAY1 2026'!$C:$C,MATCH($A114,'Source PPLAY1 2026'!$B:$B,0)),IFERROR(INDEX('Source PPLAY1 2025'!$C:$C,MATCH($A114,'Source PPLAY1 2025'!$B:$B,0)),""))</f>
        <v>גרבי כסף לסכרת מידה</v>
      </c>
      <c r="C114" s="9" t="n">
        <f aca="false">SUMIFS('Source PPLAY1 2025'!$D:$D,'Source PPLAY1 2025'!$B:$B,$A114,'Source PPLAY1 2025'!$A:$A,"Quantity (units)")</f>
        <v>0</v>
      </c>
      <c r="D114" s="9" t="n">
        <f aca="false">SUMIFS('Source PPLAY1 2026'!$D:$D,'Source PPLAY1 2026'!$B:$B,$A114,'Source PPLAY1 2026'!$A:$A,"Quantity (units)")</f>
        <v>3</v>
      </c>
      <c r="E114" s="9" t="n">
        <f aca="false">D114*$J$5</f>
        <v>3.78947368421053</v>
      </c>
      <c r="F114" s="9" t="n">
        <f aca="false">E114-C114</f>
        <v>3.78947368421053</v>
      </c>
      <c r="G114" s="10" t="str">
        <f aca="false">IF(AND(C114=0,E114=0),0,IF(C114=0,"New",(E114-C114)/C114))</f>
        <v>New</v>
      </c>
      <c r="H114" s="9" t="n">
        <f aca="false">SUMIFS('Source PPLAY1 2025'!$D:$D,'Source PPLAY1 2025'!$B:$B,$A114,'Source PPLAY1 2025'!$A:$A,"Amount (NIS)")</f>
        <v>0</v>
      </c>
      <c r="I114" s="9" t="n">
        <f aca="false">SUMIFS('Source PPLAY1 2026'!$D:$D,'Source PPLAY1 2026'!$B:$B,$A114,'Source PPLAY1 2026'!$A:$A,"Amount (NIS)")</f>
        <v>53.1</v>
      </c>
      <c r="J114" s="9" t="n">
        <f aca="false">I114*$J$5</f>
        <v>67.0736842105263</v>
      </c>
      <c r="K114" s="9" t="n">
        <f aca="false">J114-H114</f>
        <v>67.0736842105263</v>
      </c>
      <c r="L114" s="10" t="str">
        <f aca="false">IF(AND(H114=0,J114=0),0,IF(H114=0,"New",(J114-H114)/H114))</f>
        <v>New</v>
      </c>
    </row>
    <row r="115" customFormat="false" ht="15" hidden="false" customHeight="true" outlineLevel="0" collapsed="false">
      <c r="A115" s="8" t="s">
        <v>154</v>
      </c>
      <c r="B115" s="8" t="str">
        <f aca="false">IFERROR(INDEX('Source PPLAY1 2026'!$C:$C,MATCH($A115,'Source PPLAY1 2026'!$B:$B,0)),IFERROR(INDEX('Source PPLAY1 2025'!$C:$C,MATCH($A115,'Source PPLAY1 2025'!$B:$B,0)),""))</f>
        <v>L-מדרס סיליקון לנעלי עקב</v>
      </c>
      <c r="C115" s="9" t="n">
        <f aca="false">SUMIFS('Source PPLAY1 2025'!$D:$D,'Source PPLAY1 2025'!$B:$B,$A115,'Source PPLAY1 2025'!$A:$A,"Quantity (units)")</f>
        <v>0</v>
      </c>
      <c r="D115" s="9" t="n">
        <f aca="false">SUMIFS('Source PPLAY1 2026'!$D:$D,'Source PPLAY1 2026'!$B:$B,$A115,'Source PPLAY1 2026'!$A:$A,"Quantity (units)")</f>
        <v>1</v>
      </c>
      <c r="E115" s="9" t="n">
        <f aca="false">D115*$J$5</f>
        <v>1.26315789473684</v>
      </c>
      <c r="F115" s="9" t="n">
        <f aca="false">E115-C115</f>
        <v>1.26315789473684</v>
      </c>
      <c r="G115" s="10" t="str">
        <f aca="false">IF(AND(C115=0,E115=0),0,IF(C115=0,"New",(E115-C115)/C115))</f>
        <v>New</v>
      </c>
      <c r="H115" s="9" t="n">
        <f aca="false">SUMIFS('Source PPLAY1 2025'!$D:$D,'Source PPLAY1 2025'!$B:$B,$A115,'Source PPLAY1 2025'!$A:$A,"Amount (NIS)")</f>
        <v>0</v>
      </c>
      <c r="I115" s="9" t="n">
        <f aca="false">SUMIFS('Source PPLAY1 2026'!$D:$D,'Source PPLAY1 2026'!$B:$B,$A115,'Source PPLAY1 2026'!$A:$A,"Amount (NIS)")</f>
        <v>32.1</v>
      </c>
      <c r="J115" s="9" t="n">
        <f aca="false">I115*$J$5</f>
        <v>40.5473684210526</v>
      </c>
      <c r="K115" s="9" t="n">
        <f aca="false">J115-H115</f>
        <v>40.5473684210526</v>
      </c>
      <c r="L115" s="10" t="str">
        <f aca="false">IF(AND(H115=0,J115=0),0,IF(H115=0,"New",(J115-H115)/H115))</f>
        <v>New</v>
      </c>
    </row>
    <row r="117" customFormat="false" ht="15" hidden="false" customHeight="true" outlineLevel="0" collapsed="false">
      <c r="A117" s="20"/>
      <c r="B117" s="21" t="s">
        <v>155</v>
      </c>
      <c r="C117" s="22" t="n">
        <f aca="false">SUM(C9:C115)</f>
        <v>0</v>
      </c>
      <c r="D117" s="22" t="n">
        <f aca="false">SUM(D9:D115)</f>
        <v>10037</v>
      </c>
      <c r="E117" s="22" t="n">
        <f aca="false">SUM(E9:E115)</f>
        <v>12678.3157894737</v>
      </c>
      <c r="F117" s="22" t="n">
        <f aca="false">SUM(F9:F115)</f>
        <v>12678.3157894737</v>
      </c>
      <c r="G117" s="23" t="str">
        <f aca="false">IF(C117=0,"N/A",F117/C117)</f>
        <v>N/A</v>
      </c>
      <c r="H117" s="22" t="n">
        <f aca="false">SUM(H9:H115)</f>
        <v>0</v>
      </c>
      <c r="I117" s="22" t="n">
        <f aca="false">SUM(I9:I115)</f>
        <v>307514.4</v>
      </c>
      <c r="J117" s="22" t="n">
        <f aca="false">SUM(J9:J115)</f>
        <v>388439.242105263</v>
      </c>
      <c r="K117" s="22" t="n">
        <f aca="false">SUM(K9:K115)</f>
        <v>388439.242105263</v>
      </c>
      <c r="L117" s="23" t="str">
        <f aca="false">IF(H117=0,"N/A",K117/H117)</f>
        <v>N/A</v>
      </c>
    </row>
  </sheetData>
  <mergeCells count="2">
    <mergeCell ref="A3:L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6" min="4" style="1" width="15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17"/>
    <col collapsed="false" customWidth="true" hidden="false" outlineLevel="0" max="11" min="10" style="1" width="15"/>
    <col collapsed="false" customWidth="true" hidden="false" outlineLevel="0" max="12" min="12" style="1" width="16"/>
    <col collapsed="false" customWidth="true" hidden="false" outlineLevel="0" max="13" min="13" style="1" width="10"/>
  </cols>
  <sheetData>
    <row r="1" customFormat="false" ht="15.75" hidden="false" customHeight="true" outlineLevel="0" collapsed="false">
      <c r="A1" s="2" t="s">
        <v>156</v>
      </c>
    </row>
    <row r="2" customFormat="false" ht="15" hidden="false" customHeight="true" outlineLevel="0" collapsed="false">
      <c r="A2" s="3" t="s">
        <v>1</v>
      </c>
      <c r="B2" s="4" t="n">
        <v>46284</v>
      </c>
    </row>
    <row r="3" customFormat="false" ht="90" hidden="false" customHeight="true" outlineLevel="0" collapsed="false">
      <c r="A3" s="5" t="s">
        <v>157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false" ht="45" hidden="false" customHeight="true" outlineLevel="0" collapsed="false">
      <c r="A4" s="5" t="s">
        <v>158</v>
      </c>
      <c r="B4" s="5"/>
      <c r="C4" s="5"/>
      <c r="D4" s="5"/>
      <c r="E4" s="5"/>
      <c r="F4" s="5"/>
      <c r="G4" s="5"/>
      <c r="H4" s="5"/>
      <c r="I4" s="13" t="s">
        <v>29</v>
      </c>
      <c r="J4" s="14" t="n">
        <v>12</v>
      </c>
      <c r="K4" s="15" t="s">
        <v>30</v>
      </c>
      <c r="L4" s="14" t="n">
        <v>9.5</v>
      </c>
    </row>
    <row r="5" customFormat="false" ht="30" hidden="false" customHeight="true" outlineLevel="0" collapsed="false">
      <c r="A5" s="16" t="s">
        <v>31</v>
      </c>
      <c r="B5" s="17" t="n">
        <f aca="false">SUMPRODUCT(--(((C9:C240&lt;&gt;0)+(H9:H240&lt;&gt;0)&gt;0)*((D9:D240=0)*(I9:I240=0))))</f>
        <v>26</v>
      </c>
      <c r="C5" s="16" t="s">
        <v>32</v>
      </c>
      <c r="D5" s="17" t="n">
        <f aca="false">SUMPRODUCT(--(((D9:D240&lt;&gt;0)+(I9:I240&lt;&gt;0)&gt;0)*((C9:C240=0)*(H9:H240=0))))</f>
        <v>9</v>
      </c>
      <c r="I5" s="16" t="s">
        <v>33</v>
      </c>
      <c r="J5" s="18" t="n">
        <f aca="false">J4/L4</f>
        <v>1.26315789473684</v>
      </c>
    </row>
    <row r="6" customFormat="false" ht="30" hidden="false" customHeight="true" outlineLevel="0" collapsed="false">
      <c r="A6" s="16" t="s">
        <v>34</v>
      </c>
      <c r="B6" s="17" t="n">
        <f aca="false">SUMPRODUCT(--(((C9:C240&lt;&gt;0)+(H9:H240&lt;&gt;0)&gt;0)*((D9:D240=0)*(I9:I240=0)))*C9:C240)</f>
        <v>301</v>
      </c>
      <c r="C6" s="16" t="s">
        <v>35</v>
      </c>
      <c r="D6" s="17" t="n">
        <f aca="false">SUMPRODUCT(--(((C9:C240&lt;&gt;0)+(H9:H240&lt;&gt;0)&gt;0)*((D9:D240=0)*(I9:I240=0)))*H9:H240)</f>
        <v>12248.01</v>
      </c>
      <c r="E6" s="16" t="s">
        <v>36</v>
      </c>
      <c r="F6" s="17" t="n">
        <f aca="false">SUMPRODUCT(--(((D9:D240&lt;&gt;0)+(I9:I240&lt;&gt;0)&gt;0)*((C9:C240=0)*(H9:H240=0)))*D9:D240)</f>
        <v>23</v>
      </c>
      <c r="G6" s="16" t="s">
        <v>37</v>
      </c>
      <c r="H6" s="17" t="n">
        <f aca="false">SUMPRODUCT(--(((D9:D240&lt;&gt;0)+(I9:I240&lt;&gt;0)&gt;0)*((C9:C240=0)*(H9:H240=0)))*I9:I240)</f>
        <v>1236.65</v>
      </c>
    </row>
    <row r="8" customFormat="false" ht="43.5" hidden="false" customHeight="true" outlineLevel="0" collapsed="false">
      <c r="A8" s="6" t="s">
        <v>38</v>
      </c>
      <c r="B8" s="6" t="s">
        <v>159</v>
      </c>
      <c r="C8" s="6" t="s">
        <v>15</v>
      </c>
      <c r="D8" s="19" t="s">
        <v>40</v>
      </c>
      <c r="E8" s="6" t="s">
        <v>41</v>
      </c>
      <c r="F8" s="6" t="s">
        <v>42</v>
      </c>
      <c r="G8" s="6" t="s">
        <v>43</v>
      </c>
      <c r="H8" s="6" t="s">
        <v>18</v>
      </c>
      <c r="I8" s="19" t="s">
        <v>44</v>
      </c>
      <c r="J8" s="6" t="s">
        <v>45</v>
      </c>
      <c r="K8" s="6" t="s">
        <v>46</v>
      </c>
      <c r="L8" s="6" t="s">
        <v>47</v>
      </c>
      <c r="M8" s="6" t="s">
        <v>160</v>
      </c>
    </row>
    <row r="9" customFormat="false" ht="15" hidden="false" customHeight="true" outlineLevel="0" collapsed="false">
      <c r="A9" s="8" t="s">
        <v>161</v>
      </c>
      <c r="B9" s="8" t="str">
        <f aca="false">IFERROR(INDEX('Source NetSuite'!$B:$B,MATCH($A9,'Source NetSuite'!$A:$A,0)),"")</f>
        <v>סד יד דו צדדי</v>
      </c>
      <c r="C9" s="9" t="n">
        <f aca="false">SUMIF('Source NetSuite'!$A:$A,$A9,'Source NetSuite'!$C:$C)</f>
        <v>1741</v>
      </c>
      <c r="D9" s="9" t="n">
        <f aca="false">SUMIF('Source NetSuite'!$A:$A,$A9,'Source NetSuite'!$E:$E)</f>
        <v>471</v>
      </c>
      <c r="E9" s="9" t="n">
        <f aca="false">D9*$J$5</f>
        <v>594.947368421053</v>
      </c>
      <c r="F9" s="9" t="n">
        <f aca="false">E9-C9</f>
        <v>-1146.05263157895</v>
      </c>
      <c r="G9" s="10" t="n">
        <f aca="false">IF(AND(C9=0,E9=0),0,IF(C9=0,"New",(E9-C9)/C9))</f>
        <v>-0.658272620091297</v>
      </c>
      <c r="H9" s="9" t="n">
        <f aca="false">SUMIF('Source NetSuite'!$A:$A,$A9,'Source NetSuite'!$D:$D)</f>
        <v>79215.5</v>
      </c>
      <c r="I9" s="9" t="n">
        <f aca="false">SUMIF('Source NetSuite'!$A:$A,$A9,'Source NetSuite'!$F:$F)</f>
        <v>21430.5</v>
      </c>
      <c r="J9" s="9" t="n">
        <f aca="false">I9*$J$5</f>
        <v>27070.1052631579</v>
      </c>
      <c r="K9" s="9" t="n">
        <f aca="false">J9-H9</f>
        <v>-52145.3947368421</v>
      </c>
      <c r="L9" s="10" t="n">
        <f aca="false">IF(AND(H9=0,J9=0),0,IF(H9=0,"New",(J9-H9)/H9))</f>
        <v>-0.658272620091297</v>
      </c>
      <c r="M9" s="8" t="str">
        <f aca="false">IF(AND(OR(C9&lt;&gt;0,H9&lt;&gt;0),D9=0,I9=0),"DROP",IF(AND(OR(D9&lt;&gt;0,I9&lt;&gt;0),C9=0,H9=0),"NEW",""))</f>
        <v/>
      </c>
    </row>
    <row r="10" customFormat="false" ht="15" hidden="false" customHeight="true" outlineLevel="0" collapsed="false">
      <c r="A10" s="8" t="s">
        <v>162</v>
      </c>
      <c r="B10" s="8" t="str">
        <f aca="false">IFERROR(INDEX('Source NetSuite'!$B:$B,MATCH($A10,'Source NetSuite'!$A:$A,0)),"")</f>
        <v>סד לתמיכה פרק כף יד ואגודל</v>
      </c>
      <c r="C10" s="9" t="n">
        <f aca="false">SUMIF('Source NetSuite'!$A:$A,$A10,'Source NetSuite'!$C:$C)</f>
        <v>671</v>
      </c>
      <c r="D10" s="9" t="n">
        <f aca="false">SUMIF('Source NetSuite'!$A:$A,$A10,'Source NetSuite'!$E:$E)</f>
        <v>218</v>
      </c>
      <c r="E10" s="9" t="n">
        <f aca="false">D10*$J$5</f>
        <v>275.368421052632</v>
      </c>
      <c r="F10" s="9" t="n">
        <f aca="false">E10-C10</f>
        <v>-395.631578947368</v>
      </c>
      <c r="G10" s="10" t="n">
        <f aca="false">IF(AND(C10=0,E10=0),0,IF(C10=0,"New",(E10-C10)/C10))</f>
        <v>-0.589614871754647</v>
      </c>
      <c r="H10" s="9" t="n">
        <f aca="false">SUMIF('Source NetSuite'!$A:$A,$A10,'Source NetSuite'!$D:$D)</f>
        <v>52203.8</v>
      </c>
      <c r="I10" s="9" t="n">
        <f aca="false">SUMIF('Source NetSuite'!$A:$A,$A10,'Source NetSuite'!$F:$F)</f>
        <v>16960.4</v>
      </c>
      <c r="J10" s="9" t="n">
        <f aca="false">I10*$J$5</f>
        <v>21423.6631578947</v>
      </c>
      <c r="K10" s="9" t="n">
        <f aca="false">J10-H10</f>
        <v>-30780.1368421053</v>
      </c>
      <c r="L10" s="10" t="n">
        <f aca="false">IF(AND(H10=0,J10=0),0,IF(H10=0,"New",(J10-H10)/H10))</f>
        <v>-0.589614871754647</v>
      </c>
      <c r="M10" s="8" t="str">
        <f aca="false">IF(AND(OR(C10&lt;&gt;0,H10&lt;&gt;0),D10=0,I10=0),"DROP",IF(AND(OR(D10&lt;&gt;0,I10&lt;&gt;0),C10=0,H10=0),"NEW",""))</f>
        <v/>
      </c>
    </row>
    <row r="11" customFormat="false" ht="15" hidden="false" customHeight="true" outlineLevel="0" collapsed="false">
      <c r="A11" s="8" t="s">
        <v>163</v>
      </c>
      <c r="B11" s="8" t="str">
        <f aca="false">IFERROR(INDEX('Source NetSuite'!$B:$B,MATCH($A11,'Source NetSuite'!$A:$A,0)),"")</f>
        <v>חגורת גב אפורה</v>
      </c>
      <c r="C11" s="9" t="n">
        <f aca="false">SUMIF('Source NetSuite'!$A:$A,$A11,'Source NetSuite'!$C:$C)</f>
        <v>392</v>
      </c>
      <c r="D11" s="9" t="n">
        <f aca="false">SUMIF('Source NetSuite'!$A:$A,$A11,'Source NetSuite'!$E:$E)</f>
        <v>63</v>
      </c>
      <c r="E11" s="9" t="n">
        <f aca="false">D11*$J$5</f>
        <v>79.5789473684211</v>
      </c>
      <c r="F11" s="9" t="n">
        <f aca="false">E11-C11</f>
        <v>-312.421052631579</v>
      </c>
      <c r="G11" s="10" t="n">
        <f aca="false">IF(AND(C11=0,E11=0),0,IF(C11=0,"New",(E11-C11)/C11))</f>
        <v>-0.796992481203008</v>
      </c>
      <c r="H11" s="9" t="n">
        <f aca="false">SUMIF('Source NetSuite'!$A:$A,$A11,'Source NetSuite'!$D:$D)</f>
        <v>25480</v>
      </c>
      <c r="I11" s="9" t="n">
        <f aca="false">SUMIF('Source NetSuite'!$A:$A,$A11,'Source NetSuite'!$F:$F)</f>
        <v>4277.36</v>
      </c>
      <c r="J11" s="9" t="n">
        <f aca="false">I11*$J$5</f>
        <v>5402.98105263158</v>
      </c>
      <c r="K11" s="9" t="n">
        <f aca="false">J11-H11</f>
        <v>-20077.0189473684</v>
      </c>
      <c r="L11" s="10" t="n">
        <f aca="false">IF(AND(H11=0,J11=0),0,IF(H11=0,"New",(J11-H11)/H11))</f>
        <v>-0.787952077997191</v>
      </c>
      <c r="M11" s="8" t="str">
        <f aca="false">IF(AND(OR(C11&lt;&gt;0,H11&lt;&gt;0),D11=0,I11=0),"DROP",IF(AND(OR(D11&lt;&gt;0,I11&lt;&gt;0),C11=0,H11=0),"NEW",""))</f>
        <v/>
      </c>
    </row>
    <row r="12" customFormat="false" ht="15" hidden="false" customHeight="true" outlineLevel="0" collapsed="false">
      <c r="A12" s="8" t="s">
        <v>164</v>
      </c>
      <c r="B12" s="8" t="str">
        <f aca="false">IFERROR(INDEX('Source NetSuite'!$B:$B,MATCH($A12,'Source NetSuite'!$A:$A,0)),"")</f>
        <v>כרית סיליקון לעקב</v>
      </c>
      <c r="C12" s="9" t="n">
        <f aca="false">SUMIF('Source NetSuite'!$A:$A,$A12,'Source NetSuite'!$C:$C)</f>
        <v>293</v>
      </c>
      <c r="D12" s="9" t="n">
        <f aca="false">SUMIF('Source NetSuite'!$A:$A,$A12,'Source NetSuite'!$E:$E)</f>
        <v>62</v>
      </c>
      <c r="E12" s="9" t="n">
        <f aca="false">D12*$J$5</f>
        <v>78.3157894736842</v>
      </c>
      <c r="F12" s="9" t="n">
        <f aca="false">E12-C12</f>
        <v>-214.684210526316</v>
      </c>
      <c r="G12" s="10" t="n">
        <f aca="false">IF(AND(C12=0,E12=0),0,IF(C12=0,"New",(E12-C12)/C12))</f>
        <v>-0.732710616130771</v>
      </c>
      <c r="H12" s="9" t="n">
        <f aca="false">SUMIF('Source NetSuite'!$A:$A,$A12,'Source NetSuite'!$D:$D)</f>
        <v>18538.11</v>
      </c>
      <c r="I12" s="9" t="n">
        <f aca="false">SUMIF('Source NetSuite'!$A:$A,$A12,'Source NetSuite'!$F:$F)</f>
        <v>4042.32</v>
      </c>
      <c r="J12" s="9" t="n">
        <f aca="false">I12*$J$5</f>
        <v>5106.08842105263</v>
      </c>
      <c r="K12" s="9" t="n">
        <f aca="false">J12-H12</f>
        <v>-13432.0215789474</v>
      </c>
      <c r="L12" s="10" t="n">
        <f aca="false">IF(AND(H12=0,J12=0),0,IF(H12=0,"New",(J12-H12)/H12))</f>
        <v>-0.724562621483386</v>
      </c>
      <c r="M12" s="8" t="str">
        <f aca="false">IF(AND(OR(C12&lt;&gt;0,H12&lt;&gt;0),D12=0,I12=0),"DROP",IF(AND(OR(D12&lt;&gt;0,I12&lt;&gt;0),C12=0,H12=0),"NEW",""))</f>
        <v/>
      </c>
    </row>
    <row r="13" customFormat="false" ht="15" hidden="false" customHeight="true" outlineLevel="0" collapsed="false">
      <c r="A13" s="8" t="s">
        <v>165</v>
      </c>
      <c r="B13" s="8" t="str">
        <f aca="false">IFERROR(INDEX('Source NetSuite'!$B:$B,MATCH($A13,'Source NetSuite'!$A:$A,0)),"")</f>
        <v>חגורת גב אפורה</v>
      </c>
      <c r="C13" s="9" t="n">
        <f aca="false">SUMIF('Source NetSuite'!$A:$A,$A13,'Source NetSuite'!$C:$C)</f>
        <v>279</v>
      </c>
      <c r="D13" s="9" t="n">
        <f aca="false">SUMIF('Source NetSuite'!$A:$A,$A13,'Source NetSuite'!$E:$E)</f>
        <v>54</v>
      </c>
      <c r="E13" s="9" t="n">
        <f aca="false">D13*$J$5</f>
        <v>68.2105263157895</v>
      </c>
      <c r="F13" s="9" t="n">
        <f aca="false">E13-C13</f>
        <v>-210.789473684211</v>
      </c>
      <c r="G13" s="10" t="n">
        <f aca="false">IF(AND(C13=0,E13=0),0,IF(C13=0,"New",(E13-C13)/C13))</f>
        <v>-0.755517826825127</v>
      </c>
      <c r="H13" s="9" t="n">
        <f aca="false">SUMIF('Source NetSuite'!$A:$A,$A13,'Source NetSuite'!$D:$D)</f>
        <v>18135</v>
      </c>
      <c r="I13" s="9" t="n">
        <f aca="false">SUMIF('Source NetSuite'!$A:$A,$A13,'Source NetSuite'!$F:$F)</f>
        <v>3692.36</v>
      </c>
      <c r="J13" s="9" t="n">
        <f aca="false">I13*$J$5</f>
        <v>4664.03368421053</v>
      </c>
      <c r="K13" s="9" t="n">
        <f aca="false">J13-H13</f>
        <v>-13470.9663157895</v>
      </c>
      <c r="L13" s="10" t="n">
        <f aca="false">IF(AND(H13=0,J13=0),0,IF(H13=0,"New",(J13-H13)/H13))</f>
        <v>-0.742815898306561</v>
      </c>
      <c r="M13" s="8" t="str">
        <f aca="false">IF(AND(OR(C13&lt;&gt;0,H13&lt;&gt;0),D13=0,I13=0),"DROP",IF(AND(OR(D13&lt;&gt;0,I13&lt;&gt;0),C13=0,H13=0),"NEW",""))</f>
        <v/>
      </c>
    </row>
    <row r="14" customFormat="false" ht="15" hidden="false" customHeight="true" outlineLevel="0" collapsed="false">
      <c r="A14" s="8" t="s">
        <v>166</v>
      </c>
      <c r="B14" s="8" t="str">
        <f aca="false">IFERROR(INDEX('Source NetSuite'!$B:$B,MATCH($A14,'Source NetSuite'!$A:$A,0)),"")</f>
        <v>כרית סיליקון לעקב</v>
      </c>
      <c r="C14" s="9" t="n">
        <f aca="false">SUMIF('Source NetSuite'!$A:$A,$A14,'Source NetSuite'!$C:$C)</f>
        <v>294</v>
      </c>
      <c r="D14" s="9" t="n">
        <f aca="false">SUMIF('Source NetSuite'!$A:$A,$A14,'Source NetSuite'!$E:$E)</f>
        <v>68</v>
      </c>
      <c r="E14" s="9" t="n">
        <f aca="false">D14*$J$5</f>
        <v>85.8947368421053</v>
      </c>
      <c r="F14" s="9" t="n">
        <f aca="false">E14-C14</f>
        <v>-208.105263157895</v>
      </c>
      <c r="G14" s="10" t="n">
        <f aca="false">IF(AND(C14=0,E14=0),0,IF(C14=0,"New",(E14-C14)/C14))</f>
        <v>-0.707841031149302</v>
      </c>
      <c r="H14" s="9" t="n">
        <f aca="false">SUMIF('Source NetSuite'!$A:$A,$A14,'Source NetSuite'!$D:$D)</f>
        <v>18601.38</v>
      </c>
      <c r="I14" s="9" t="n">
        <f aca="false">SUMIF('Source NetSuite'!$A:$A,$A14,'Source NetSuite'!$F:$F)</f>
        <v>4421.94</v>
      </c>
      <c r="J14" s="9" t="n">
        <f aca="false">I14*$J$5</f>
        <v>5585.60842105263</v>
      </c>
      <c r="K14" s="9" t="n">
        <f aca="false">J14-H14</f>
        <v>-13015.7715789474</v>
      </c>
      <c r="L14" s="10" t="n">
        <f aca="false">IF(AND(H14=0,J14=0),0,IF(H14=0,"New",(J14-H14)/H14))</f>
        <v>-0.699720750769425</v>
      </c>
      <c r="M14" s="8" t="str">
        <f aca="false">IF(AND(OR(C14&lt;&gt;0,H14&lt;&gt;0),D14=0,I14=0),"DROP",IF(AND(OR(D14&lt;&gt;0,I14&lt;&gt;0),C14=0,H14=0),"NEW",""))</f>
        <v/>
      </c>
    </row>
    <row r="15" customFormat="false" ht="15" hidden="false" customHeight="true" outlineLevel="0" collapsed="false">
      <c r="A15" s="8" t="s">
        <v>167</v>
      </c>
      <c r="B15" s="8" t="str">
        <f aca="false">IFERROR(INDEX('Source NetSuite'!$B:$B,MATCH($A15,'Source NetSuite'!$A:$A,0)),"")</f>
        <v>טלק לכף הרגל מועשר באלוורה</v>
      </c>
      <c r="C15" s="9" t="n">
        <f aca="false">SUMIF('Source NetSuite'!$A:$A,$A15,'Source NetSuite'!$C:$C)</f>
        <v>1180</v>
      </c>
      <c r="D15" s="9" t="n">
        <f aca="false">SUMIF('Source NetSuite'!$A:$A,$A15,'Source NetSuite'!$E:$E)</f>
        <v>192</v>
      </c>
      <c r="E15" s="9" t="n">
        <f aca="false">D15*$J$5</f>
        <v>242.526315789474</v>
      </c>
      <c r="F15" s="9" t="n">
        <f aca="false">E15-C15</f>
        <v>-937.473684210526</v>
      </c>
      <c r="G15" s="10" t="n">
        <f aca="false">IF(AND(C15=0,E15=0),0,IF(C15=0,"New",(E15-C15)/C15))</f>
        <v>-0.794469223907226</v>
      </c>
      <c r="H15" s="9" t="n">
        <f aca="false">SUMIF('Source NetSuite'!$A:$A,$A15,'Source NetSuite'!$D:$D)</f>
        <v>15812</v>
      </c>
      <c r="I15" s="9" t="n">
        <f aca="false">SUMIF('Source NetSuite'!$A:$A,$A15,'Source NetSuite'!$F:$F)</f>
        <v>2572.8</v>
      </c>
      <c r="J15" s="9" t="n">
        <f aca="false">I15*$J$5</f>
        <v>3249.85263157895</v>
      </c>
      <c r="K15" s="9" t="n">
        <f aca="false">J15-H15</f>
        <v>-12562.1473684211</v>
      </c>
      <c r="L15" s="10" t="n">
        <f aca="false">IF(AND(H15=0,J15=0),0,IF(H15=0,"New",(J15-H15)/H15))</f>
        <v>-0.794469223907226</v>
      </c>
      <c r="M15" s="8" t="str">
        <f aca="false">IF(AND(OR(C15&lt;&gt;0,H15&lt;&gt;0),D15=0,I15=0),"DROP",IF(AND(OR(D15&lt;&gt;0,I15&lt;&gt;0),C15=0,H15=0),"NEW",""))</f>
        <v/>
      </c>
    </row>
    <row r="16" customFormat="false" ht="15" hidden="false" customHeight="true" outlineLevel="0" collapsed="false">
      <c r="A16" s="8" t="s">
        <v>168</v>
      </c>
      <c r="B16" s="8" t="str">
        <f aca="false">IFERROR(INDEX('Source NetSuite'!$B:$B,MATCH($A16,'Source NetSuite'!$A:$A,0)),"")</f>
        <v>גרבי טיסה</v>
      </c>
      <c r="C16" s="9" t="n">
        <f aca="false">SUMIF('Source NetSuite'!$A:$A,$A16,'Source NetSuite'!$C:$C)</f>
        <v>312</v>
      </c>
      <c r="D16" s="9" t="n">
        <f aca="false">SUMIF('Source NetSuite'!$A:$A,$A16,'Source NetSuite'!$E:$E)</f>
        <v>-2</v>
      </c>
      <c r="E16" s="9" t="n">
        <f aca="false">D16*$J$5</f>
        <v>-2.52631578947368</v>
      </c>
      <c r="F16" s="9" t="n">
        <f aca="false">E16-C16</f>
        <v>-314.526315789474</v>
      </c>
      <c r="G16" s="10" t="n">
        <f aca="false">IF(AND(C16=0,E16=0),0,IF(C16=0,"New",(E16-C16)/C16))</f>
        <v>-1.0080971659919</v>
      </c>
      <c r="H16" s="9" t="n">
        <f aca="false">SUMIF('Source NetSuite'!$A:$A,$A16,'Source NetSuite'!$D:$D)</f>
        <v>13044.72</v>
      </c>
      <c r="I16" s="9" t="n">
        <f aca="false">SUMIF('Source NetSuite'!$A:$A,$A16,'Source NetSuite'!$F:$F)</f>
        <v>-83.62</v>
      </c>
      <c r="J16" s="9" t="n">
        <f aca="false">I16*$J$5</f>
        <v>-105.625263157895</v>
      </c>
      <c r="K16" s="9" t="n">
        <f aca="false">J16-H16</f>
        <v>-13150.3452631579</v>
      </c>
      <c r="L16" s="10" t="n">
        <f aca="false">IF(AND(H16=0,J16=0),0,IF(H16=0,"New",(J16-H16)/H16))</f>
        <v>-1.0080971659919</v>
      </c>
      <c r="M16" s="8" t="str">
        <f aca="false">IF(AND(OR(C16&lt;&gt;0,H16&lt;&gt;0),D16=0,I16=0),"DROP",IF(AND(OR(D16&lt;&gt;0,I16&lt;&gt;0),C16=0,H16=0),"NEW",""))</f>
        <v/>
      </c>
    </row>
    <row r="17" customFormat="false" ht="15" hidden="false" customHeight="true" outlineLevel="0" collapsed="false">
      <c r="A17" s="8" t="s">
        <v>169</v>
      </c>
      <c r="B17" s="8" t="str">
        <f aca="false">IFERROR(INDEX('Source NetSuite'!$B:$B,MATCH($A17,'Source NetSuite'!$A:$A,0)),"")</f>
        <v>גרבי טיסה</v>
      </c>
      <c r="C17" s="9" t="n">
        <f aca="false">SUMIF('Source NetSuite'!$A:$A,$A17,'Source NetSuite'!$C:$C)</f>
        <v>284</v>
      </c>
      <c r="D17" s="9" t="n">
        <f aca="false">SUMIF('Source NetSuite'!$A:$A,$A17,'Source NetSuite'!$E:$E)</f>
        <v>-2</v>
      </c>
      <c r="E17" s="9" t="n">
        <f aca="false">D17*$J$5</f>
        <v>-2.52631578947368</v>
      </c>
      <c r="F17" s="9" t="n">
        <f aca="false">E17-C17</f>
        <v>-286.526315789474</v>
      </c>
      <c r="G17" s="10" t="n">
        <f aca="false">IF(AND(C17=0,E17=0),0,IF(C17=0,"New",(E17-C17)/C17))</f>
        <v>-1.00889547813195</v>
      </c>
      <c r="H17" s="9" t="n">
        <f aca="false">SUMIF('Source NetSuite'!$A:$A,$A17,'Source NetSuite'!$D:$D)</f>
        <v>11874.04</v>
      </c>
      <c r="I17" s="9" t="n">
        <f aca="false">SUMIF('Source NetSuite'!$A:$A,$A17,'Source NetSuite'!$F:$F)</f>
        <v>-83.62</v>
      </c>
      <c r="J17" s="9" t="n">
        <f aca="false">I17*$J$5</f>
        <v>-105.625263157895</v>
      </c>
      <c r="K17" s="9" t="n">
        <f aca="false">J17-H17</f>
        <v>-11979.6652631579</v>
      </c>
      <c r="L17" s="10" t="n">
        <f aca="false">IF(AND(H17=0,J17=0),0,IF(H17=0,"New",(J17-H17)/H17))</f>
        <v>-1.00889547813195</v>
      </c>
      <c r="M17" s="8" t="str">
        <f aca="false">IF(AND(OR(C17&lt;&gt;0,H17&lt;&gt;0),D17=0,I17=0),"DROP",IF(AND(OR(D17&lt;&gt;0,I17&lt;&gt;0),C17=0,H17=0),"NEW",""))</f>
        <v/>
      </c>
    </row>
    <row r="18" customFormat="false" ht="15" hidden="false" customHeight="true" outlineLevel="0" collapsed="false">
      <c r="A18" s="8" t="s">
        <v>170</v>
      </c>
      <c r="B18" s="8" t="str">
        <f aca="false">IFERROR(INDEX('Source NetSuite'!$B:$B,MATCH($A18,'Source NetSuite'!$A:$A,0)),"")</f>
        <v>דאודורנט ספרי לנעל 100 מל</v>
      </c>
      <c r="C18" s="9" t="n">
        <f aca="false">SUMIF('Source NetSuite'!$A:$A,$A18,'Source NetSuite'!$C:$C)</f>
        <v>978</v>
      </c>
      <c r="D18" s="9" t="n">
        <f aca="false">SUMIF('Source NetSuite'!$A:$A,$A18,'Source NetSuite'!$E:$E)</f>
        <v>168</v>
      </c>
      <c r="E18" s="9" t="n">
        <f aca="false">D18*$J$5</f>
        <v>212.210526315789</v>
      </c>
      <c r="F18" s="9" t="n">
        <f aca="false">E18-C18</f>
        <v>-765.789473684211</v>
      </c>
      <c r="G18" s="10" t="n">
        <f aca="false">IF(AND(C18=0,E18=0),0,IF(C18=0,"New",(E18-C18)/C18))</f>
        <v>-0.783015821762996</v>
      </c>
      <c r="H18" s="9" t="n">
        <f aca="false">SUMIF('Source NetSuite'!$A:$A,$A18,'Source NetSuite'!$D:$D)</f>
        <v>14474.4</v>
      </c>
      <c r="I18" s="9" t="n">
        <f aca="false">SUMIF('Source NetSuite'!$A:$A,$A18,'Source NetSuite'!$F:$F)</f>
        <v>2569.74</v>
      </c>
      <c r="J18" s="9" t="n">
        <f aca="false">I18*$J$5</f>
        <v>3245.98736842105</v>
      </c>
      <c r="K18" s="9" t="n">
        <f aca="false">J18-H18</f>
        <v>-11228.4126315789</v>
      </c>
      <c r="L18" s="10" t="n">
        <f aca="false">IF(AND(H18=0,J18=0),0,IF(H18=0,"New",(J18-H18)/H18))</f>
        <v>-0.775742872352495</v>
      </c>
      <c r="M18" s="8" t="str">
        <f aca="false">IF(AND(OR(C18&lt;&gt;0,H18&lt;&gt;0),D18=0,I18=0),"DROP",IF(AND(OR(D18&lt;&gt;0,I18&lt;&gt;0),C18=0,H18=0),"NEW",""))</f>
        <v/>
      </c>
    </row>
    <row r="19" customFormat="false" ht="15" hidden="false" customHeight="true" outlineLevel="0" collapsed="false">
      <c r="A19" s="8" t="s">
        <v>171</v>
      </c>
      <c r="B19" s="8" t="str">
        <f aca="false">IFERROR(INDEX('Source NetSuite'!$B:$B,MATCH($A19,'Source NetSuite'!$A:$A,0)),"")</f>
        <v>מדרס מג'ל</v>
      </c>
      <c r="C19" s="9" t="n">
        <f aca="false">SUMIF('Source NetSuite'!$A:$A,$A19,'Source NetSuite'!$C:$C)</f>
        <v>306</v>
      </c>
      <c r="D19" s="9" t="n">
        <f aca="false">SUMIF('Source NetSuite'!$A:$A,$A19,'Source NetSuite'!$E:$E)</f>
        <v>76</v>
      </c>
      <c r="E19" s="9" t="n">
        <f aca="false">D19*$J$5</f>
        <v>96</v>
      </c>
      <c r="F19" s="9" t="n">
        <f aca="false">E19-C19</f>
        <v>-210</v>
      </c>
      <c r="G19" s="10" t="n">
        <f aca="false">IF(AND(C19=0,E19=0),0,IF(C19=0,"New",(E19-C19)/C19))</f>
        <v>-0.686274509803922</v>
      </c>
      <c r="H19" s="9" t="n">
        <f aca="false">SUMIF('Source NetSuite'!$A:$A,$A19,'Source NetSuite'!$D:$D)</f>
        <v>14452.38</v>
      </c>
      <c r="I19" s="9" t="n">
        <f aca="false">SUMIF('Source NetSuite'!$A:$A,$A19,'Source NetSuite'!$F:$F)</f>
        <v>3589.48</v>
      </c>
      <c r="J19" s="9" t="n">
        <f aca="false">I19*$J$5</f>
        <v>4534.08</v>
      </c>
      <c r="K19" s="9" t="n">
        <f aca="false">J19-H19</f>
        <v>-9918.3</v>
      </c>
      <c r="L19" s="10" t="n">
        <f aca="false">IF(AND(H19=0,J19=0),0,IF(H19=0,"New",(J19-H19)/H19))</f>
        <v>-0.686274509803922</v>
      </c>
      <c r="M19" s="8" t="str">
        <f aca="false">IF(AND(OR(C19&lt;&gt;0,H19&lt;&gt;0),D19=0,I19=0),"DROP",IF(AND(OR(D19&lt;&gt;0,I19&lt;&gt;0),C19=0,H19=0),"NEW",""))</f>
        <v/>
      </c>
    </row>
    <row r="20" customFormat="false" ht="15" hidden="false" customHeight="true" outlineLevel="0" collapsed="false">
      <c r="A20" s="8" t="s">
        <v>172</v>
      </c>
      <c r="B20" s="8" t="str">
        <f aca="false">IFERROR(INDEX('Source NetSuite'!$B:$B,MATCH($A20,'Source NetSuite'!$A:$A,0)),"")</f>
        <v>שרוול מסיליקון ל</v>
      </c>
      <c r="C20" s="9" t="n">
        <f aca="false">SUMIF('Source NetSuite'!$A:$A,$A20,'Source NetSuite'!$C:$C)</f>
        <v>1110</v>
      </c>
      <c r="D20" s="9" t="n">
        <f aca="false">SUMIF('Source NetSuite'!$A:$A,$A20,'Source NetSuite'!$E:$E)</f>
        <v>257</v>
      </c>
      <c r="E20" s="9" t="n">
        <f aca="false">D20*$J$5</f>
        <v>324.631578947368</v>
      </c>
      <c r="F20" s="9" t="n">
        <f aca="false">E20-C20</f>
        <v>-785.368421052632</v>
      </c>
      <c r="G20" s="10" t="n">
        <f aca="false">IF(AND(C20=0,E20=0),0,IF(C20=0,"New",(E20-C20)/C20))</f>
        <v>-0.707539118065434</v>
      </c>
      <c r="H20" s="9" t="n">
        <f aca="false">SUMIF('Source NetSuite'!$A:$A,$A20,'Source NetSuite'!$D:$D)</f>
        <v>13519.8</v>
      </c>
      <c r="I20" s="9" t="n">
        <f aca="false">SUMIF('Source NetSuite'!$A:$A,$A20,'Source NetSuite'!$F:$F)</f>
        <v>3168.54</v>
      </c>
      <c r="J20" s="9" t="n">
        <f aca="false">I20*$J$5</f>
        <v>4002.36631578947</v>
      </c>
      <c r="K20" s="9" t="n">
        <f aca="false">J20-H20</f>
        <v>-9517.43368421053</v>
      </c>
      <c r="L20" s="10" t="n">
        <f aca="false">IF(AND(H20=0,J20=0),0,IF(H20=0,"New",(J20-H20)/H20))</f>
        <v>-0.703962609225767</v>
      </c>
      <c r="M20" s="8" t="str">
        <f aca="false">IF(AND(OR(C20&lt;&gt;0,H20&lt;&gt;0),D20=0,I20=0),"DROP",IF(AND(OR(D20&lt;&gt;0,I20&lt;&gt;0),C20=0,H20=0),"NEW",""))</f>
        <v/>
      </c>
    </row>
    <row r="21" customFormat="false" ht="15" hidden="false" customHeight="true" outlineLevel="0" collapsed="false">
      <c r="A21" s="8" t="s">
        <v>173</v>
      </c>
      <c r="B21" s="8" t="str">
        <f aca="false">IFERROR(INDEX('Source NetSuite'!$B:$B,MATCH($A21,'Source NetSuite'!$A:$A,0)),"")</f>
        <v>חגורה אוורירית איטלקית</v>
      </c>
      <c r="C21" s="9" t="n">
        <f aca="false">SUMIF('Source NetSuite'!$A:$A,$A21,'Source NetSuite'!$C:$C)</f>
        <v>67</v>
      </c>
      <c r="D21" s="9" t="n">
        <f aca="false">SUMIF('Source NetSuite'!$A:$A,$A21,'Source NetSuite'!$E:$E)</f>
        <v>11</v>
      </c>
      <c r="E21" s="9" t="n">
        <f aca="false">D21*$J$5</f>
        <v>13.8947368421053</v>
      </c>
      <c r="F21" s="9" t="n">
        <f aca="false">E21-C21</f>
        <v>-53.1052631578947</v>
      </c>
      <c r="G21" s="10" t="n">
        <f aca="false">IF(AND(C21=0,E21=0),0,IF(C21=0,"New",(E21-C21)/C21))</f>
        <v>-0.79261586802828</v>
      </c>
      <c r="H21" s="9" t="n">
        <f aca="false">SUMIF('Source NetSuite'!$A:$A,$A21,'Source NetSuite'!$D:$D)</f>
        <v>11758.5</v>
      </c>
      <c r="I21" s="9" t="n">
        <f aca="false">SUMIF('Source NetSuite'!$A:$A,$A21,'Source NetSuite'!$F:$F)</f>
        <v>1930.5</v>
      </c>
      <c r="J21" s="9" t="n">
        <f aca="false">I21*$J$5</f>
        <v>2438.52631578947</v>
      </c>
      <c r="K21" s="9" t="n">
        <f aca="false">J21-H21</f>
        <v>-9319.97368421053</v>
      </c>
      <c r="L21" s="10" t="n">
        <f aca="false">IF(AND(H21=0,J21=0),0,IF(H21=0,"New",(J21-H21)/H21))</f>
        <v>-0.79261586802828</v>
      </c>
      <c r="M21" s="8" t="str">
        <f aca="false">IF(AND(OR(C21&lt;&gt;0,H21&lt;&gt;0),D21=0,I21=0),"DROP",IF(AND(OR(D21&lt;&gt;0,I21&lt;&gt;0),C21=0,H21=0),"NEW",""))</f>
        <v/>
      </c>
    </row>
    <row r="22" customFormat="false" ht="15" hidden="false" customHeight="true" outlineLevel="0" collapsed="false">
      <c r="A22" s="8" t="s">
        <v>174</v>
      </c>
      <c r="B22" s="8" t="str">
        <f aca="false">IFERROR(INDEX('Source NetSuite'!$B:$B,MATCH($A22,'Source NetSuite'!$A:$A,0)),"")</f>
        <v>מדרס מג'ל</v>
      </c>
      <c r="C22" s="9" t="n">
        <f aca="false">SUMIF('Source NetSuite'!$A:$A,$A22,'Source NetSuite'!$C:$C)</f>
        <v>229</v>
      </c>
      <c r="D22" s="9" t="n">
        <f aca="false">SUMIF('Source NetSuite'!$A:$A,$A22,'Source NetSuite'!$E:$E)</f>
        <v>33</v>
      </c>
      <c r="E22" s="9" t="n">
        <f aca="false">D22*$J$5</f>
        <v>41.6842105263158</v>
      </c>
      <c r="F22" s="9" t="n">
        <f aca="false">E22-C22</f>
        <v>-187.315789473684</v>
      </c>
      <c r="G22" s="10" t="n">
        <f aca="false">IF(AND(C22=0,E22=0),0,IF(C22=0,"New",(E22-C22)/C22))</f>
        <v>-0.817972879797748</v>
      </c>
      <c r="H22" s="9" t="n">
        <f aca="false">SUMIF('Source NetSuite'!$A:$A,$A22,'Source NetSuite'!$D:$D)</f>
        <v>10815.67</v>
      </c>
      <c r="I22" s="9" t="n">
        <f aca="false">SUMIF('Source NetSuite'!$A:$A,$A22,'Source NetSuite'!$F:$F)</f>
        <v>1558.59</v>
      </c>
      <c r="J22" s="9" t="n">
        <f aca="false">I22*$J$5</f>
        <v>1968.74526315789</v>
      </c>
      <c r="K22" s="9" t="n">
        <f aca="false">J22-H22</f>
        <v>-8846.92473684211</v>
      </c>
      <c r="L22" s="10" t="n">
        <f aca="false">IF(AND(H22=0,J22=0),0,IF(H22=0,"New",(J22-H22)/H22))</f>
        <v>-0.817972879797748</v>
      </c>
      <c r="M22" s="8" t="str">
        <f aca="false">IF(AND(OR(C22&lt;&gt;0,H22&lt;&gt;0),D22=0,I22=0),"DROP",IF(AND(OR(D22&lt;&gt;0,I22&lt;&gt;0),C22=0,H22=0),"NEW",""))</f>
        <v/>
      </c>
    </row>
    <row r="23" customFormat="false" ht="15" hidden="false" customHeight="true" outlineLevel="0" collapsed="false">
      <c r="A23" s="8" t="s">
        <v>175</v>
      </c>
      <c r="B23" s="8" t="str">
        <f aca="false">IFERROR(INDEX('Source NetSuite'!$B:$B,MATCH($A23,'Source NetSuite'!$A:$A,0)),"")</f>
        <v>חגורה אוורירית איטלקית</v>
      </c>
      <c r="C23" s="9" t="n">
        <f aca="false">SUMIF('Source NetSuite'!$A:$A,$A23,'Source NetSuite'!$C:$C)</f>
        <v>64</v>
      </c>
      <c r="D23" s="9" t="n">
        <f aca="false">SUMIF('Source NetSuite'!$A:$A,$A23,'Source NetSuite'!$E:$E)</f>
        <v>12</v>
      </c>
      <c r="E23" s="9" t="n">
        <f aca="false">D23*$J$5</f>
        <v>15.1578947368421</v>
      </c>
      <c r="F23" s="9" t="n">
        <f aca="false">E23-C23</f>
        <v>-48.8421052631579</v>
      </c>
      <c r="G23" s="10" t="n">
        <f aca="false">IF(AND(C23=0,E23=0),0,IF(C23=0,"New",(E23-C23)/C23))</f>
        <v>-0.763157894736842</v>
      </c>
      <c r="H23" s="9" t="n">
        <f aca="false">SUMIF('Source NetSuite'!$A:$A,$A23,'Source NetSuite'!$D:$D)</f>
        <v>11232</v>
      </c>
      <c r="I23" s="9" t="n">
        <f aca="false">SUMIF('Source NetSuite'!$A:$A,$A23,'Source NetSuite'!$F:$F)</f>
        <v>2106</v>
      </c>
      <c r="J23" s="9" t="n">
        <f aca="false">I23*$J$5</f>
        <v>2660.21052631579</v>
      </c>
      <c r="K23" s="9" t="n">
        <f aca="false">J23-H23</f>
        <v>-8571.78947368421</v>
      </c>
      <c r="L23" s="10" t="n">
        <f aca="false">IF(AND(H23=0,J23=0),0,IF(H23=0,"New",(J23-H23)/H23))</f>
        <v>-0.763157894736842</v>
      </c>
      <c r="M23" s="8" t="str">
        <f aca="false">IF(AND(OR(C23&lt;&gt;0,H23&lt;&gt;0),D23=0,I23=0),"DROP",IF(AND(OR(D23&lt;&gt;0,I23&lt;&gt;0),C23=0,H23=0),"NEW",""))</f>
        <v/>
      </c>
    </row>
    <row r="24" customFormat="false" ht="15" hidden="false" customHeight="true" outlineLevel="0" collapsed="false">
      <c r="A24" s="8" t="s">
        <v>176</v>
      </c>
      <c r="B24" s="8" t="str">
        <f aca="false">IFERROR(INDEX('Source NetSuite'!$B:$B,MATCH($A24,'Source NetSuite'!$A:$A,0)),"")</f>
        <v>מתלה יד-כיס</v>
      </c>
      <c r="C24" s="9" t="n">
        <f aca="false">SUMIF('Source NetSuite'!$A:$A,$A24,'Source NetSuite'!$C:$C)</f>
        <v>309</v>
      </c>
      <c r="D24" s="9" t="n">
        <f aca="false">SUMIF('Source NetSuite'!$A:$A,$A24,'Source NetSuite'!$E:$E)</f>
        <v>65</v>
      </c>
      <c r="E24" s="9" t="n">
        <f aca="false">D24*$J$5</f>
        <v>82.1052631578947</v>
      </c>
      <c r="F24" s="9" t="n">
        <f aca="false">E24-C24</f>
        <v>-226.894736842105</v>
      </c>
      <c r="G24" s="10" t="n">
        <f aca="false">IF(AND(C24=0,E24=0),0,IF(C24=0,"New",(E24-C24)/C24))</f>
        <v>-0.734287174246295</v>
      </c>
      <c r="H24" s="9" t="n">
        <f aca="false">SUMIF('Source NetSuite'!$A:$A,$A24,'Source NetSuite'!$D:$D)</f>
        <v>10815</v>
      </c>
      <c r="I24" s="9" t="n">
        <f aca="false">SUMIF('Source NetSuite'!$A:$A,$A24,'Source NetSuite'!$F:$F)</f>
        <v>2275</v>
      </c>
      <c r="J24" s="9" t="n">
        <f aca="false">I24*$J$5</f>
        <v>2873.68421052632</v>
      </c>
      <c r="K24" s="9" t="n">
        <f aca="false">J24-H24</f>
        <v>-7941.31578947368</v>
      </c>
      <c r="L24" s="10" t="n">
        <f aca="false">IF(AND(H24=0,J24=0),0,IF(H24=0,"New",(J24-H24)/H24))</f>
        <v>-0.734287174246295</v>
      </c>
      <c r="M24" s="8" t="str">
        <f aca="false">IF(AND(OR(C24&lt;&gt;0,H24&lt;&gt;0),D24=0,I24=0),"DROP",IF(AND(OR(D24&lt;&gt;0,I24&lt;&gt;0),C24=0,H24=0),"NEW",""))</f>
        <v/>
      </c>
    </row>
    <row r="25" customFormat="false" ht="15" hidden="false" customHeight="true" outlineLevel="0" collapsed="false">
      <c r="A25" s="8" t="s">
        <v>177</v>
      </c>
      <c r="B25" s="8" t="str">
        <f aca="false">IFERROR(INDEX('Source NetSuite'!$B:$B,MATCH($A25,'Source NetSuite'!$A:$A,0)),"")</f>
        <v>חגורה אוורירית איטלקית</v>
      </c>
      <c r="C25" s="9" t="n">
        <f aca="false">SUMIF('Source NetSuite'!$A:$A,$A25,'Source NetSuite'!$C:$C)</f>
        <v>52</v>
      </c>
      <c r="D25" s="9" t="n">
        <f aca="false">SUMIF('Source NetSuite'!$A:$A,$A25,'Source NetSuite'!$E:$E)</f>
        <v>4</v>
      </c>
      <c r="E25" s="9" t="n">
        <f aca="false">D25*$J$5</f>
        <v>5.05263157894737</v>
      </c>
      <c r="F25" s="9" t="n">
        <f aca="false">E25-C25</f>
        <v>-46.9473684210526</v>
      </c>
      <c r="G25" s="10" t="n">
        <f aca="false">IF(AND(C25=0,E25=0),0,IF(C25=0,"New",(E25-C25)/C25))</f>
        <v>-0.902834008097166</v>
      </c>
      <c r="H25" s="9" t="n">
        <f aca="false">SUMIF('Source NetSuite'!$A:$A,$A25,'Source NetSuite'!$D:$D)</f>
        <v>9126</v>
      </c>
      <c r="I25" s="9" t="n">
        <f aca="false">SUMIF('Source NetSuite'!$A:$A,$A25,'Source NetSuite'!$F:$F)</f>
        <v>702</v>
      </c>
      <c r="J25" s="9" t="n">
        <f aca="false">I25*$J$5</f>
        <v>886.736842105263</v>
      </c>
      <c r="K25" s="9" t="n">
        <f aca="false">J25-H25</f>
        <v>-8239.26315789474</v>
      </c>
      <c r="L25" s="10" t="n">
        <f aca="false">IF(AND(H25=0,J25=0),0,IF(H25=0,"New",(J25-H25)/H25))</f>
        <v>-0.902834008097166</v>
      </c>
      <c r="M25" s="8" t="str">
        <f aca="false">IF(AND(OR(C25&lt;&gt;0,H25&lt;&gt;0),D25=0,I25=0),"DROP",IF(AND(OR(D25&lt;&gt;0,I25&lt;&gt;0),C25=0,H25=0),"NEW",""))</f>
        <v/>
      </c>
    </row>
    <row r="26" customFormat="false" ht="15" hidden="false" customHeight="true" outlineLevel="0" collapsed="false">
      <c r="A26" s="8" t="s">
        <v>178</v>
      </c>
      <c r="B26" s="8" t="str">
        <f aca="false">IFERROR(INDEX('Source NetSuite'!$B:$B,MATCH($A26,'Source NetSuite'!$A:$A,0)),"")</f>
        <v>מתלה יד-כיס</v>
      </c>
      <c r="C26" s="9" t="n">
        <f aca="false">SUMIF('Source NetSuite'!$A:$A,$A26,'Source NetSuite'!$C:$C)</f>
        <v>345</v>
      </c>
      <c r="D26" s="9" t="n">
        <f aca="false">SUMIF('Source NetSuite'!$A:$A,$A26,'Source NetSuite'!$E:$E)</f>
        <v>106</v>
      </c>
      <c r="E26" s="9" t="n">
        <f aca="false">D26*$J$5</f>
        <v>133.894736842105</v>
      </c>
      <c r="F26" s="9" t="n">
        <f aca="false">E26-C26</f>
        <v>-211.105263157895</v>
      </c>
      <c r="G26" s="10" t="n">
        <f aca="false">IF(AND(C26=0,E26=0),0,IF(C26=0,"New",(E26-C26)/C26))</f>
        <v>-0.611899313501144</v>
      </c>
      <c r="H26" s="9" t="n">
        <f aca="false">SUMIF('Source NetSuite'!$A:$A,$A26,'Source NetSuite'!$D:$D)</f>
        <v>12075</v>
      </c>
      <c r="I26" s="9" t="n">
        <f aca="false">SUMIF('Source NetSuite'!$A:$A,$A26,'Source NetSuite'!$F:$F)</f>
        <v>3710</v>
      </c>
      <c r="J26" s="9" t="n">
        <f aca="false">I26*$J$5</f>
        <v>4686.31578947368</v>
      </c>
      <c r="K26" s="9" t="n">
        <f aca="false">J26-H26</f>
        <v>-7388.68421052632</v>
      </c>
      <c r="L26" s="10" t="n">
        <f aca="false">IF(AND(H26=0,J26=0),0,IF(H26=0,"New",(J26-H26)/H26))</f>
        <v>-0.611899313501144</v>
      </c>
      <c r="M26" s="8" t="str">
        <f aca="false">IF(AND(OR(C26&lt;&gt;0,H26&lt;&gt;0),D26=0,I26=0),"DROP",IF(AND(OR(D26&lt;&gt;0,I26&lt;&gt;0),C26=0,H26=0),"NEW",""))</f>
        <v/>
      </c>
    </row>
    <row r="27" customFormat="false" ht="15" hidden="false" customHeight="true" outlineLevel="0" collapsed="false">
      <c r="A27" s="8" t="s">
        <v>179</v>
      </c>
      <c r="B27" s="8" t="str">
        <f aca="false">IFERROR(INDEX('Source NetSuite'!$B:$B,MATCH($A27,'Source NetSuite'!$A:$A,0)),"")</f>
        <v>חגורת קיבוע לכתף</v>
      </c>
      <c r="C27" s="9" t="n">
        <f aca="false">SUMIF('Source NetSuite'!$A:$A,$A27,'Source NetSuite'!$C:$C)</f>
        <v>83</v>
      </c>
      <c r="D27" s="9" t="n">
        <f aca="false">SUMIF('Source NetSuite'!$A:$A,$A27,'Source NetSuite'!$E:$E)</f>
        <v>18</v>
      </c>
      <c r="E27" s="9" t="n">
        <f aca="false">D27*$J$5</f>
        <v>22.7368421052632</v>
      </c>
      <c r="F27" s="9" t="n">
        <f aca="false">E27-C27</f>
        <v>-60.2631578947368</v>
      </c>
      <c r="G27" s="10" t="n">
        <f aca="false">IF(AND(C27=0,E27=0),0,IF(C27=0,"New",(E27-C27)/C27))</f>
        <v>-0.726062143310083</v>
      </c>
      <c r="H27" s="9" t="n">
        <f aca="false">SUMIF('Source NetSuite'!$A:$A,$A27,'Source NetSuite'!$D:$D)</f>
        <v>10499.5</v>
      </c>
      <c r="I27" s="9" t="n">
        <f aca="false">SUMIF('Source NetSuite'!$A:$A,$A27,'Source NetSuite'!$F:$F)</f>
        <v>2277</v>
      </c>
      <c r="J27" s="9" t="n">
        <f aca="false">I27*$J$5</f>
        <v>2876.21052631579</v>
      </c>
      <c r="K27" s="9" t="n">
        <f aca="false">J27-H27</f>
        <v>-7623.28947368421</v>
      </c>
      <c r="L27" s="10" t="n">
        <f aca="false">IF(AND(H27=0,J27=0),0,IF(H27=0,"New",(J27-H27)/H27))</f>
        <v>-0.726062143310083</v>
      </c>
      <c r="M27" s="8" t="str">
        <f aca="false">IF(AND(OR(C27&lt;&gt;0,H27&lt;&gt;0),D27=0,I27=0),"DROP",IF(AND(OR(D27&lt;&gt;0,I27&lt;&gt;0),C27=0,H27=0),"NEW",""))</f>
        <v/>
      </c>
    </row>
    <row r="28" customFormat="false" ht="15" hidden="false" customHeight="true" outlineLevel="0" collapsed="false">
      <c r="A28" s="8" t="s">
        <v>180</v>
      </c>
      <c r="B28" s="8" t="str">
        <f aca="false">IFERROR(INDEX('Source NetSuite'!$B:$B,MATCH($A28,'Source NetSuite'!$A:$A,0)),"")</f>
        <v>מגן ברך רגיל</v>
      </c>
      <c r="C28" s="9" t="n">
        <f aca="false">SUMIF('Source NetSuite'!$A:$A,$A28,'Source NetSuite'!$C:$C)</f>
        <v>646</v>
      </c>
      <c r="D28" s="9" t="n">
        <f aca="false">SUMIF('Source NetSuite'!$A:$A,$A28,'Source NetSuite'!$E:$E)</f>
        <v>161</v>
      </c>
      <c r="E28" s="9" t="n">
        <f aca="false">D28*$J$5</f>
        <v>203.368421052632</v>
      </c>
      <c r="F28" s="9" t="n">
        <f aca="false">E28-C28</f>
        <v>-442.631578947368</v>
      </c>
      <c r="G28" s="10" t="n">
        <f aca="false">IF(AND(C28=0,E28=0),0,IF(C28=0,"New",(E28-C28)/C28))</f>
        <v>-0.685188202704905</v>
      </c>
      <c r="H28" s="9" t="n">
        <f aca="false">SUMIF('Source NetSuite'!$A:$A,$A28,'Source NetSuite'!$D:$D)</f>
        <v>10659</v>
      </c>
      <c r="I28" s="9" t="n">
        <f aca="false">SUMIF('Source NetSuite'!$A:$A,$A28,'Source NetSuite'!$F:$F)</f>
        <v>2656.5</v>
      </c>
      <c r="J28" s="9" t="n">
        <f aca="false">I28*$J$5</f>
        <v>3355.57894736842</v>
      </c>
      <c r="K28" s="9" t="n">
        <f aca="false">J28-H28</f>
        <v>-7303.42105263158</v>
      </c>
      <c r="L28" s="10" t="n">
        <f aca="false">IF(AND(H28=0,J28=0),0,IF(H28=0,"New",(J28-H28)/H28))</f>
        <v>-0.685188202704905</v>
      </c>
      <c r="M28" s="8" t="str">
        <f aca="false">IF(AND(OR(C28&lt;&gt;0,H28&lt;&gt;0),D28=0,I28=0),"DROP",IF(AND(OR(D28&lt;&gt;0,I28&lt;&gt;0),C28=0,H28=0),"NEW",""))</f>
        <v/>
      </c>
    </row>
    <row r="29" customFormat="false" ht="15" hidden="false" customHeight="true" outlineLevel="0" collapsed="false">
      <c r="A29" s="8" t="s">
        <v>181</v>
      </c>
      <c r="B29" s="8" t="str">
        <f aca="false">IFERROR(INDEX('Source NetSuite'!$B:$B,MATCH($A29,'Source NetSuite'!$A:$A,0)),"")</f>
        <v>חגורת גב אפורה</v>
      </c>
      <c r="C29" s="9" t="n">
        <f aca="false">SUMIF('Source NetSuite'!$A:$A,$A29,'Source NetSuite'!$C:$C)</f>
        <v>150</v>
      </c>
      <c r="D29" s="9" t="n">
        <f aca="false">SUMIF('Source NetSuite'!$A:$A,$A29,'Source NetSuite'!$E:$E)</f>
        <v>25</v>
      </c>
      <c r="E29" s="9" t="n">
        <f aca="false">D29*$J$5</f>
        <v>31.5789473684211</v>
      </c>
      <c r="F29" s="9" t="n">
        <f aca="false">E29-C29</f>
        <v>-118.421052631579</v>
      </c>
      <c r="G29" s="10" t="n">
        <f aca="false">IF(AND(C29=0,E29=0),0,IF(C29=0,"New",(E29-C29)/C29))</f>
        <v>-0.789473684210526</v>
      </c>
      <c r="H29" s="9" t="n">
        <f aca="false">SUMIF('Source NetSuite'!$A:$A,$A29,'Source NetSuite'!$D:$D)</f>
        <v>9750</v>
      </c>
      <c r="I29" s="9" t="n">
        <f aca="false">SUMIF('Source NetSuite'!$A:$A,$A29,'Source NetSuite'!$F:$F)</f>
        <v>1807.36</v>
      </c>
      <c r="J29" s="9" t="n">
        <f aca="false">I29*$J$5</f>
        <v>2282.98105263158</v>
      </c>
      <c r="K29" s="9" t="n">
        <f aca="false">J29-H29</f>
        <v>-7467.01894736842</v>
      </c>
      <c r="L29" s="10" t="n">
        <f aca="false">IF(AND(H29=0,J29=0),0,IF(H29=0,"New",(J29-H29)/H29))</f>
        <v>-0.765848097165992</v>
      </c>
      <c r="M29" s="8" t="str">
        <f aca="false">IF(AND(OR(C29&lt;&gt;0,H29&lt;&gt;0),D29=0,I29=0),"DROP",IF(AND(OR(D29&lt;&gt;0,I29&lt;&gt;0),C29=0,H29=0),"NEW",""))</f>
        <v/>
      </c>
    </row>
    <row r="30" customFormat="false" ht="15" hidden="false" customHeight="true" outlineLevel="0" collapsed="false">
      <c r="A30" s="8" t="s">
        <v>182</v>
      </c>
      <c r="B30" s="8" t="str">
        <f aca="false">IFERROR(INDEX('Source NetSuite'!$B:$B,MATCH($A30,'Source NetSuite'!$A:$A,0)),"")</f>
        <v>סד לאגודל</v>
      </c>
      <c r="C30" s="9" t="n">
        <f aca="false">SUMIF('Source NetSuite'!$A:$A,$A30,'Source NetSuite'!$C:$C)</f>
        <v>527</v>
      </c>
      <c r="D30" s="9" t="n">
        <f aca="false">SUMIF('Source NetSuite'!$A:$A,$A30,'Source NetSuite'!$E:$E)</f>
        <v>128</v>
      </c>
      <c r="E30" s="9" t="n">
        <f aca="false">D30*$J$5</f>
        <v>161.684210526316</v>
      </c>
      <c r="F30" s="9" t="n">
        <f aca="false">E30-C30</f>
        <v>-365.315789473684</v>
      </c>
      <c r="G30" s="10" t="n">
        <f aca="false">IF(AND(C30=0,E30=0),0,IF(C30=0,"New",(E30-C30)/C30))</f>
        <v>-0.693198841506042</v>
      </c>
      <c r="H30" s="9" t="n">
        <f aca="false">SUMIF('Source NetSuite'!$A:$A,$A30,'Source NetSuite'!$D:$D)</f>
        <v>10540</v>
      </c>
      <c r="I30" s="9" t="n">
        <f aca="false">SUMIF('Source NetSuite'!$A:$A,$A30,'Source NetSuite'!$F:$F)</f>
        <v>2668.54</v>
      </c>
      <c r="J30" s="9" t="n">
        <f aca="false">I30*$J$5</f>
        <v>3370.78736842105</v>
      </c>
      <c r="K30" s="9" t="n">
        <f aca="false">J30-H30</f>
        <v>-7169.21263157895</v>
      </c>
      <c r="L30" s="10" t="n">
        <f aca="false">IF(AND(H30=0,J30=0),0,IF(H30=0,"New",(J30-H30)/H30))</f>
        <v>-0.680190951762709</v>
      </c>
      <c r="M30" s="8" t="str">
        <f aca="false">IF(AND(OR(C30&lt;&gt;0,H30&lt;&gt;0),D30=0,I30=0),"DROP",IF(AND(OR(D30&lt;&gt;0,I30&lt;&gt;0),C30=0,H30=0),"NEW",""))</f>
        <v/>
      </c>
    </row>
    <row r="31" customFormat="false" ht="15" hidden="false" customHeight="true" outlineLevel="0" collapsed="false">
      <c r="A31" s="8" t="s">
        <v>183</v>
      </c>
      <c r="B31" s="8" t="str">
        <f aca="false">IFERROR(INDEX('Source NetSuite'!$B:$B,MATCH($A31,'Source NetSuite'!$A:$A,0)),"")</f>
        <v>מגן יד</v>
      </c>
      <c r="C31" s="9" t="n">
        <f aca="false">SUMIF('Source NetSuite'!$A:$A,$A31,'Source NetSuite'!$C:$C)</f>
        <v>434</v>
      </c>
      <c r="D31" s="9" t="n">
        <f aca="false">SUMIF('Source NetSuite'!$A:$A,$A31,'Source NetSuite'!$E:$E)</f>
        <v>123</v>
      </c>
      <c r="E31" s="9" t="n">
        <f aca="false">D31*$J$5</f>
        <v>155.368421052632</v>
      </c>
      <c r="F31" s="9" t="n">
        <f aca="false">E31-C31</f>
        <v>-278.631578947368</v>
      </c>
      <c r="G31" s="10" t="n">
        <f aca="false">IF(AND(C31=0,E31=0),0,IF(C31=0,"New",(E31-C31)/C31))</f>
        <v>-0.642008246422508</v>
      </c>
      <c r="H31" s="9" t="n">
        <f aca="false">SUMIF('Source NetSuite'!$A:$A,$A31,'Source NetSuite'!$D:$D)</f>
        <v>10602.62</v>
      </c>
      <c r="I31" s="9" t="n">
        <f aca="false">SUMIF('Source NetSuite'!$A:$A,$A31,'Source NetSuite'!$F:$F)</f>
        <v>3004.89</v>
      </c>
      <c r="J31" s="9" t="n">
        <f aca="false">I31*$J$5</f>
        <v>3795.65052631579</v>
      </c>
      <c r="K31" s="9" t="n">
        <f aca="false">J31-H31</f>
        <v>-6806.96947368421</v>
      </c>
      <c r="L31" s="10" t="n">
        <f aca="false">IF(AND(H31=0,J31=0),0,IF(H31=0,"New",(J31-H31)/H31))</f>
        <v>-0.642008246422508</v>
      </c>
      <c r="M31" s="8" t="str">
        <f aca="false">IF(AND(OR(C31&lt;&gt;0,H31&lt;&gt;0),D31=0,I31=0),"DROP",IF(AND(OR(D31&lt;&gt;0,I31&lt;&gt;0),C31=0,H31=0),"NEW",""))</f>
        <v/>
      </c>
    </row>
    <row r="32" customFormat="false" ht="15" hidden="false" customHeight="true" outlineLevel="0" collapsed="false">
      <c r="A32" s="8" t="s">
        <v>184</v>
      </c>
      <c r="B32" s="8" t="str">
        <f aca="false">IFERROR(INDEX('Source NetSuite'!$B:$B,MATCH($A32,'Source NetSuite'!$A:$A,0)),"")</f>
        <v>חגורת גב אפורה</v>
      </c>
      <c r="C32" s="9" t="n">
        <f aca="false">SUMIF('Source NetSuite'!$A:$A,$A32,'Source NetSuite'!$C:$C)</f>
        <v>145</v>
      </c>
      <c r="D32" s="9" t="n">
        <f aca="false">SUMIF('Source NetSuite'!$A:$A,$A32,'Source NetSuite'!$E:$E)</f>
        <v>29</v>
      </c>
      <c r="E32" s="9" t="n">
        <f aca="false">D32*$J$5</f>
        <v>36.6315789473684</v>
      </c>
      <c r="F32" s="9" t="n">
        <f aca="false">E32-C32</f>
        <v>-108.368421052632</v>
      </c>
      <c r="G32" s="10" t="n">
        <f aca="false">IF(AND(C32=0,E32=0),0,IF(C32=0,"New",(E32-C32)/C32))</f>
        <v>-0.747368421052632</v>
      </c>
      <c r="H32" s="9" t="n">
        <f aca="false">SUMIF('Source NetSuite'!$A:$A,$A32,'Source NetSuite'!$D:$D)</f>
        <v>9425</v>
      </c>
      <c r="I32" s="9" t="n">
        <f aca="false">SUMIF('Source NetSuite'!$A:$A,$A32,'Source NetSuite'!$F:$F)</f>
        <v>2067.36</v>
      </c>
      <c r="J32" s="9" t="n">
        <f aca="false">I32*$J$5</f>
        <v>2611.40210526316</v>
      </c>
      <c r="K32" s="9" t="n">
        <f aca="false">J32-H32</f>
        <v>-6813.59789473684</v>
      </c>
      <c r="L32" s="10" t="n">
        <f aca="false">IF(AND(H32=0,J32=0),0,IF(H32=0,"New",(J32-H32)/H32))</f>
        <v>-0.722928158592768</v>
      </c>
      <c r="M32" s="8" t="str">
        <f aca="false">IF(AND(OR(C32&lt;&gt;0,H32&lt;&gt;0),D32=0,I32=0),"DROP",IF(AND(OR(D32&lt;&gt;0,I32&lt;&gt;0),C32=0,H32=0),"NEW",""))</f>
        <v/>
      </c>
    </row>
    <row r="33" customFormat="false" ht="15" hidden="false" customHeight="true" outlineLevel="0" collapsed="false">
      <c r="A33" s="8" t="s">
        <v>185</v>
      </c>
      <c r="B33" s="8" t="str">
        <f aca="false">IFERROR(INDEX('Source NetSuite'!$B:$B,MATCH($A33,'Source NetSuite'!$A:$A,0)),"")</f>
        <v>חגורת קיבוע לכתף</v>
      </c>
      <c r="C33" s="9" t="n">
        <f aca="false">SUMIF('Source NetSuite'!$A:$A,$A33,'Source NetSuite'!$C:$C)</f>
        <v>61</v>
      </c>
      <c r="D33" s="9" t="n">
        <f aca="false">SUMIF('Source NetSuite'!$A:$A,$A33,'Source NetSuite'!$E:$E)</f>
        <v>9</v>
      </c>
      <c r="E33" s="9" t="n">
        <f aca="false">D33*$J$5</f>
        <v>11.3684210526316</v>
      </c>
      <c r="F33" s="9" t="n">
        <f aca="false">E33-C33</f>
        <v>-49.6315789473684</v>
      </c>
      <c r="G33" s="10" t="n">
        <f aca="false">IF(AND(C33=0,E33=0),0,IF(C33=0,"New",(E33-C33)/C33))</f>
        <v>-0.813632441760138</v>
      </c>
      <c r="H33" s="9" t="n">
        <f aca="false">SUMIF('Source NetSuite'!$A:$A,$A33,'Source NetSuite'!$D:$D)</f>
        <v>7716.5</v>
      </c>
      <c r="I33" s="9" t="n">
        <f aca="false">SUMIF('Source NetSuite'!$A:$A,$A33,'Source NetSuite'!$F:$F)</f>
        <v>1138.5</v>
      </c>
      <c r="J33" s="9" t="n">
        <f aca="false">I33*$J$5</f>
        <v>1438.10526315789</v>
      </c>
      <c r="K33" s="9" t="n">
        <f aca="false">J33-H33</f>
        <v>-6278.39473684211</v>
      </c>
      <c r="L33" s="10" t="n">
        <f aca="false">IF(AND(H33=0,J33=0),0,IF(H33=0,"New",(J33-H33)/H33))</f>
        <v>-0.813632441760138</v>
      </c>
      <c r="M33" s="8" t="str">
        <f aca="false">IF(AND(OR(C33&lt;&gt;0,H33&lt;&gt;0),D33=0,I33=0),"DROP",IF(AND(OR(D33&lt;&gt;0,I33&lt;&gt;0),C33=0,H33=0),"NEW",""))</f>
        <v/>
      </c>
    </row>
    <row r="34" customFormat="false" ht="15" hidden="false" customHeight="true" outlineLevel="0" collapsed="false">
      <c r="A34" s="8" t="s">
        <v>186</v>
      </c>
      <c r="B34" s="8" t="str">
        <f aca="false">IFERROR(INDEX('Source NetSuite'!$B:$B,MATCH($A34,'Source NetSuite'!$A:$A,0)),"")</f>
        <v>מגן קרסול סגור</v>
      </c>
      <c r="C34" s="9" t="n">
        <f aca="false">SUMIF('Source NetSuite'!$A:$A,$A34,'Source NetSuite'!$C:$C)</f>
        <v>289</v>
      </c>
      <c r="D34" s="9" t="n">
        <f aca="false">SUMIF('Source NetSuite'!$A:$A,$A34,'Source NetSuite'!$E:$E)</f>
        <v>66</v>
      </c>
      <c r="E34" s="9" t="n">
        <f aca="false">D34*$J$5</f>
        <v>83.3684210526316</v>
      </c>
      <c r="F34" s="9" t="n">
        <f aca="false">E34-C34</f>
        <v>-205.631578947368</v>
      </c>
      <c r="G34" s="10" t="n">
        <f aca="false">IF(AND(C34=0,E34=0),0,IF(C34=0,"New",(E34-C34)/C34))</f>
        <v>-0.711527954835185</v>
      </c>
      <c r="H34" s="9" t="n">
        <f aca="false">SUMIF('Source NetSuite'!$A:$A,$A34,'Source NetSuite'!$D:$D)</f>
        <v>8360.77</v>
      </c>
      <c r="I34" s="9" t="n">
        <f aca="false">SUMIF('Source NetSuite'!$A:$A,$A34,'Source NetSuite'!$F:$F)</f>
        <v>1909.38</v>
      </c>
      <c r="J34" s="9" t="n">
        <f aca="false">I34*$J$5</f>
        <v>2411.84842105263</v>
      </c>
      <c r="K34" s="9" t="n">
        <f aca="false">J34-H34</f>
        <v>-5948.92157894737</v>
      </c>
      <c r="L34" s="10" t="n">
        <f aca="false">IF(AND(H34=0,J34=0),0,IF(H34=0,"New",(J34-H34)/H34))</f>
        <v>-0.711527954835185</v>
      </c>
      <c r="M34" s="8" t="str">
        <f aca="false">IF(AND(OR(C34&lt;&gt;0,H34&lt;&gt;0),D34=0,I34=0),"DROP",IF(AND(OR(D34&lt;&gt;0,I34&lt;&gt;0),C34=0,H34=0),"NEW",""))</f>
        <v/>
      </c>
    </row>
    <row r="35" customFormat="false" ht="15" hidden="false" customHeight="true" outlineLevel="0" collapsed="false">
      <c r="A35" s="8" t="s">
        <v>187</v>
      </c>
      <c r="B35" s="8" t="str">
        <f aca="false">IFERROR(INDEX('Source NetSuite'!$B:$B,MATCH($A35,'Source NetSuite'!$A:$A,0)),"")</f>
        <v>כרית סיליקון לעקב</v>
      </c>
      <c r="C35" s="9" t="n">
        <f aca="false">SUMIF('Source NetSuite'!$A:$A,$A35,'Source NetSuite'!$C:$C)</f>
        <v>135</v>
      </c>
      <c r="D35" s="9" t="n">
        <f aca="false">SUMIF('Source NetSuite'!$A:$A,$A35,'Source NetSuite'!$E:$E)</f>
        <v>32</v>
      </c>
      <c r="E35" s="9" t="n">
        <f aca="false">D35*$J$5</f>
        <v>40.4210526315789</v>
      </c>
      <c r="F35" s="9" t="n">
        <f aca="false">E35-C35</f>
        <v>-94.5789473684211</v>
      </c>
      <c r="G35" s="10" t="n">
        <f aca="false">IF(AND(C35=0,E35=0),0,IF(C35=0,"New",(E35-C35)/C35))</f>
        <v>-0.700584795321637</v>
      </c>
      <c r="H35" s="9" t="n">
        <f aca="false">SUMIF('Source NetSuite'!$A:$A,$A35,'Source NetSuite'!$D:$D)</f>
        <v>8541.45</v>
      </c>
      <c r="I35" s="9" t="n">
        <f aca="false">SUMIF('Source NetSuite'!$A:$A,$A35,'Source NetSuite'!$F:$F)</f>
        <v>2144.22</v>
      </c>
      <c r="J35" s="9" t="n">
        <f aca="false">I35*$J$5</f>
        <v>2708.48842105263</v>
      </c>
      <c r="K35" s="9" t="n">
        <f aca="false">J35-H35</f>
        <v>-5832.96157894737</v>
      </c>
      <c r="L35" s="10" t="n">
        <f aca="false">IF(AND(H35=0,J35=0),0,IF(H35=0,"New",(J35-H35)/H35))</f>
        <v>-0.682900629161017</v>
      </c>
      <c r="M35" s="8" t="str">
        <f aca="false">IF(AND(OR(C35&lt;&gt;0,H35&lt;&gt;0),D35=0,I35=0),"DROP",IF(AND(OR(D35&lt;&gt;0,I35&lt;&gt;0),C35=0,H35=0),"NEW",""))</f>
        <v/>
      </c>
    </row>
    <row r="36" customFormat="false" ht="15" hidden="false" customHeight="true" outlineLevel="0" collapsed="false">
      <c r="A36" s="8" t="s">
        <v>188</v>
      </c>
      <c r="B36" s="8" t="str">
        <f aca="false">IFERROR(INDEX('Source NetSuite'!$B:$B,MATCH($A36,'Source NetSuite'!$A:$A,0)),"")</f>
        <v>מגן קרסול סגור</v>
      </c>
      <c r="C36" s="9" t="n">
        <f aca="false">SUMIF('Source NetSuite'!$A:$A,$A36,'Source NetSuite'!$C:$C)</f>
        <v>320</v>
      </c>
      <c r="D36" s="9" t="n">
        <f aca="false">SUMIF('Source NetSuite'!$A:$A,$A36,'Source NetSuite'!$E:$E)</f>
        <v>102</v>
      </c>
      <c r="E36" s="9" t="n">
        <f aca="false">D36*$J$5</f>
        <v>128.842105263158</v>
      </c>
      <c r="F36" s="9" t="n">
        <f aca="false">E36-C36</f>
        <v>-191.157894736842</v>
      </c>
      <c r="G36" s="10" t="n">
        <f aca="false">IF(AND(C36=0,E36=0),0,IF(C36=0,"New",(E36-C36)/C36))</f>
        <v>-0.597368421052632</v>
      </c>
      <c r="H36" s="9" t="n">
        <f aca="false">SUMIF('Source NetSuite'!$A:$A,$A36,'Source NetSuite'!$D:$D)</f>
        <v>9257.6</v>
      </c>
      <c r="I36" s="9" t="n">
        <f aca="false">SUMIF('Source NetSuite'!$A:$A,$A36,'Source NetSuite'!$F:$F)</f>
        <v>2950.86</v>
      </c>
      <c r="J36" s="9" t="n">
        <f aca="false">I36*$J$5</f>
        <v>3727.40210526316</v>
      </c>
      <c r="K36" s="9" t="n">
        <f aca="false">J36-H36</f>
        <v>-5530.19789473684</v>
      </c>
      <c r="L36" s="10" t="n">
        <f aca="false">IF(AND(H36=0,J36=0),0,IF(H36=0,"New",(J36-H36)/H36))</f>
        <v>-0.597368421052632</v>
      </c>
      <c r="M36" s="8" t="str">
        <f aca="false">IF(AND(OR(C36&lt;&gt;0,H36&lt;&gt;0),D36=0,I36=0),"DROP",IF(AND(OR(D36&lt;&gt;0,I36&lt;&gt;0),C36=0,H36=0),"NEW",""))</f>
        <v/>
      </c>
    </row>
    <row r="37" customFormat="false" ht="15" hidden="false" customHeight="true" outlineLevel="0" collapsed="false">
      <c r="A37" s="8" t="s">
        <v>189</v>
      </c>
      <c r="B37" s="8" t="str">
        <f aca="false">IFERROR(INDEX('Source NetSuite'!$B:$B,MATCH($A37,'Source NetSuite'!$A:$A,0)),"")</f>
        <v>מגן ברך רגיל</v>
      </c>
      <c r="C37" s="9" t="n">
        <f aca="false">SUMIF('Source NetSuite'!$A:$A,$A37,'Source NetSuite'!$C:$C)</f>
        <v>470</v>
      </c>
      <c r="D37" s="9" t="n">
        <f aca="false">SUMIF('Source NetSuite'!$A:$A,$A37,'Source NetSuite'!$E:$E)</f>
        <v>121</v>
      </c>
      <c r="E37" s="9" t="n">
        <f aca="false">D37*$J$5</f>
        <v>152.842105263158</v>
      </c>
      <c r="F37" s="9" t="n">
        <f aca="false">E37-C37</f>
        <v>-317.157894736842</v>
      </c>
      <c r="G37" s="10" t="n">
        <f aca="false">IF(AND(C37=0,E37=0),0,IF(C37=0,"New",(E37-C37)/C37))</f>
        <v>-0.674804031354983</v>
      </c>
      <c r="H37" s="9" t="n">
        <f aca="false">SUMIF('Source NetSuite'!$A:$A,$A37,'Source NetSuite'!$D:$D)</f>
        <v>7755</v>
      </c>
      <c r="I37" s="9" t="n">
        <f aca="false">SUMIF('Source NetSuite'!$A:$A,$A37,'Source NetSuite'!$F:$F)</f>
        <v>1996.5</v>
      </c>
      <c r="J37" s="9" t="n">
        <f aca="false">I37*$J$5</f>
        <v>2521.89473684211</v>
      </c>
      <c r="K37" s="9" t="n">
        <f aca="false">J37-H37</f>
        <v>-5233.1052631579</v>
      </c>
      <c r="L37" s="10" t="n">
        <f aca="false">IF(AND(H37=0,J37=0),0,IF(H37=0,"New",(J37-H37)/H37))</f>
        <v>-0.674804031354983</v>
      </c>
      <c r="M37" s="8" t="str">
        <f aca="false">IF(AND(OR(C37&lt;&gt;0,H37&lt;&gt;0),D37=0,I37=0),"DROP",IF(AND(OR(D37&lt;&gt;0,I37&lt;&gt;0),C37=0,H37=0),"NEW",""))</f>
        <v/>
      </c>
    </row>
    <row r="38" customFormat="false" ht="15" hidden="false" customHeight="true" outlineLevel="0" collapsed="false">
      <c r="A38" s="8" t="s">
        <v>190</v>
      </c>
      <c r="B38" s="8" t="str">
        <f aca="false">IFERROR(INDEX('Source NetSuite'!$B:$B,MATCH($A38,'Source NetSuite'!$A:$A,0)),"")</f>
        <v>מגן יד</v>
      </c>
      <c r="C38" s="9" t="n">
        <f aca="false">SUMIF('Source NetSuite'!$A:$A,$A38,'Source NetSuite'!$C:$C)</f>
        <v>315</v>
      </c>
      <c r="D38" s="9" t="n">
        <f aca="false">SUMIF('Source NetSuite'!$A:$A,$A38,'Source NetSuite'!$E:$E)</f>
        <v>83</v>
      </c>
      <c r="E38" s="9" t="n">
        <f aca="false">D38*$J$5</f>
        <v>104.842105263158</v>
      </c>
      <c r="F38" s="9" t="n">
        <f aca="false">E38-C38</f>
        <v>-210.157894736842</v>
      </c>
      <c r="G38" s="10" t="n">
        <f aca="false">IF(AND(C38=0,E38=0),0,IF(C38=0,"New",(E38-C38)/C38))</f>
        <v>-0.667167919799499</v>
      </c>
      <c r="H38" s="9" t="n">
        <f aca="false">SUMIF('Source NetSuite'!$A:$A,$A38,'Source NetSuite'!$D:$D)</f>
        <v>7695.45</v>
      </c>
      <c r="I38" s="9" t="n">
        <f aca="false">SUMIF('Source NetSuite'!$A:$A,$A38,'Source NetSuite'!$F:$F)</f>
        <v>2056.32</v>
      </c>
      <c r="J38" s="9" t="n">
        <f aca="false">I38*$J$5</f>
        <v>2597.45684210526</v>
      </c>
      <c r="K38" s="9" t="n">
        <f aca="false">J38-H38</f>
        <v>-5097.99315789474</v>
      </c>
      <c r="L38" s="10" t="n">
        <f aca="false">IF(AND(H38=0,J38=0),0,IF(H38=0,"New",(J38-H38)/H38))</f>
        <v>-0.662468492147274</v>
      </c>
      <c r="M38" s="8" t="str">
        <f aca="false">IF(AND(OR(C38&lt;&gt;0,H38&lt;&gt;0),D38=0,I38=0),"DROP",IF(AND(OR(D38&lt;&gt;0,I38&lt;&gt;0),C38=0,H38=0),"NEW",""))</f>
        <v/>
      </c>
    </row>
    <row r="39" customFormat="false" ht="15" hidden="false" customHeight="true" outlineLevel="0" collapsed="false">
      <c r="A39" s="8" t="s">
        <v>191</v>
      </c>
      <c r="B39" s="8" t="str">
        <f aca="false">IFERROR(INDEX('Source NetSuite'!$B:$B,MATCH($A39,'Source NetSuite'!$A:$A,0)),"")</f>
        <v>חגורת בטן</v>
      </c>
      <c r="C39" s="9" t="n">
        <f aca="false">SUMIF('Source NetSuite'!$A:$A,$A39,'Source NetSuite'!$C:$C)</f>
        <v>112</v>
      </c>
      <c r="D39" s="9" t="n">
        <f aca="false">SUMIF('Source NetSuite'!$A:$A,$A39,'Source NetSuite'!$E:$E)</f>
        <v>38</v>
      </c>
      <c r="E39" s="9" t="n">
        <f aca="false">D39*$J$5</f>
        <v>48</v>
      </c>
      <c r="F39" s="9" t="n">
        <f aca="false">E39-C39</f>
        <v>-64</v>
      </c>
      <c r="G39" s="10" t="n">
        <f aca="false">IF(AND(C39=0,E39=0),0,IF(C39=0,"New",(E39-C39)/C39))</f>
        <v>-0.571428571428571</v>
      </c>
      <c r="H39" s="9" t="n">
        <f aca="false">SUMIF('Source NetSuite'!$A:$A,$A39,'Source NetSuite'!$D:$D)</f>
        <v>8102.08</v>
      </c>
      <c r="I39" s="9" t="n">
        <f aca="false">SUMIF('Source NetSuite'!$A:$A,$A39,'Source NetSuite'!$F:$F)</f>
        <v>2748.92</v>
      </c>
      <c r="J39" s="9" t="n">
        <f aca="false">I39*$J$5</f>
        <v>3472.32</v>
      </c>
      <c r="K39" s="9" t="n">
        <f aca="false">J39-H39</f>
        <v>-4629.76</v>
      </c>
      <c r="L39" s="10" t="n">
        <f aca="false">IF(AND(H39=0,J39=0),0,IF(H39=0,"New",(J39-H39)/H39))</f>
        <v>-0.571428571428572</v>
      </c>
      <c r="M39" s="8" t="str">
        <f aca="false">IF(AND(OR(C39&lt;&gt;0,H39&lt;&gt;0),D39=0,I39=0),"DROP",IF(AND(OR(D39&lt;&gt;0,I39&lt;&gt;0),C39=0,H39=0),"NEW",""))</f>
        <v/>
      </c>
    </row>
    <row r="40" customFormat="false" ht="15" hidden="false" customHeight="true" outlineLevel="0" collapsed="false">
      <c r="A40" s="8" t="s">
        <v>192</v>
      </c>
      <c r="B40" s="8" t="str">
        <f aca="false">IFERROR(INDEX('Source NetSuite'!$B:$B,MATCH($A40,'Source NetSuite'!$A:$A,0)),"")</f>
        <v>גרבי טיסה</v>
      </c>
      <c r="C40" s="9" t="n">
        <f aca="false">SUMIF('Source NetSuite'!$A:$A,$A40,'Source NetSuite'!$C:$C)</f>
        <v>125</v>
      </c>
      <c r="D40" s="9" t="n">
        <f aca="false">SUMIF('Source NetSuite'!$A:$A,$A40,'Source NetSuite'!$E:$E)</f>
        <v>-3</v>
      </c>
      <c r="E40" s="9" t="n">
        <f aca="false">D40*$J$5</f>
        <v>-3.78947368421053</v>
      </c>
      <c r="F40" s="9" t="n">
        <f aca="false">E40-C40</f>
        <v>-128.789473684211</v>
      </c>
      <c r="G40" s="10" t="n">
        <f aca="false">IF(AND(C40=0,E40=0),0,IF(C40=0,"New",(E40-C40)/C40))</f>
        <v>-1.03031578947368</v>
      </c>
      <c r="H40" s="9" t="n">
        <f aca="false">SUMIF('Source NetSuite'!$A:$A,$A40,'Source NetSuite'!$D:$D)</f>
        <v>5226.25</v>
      </c>
      <c r="I40" s="9" t="n">
        <f aca="false">SUMIF('Source NetSuite'!$A:$A,$A40,'Source NetSuite'!$F:$F)</f>
        <v>-125.43</v>
      </c>
      <c r="J40" s="9" t="n">
        <f aca="false">I40*$J$5</f>
        <v>-158.437894736842</v>
      </c>
      <c r="K40" s="9" t="n">
        <f aca="false">J40-H40</f>
        <v>-5384.68789473684</v>
      </c>
      <c r="L40" s="10" t="n">
        <f aca="false">IF(AND(H40=0,J40=0),0,IF(H40=0,"New",(J40-H40)/H40))</f>
        <v>-1.03031578947368</v>
      </c>
      <c r="M40" s="8" t="str">
        <f aca="false">IF(AND(OR(C40&lt;&gt;0,H40&lt;&gt;0),D40=0,I40=0),"DROP",IF(AND(OR(D40&lt;&gt;0,I40&lt;&gt;0),C40=0,H40=0),"NEW",""))</f>
        <v/>
      </c>
    </row>
    <row r="41" customFormat="false" ht="15" hidden="false" customHeight="true" outlineLevel="0" collapsed="false">
      <c r="A41" s="8" t="s">
        <v>193</v>
      </c>
      <c r="B41" s="8" t="str">
        <f aca="false">IFERROR(INDEX('Source NetSuite'!$B:$B,MATCH($A41,'Source NetSuite'!$A:$A,0)),"")</f>
        <v>מגן ברך ארוך</v>
      </c>
      <c r="C41" s="9" t="n">
        <f aca="false">SUMIF('Source NetSuite'!$A:$A,$A41,'Source NetSuite'!$C:$C)</f>
        <v>329</v>
      </c>
      <c r="D41" s="9" t="n">
        <f aca="false">SUMIF('Source NetSuite'!$A:$A,$A41,'Source NetSuite'!$E:$E)</f>
        <v>70</v>
      </c>
      <c r="E41" s="9" t="n">
        <f aca="false">D41*$J$5</f>
        <v>88.421052631579</v>
      </c>
      <c r="F41" s="9" t="n">
        <f aca="false">E41-C41</f>
        <v>-240.578947368421</v>
      </c>
      <c r="G41" s="10" t="n">
        <f aca="false">IF(AND(C41=0,E41=0),0,IF(C41=0,"New",(E41-C41)/C41))</f>
        <v>-0.731243001119821</v>
      </c>
      <c r="H41" s="9" t="n">
        <f aca="false">SUMIF('Source NetSuite'!$A:$A,$A41,'Source NetSuite'!$D:$D)</f>
        <v>6744.5</v>
      </c>
      <c r="I41" s="9" t="n">
        <f aca="false">SUMIF('Source NetSuite'!$A:$A,$A41,'Source NetSuite'!$F:$F)</f>
        <v>1435</v>
      </c>
      <c r="J41" s="9" t="n">
        <f aca="false">I41*$J$5</f>
        <v>1812.63157894737</v>
      </c>
      <c r="K41" s="9" t="n">
        <f aca="false">J41-H41</f>
        <v>-4931.86842105263</v>
      </c>
      <c r="L41" s="10" t="n">
        <f aca="false">IF(AND(H41=0,J41=0),0,IF(H41=0,"New",(J41-H41)/H41))</f>
        <v>-0.731243001119821</v>
      </c>
      <c r="M41" s="8" t="str">
        <f aca="false">IF(AND(OR(C41&lt;&gt;0,H41&lt;&gt;0),D41=0,I41=0),"DROP",IF(AND(OR(D41&lt;&gt;0,I41&lt;&gt;0),C41=0,H41=0),"NEW",""))</f>
        <v/>
      </c>
    </row>
    <row r="42" customFormat="false" ht="15" hidden="false" customHeight="true" outlineLevel="0" collapsed="false">
      <c r="A42" s="8" t="s">
        <v>194</v>
      </c>
      <c r="B42" s="8" t="str">
        <f aca="false">IFERROR(INDEX('Source NetSuite'!$B:$B,MATCH($A42,'Source NetSuite'!$A:$A,0)),"")</f>
        <v>רפידת אנטי-ריח</v>
      </c>
      <c r="C42" s="9" t="n">
        <f aca="false">SUMIF('Source NetSuite'!$A:$A,$A42,'Source NetSuite'!$C:$C)</f>
        <v>646</v>
      </c>
      <c r="D42" s="9" t="n">
        <f aca="false">SUMIF('Source NetSuite'!$A:$A,$A42,'Source NetSuite'!$E:$E)</f>
        <v>110</v>
      </c>
      <c r="E42" s="9" t="n">
        <f aca="false">D42*$J$5</f>
        <v>138.947368421053</v>
      </c>
      <c r="F42" s="9" t="n">
        <f aca="false">E42-C42</f>
        <v>-507.052631578947</v>
      </c>
      <c r="G42" s="10" t="n">
        <f aca="false">IF(AND(C42=0,E42=0),0,IF(C42=0,"New",(E42-C42)/C42))</f>
        <v>-0.784911194394655</v>
      </c>
      <c r="H42" s="9" t="n">
        <f aca="false">SUMIF('Source NetSuite'!$A:$A,$A42,'Source NetSuite'!$D:$D)</f>
        <v>6343.72</v>
      </c>
      <c r="I42" s="9" t="n">
        <f aca="false">SUMIF('Source NetSuite'!$A:$A,$A42,'Source NetSuite'!$F:$F)</f>
        <v>1080.2</v>
      </c>
      <c r="J42" s="9" t="n">
        <f aca="false">I42*$J$5</f>
        <v>1364.46315789474</v>
      </c>
      <c r="K42" s="9" t="n">
        <f aca="false">J42-H42</f>
        <v>-4979.25684210526</v>
      </c>
      <c r="L42" s="10" t="n">
        <f aca="false">IF(AND(H42=0,J42=0),0,IF(H42=0,"New",(J42-H42)/H42))</f>
        <v>-0.784911194394655</v>
      </c>
      <c r="M42" s="8" t="str">
        <f aca="false">IF(AND(OR(C42&lt;&gt;0,H42&lt;&gt;0),D42=0,I42=0),"DROP",IF(AND(OR(D42&lt;&gt;0,I42&lt;&gt;0),C42=0,H42=0),"NEW",""))</f>
        <v/>
      </c>
    </row>
    <row r="43" customFormat="false" ht="15" hidden="false" customHeight="true" outlineLevel="0" collapsed="false">
      <c r="A43" s="8" t="s">
        <v>195</v>
      </c>
      <c r="B43" s="8" t="str">
        <f aca="false">IFERROR(INDEX('Source NetSuite'!$B:$B,MATCH($A43,'Source NetSuite'!$A:$A,0)),"")</f>
        <v>חגורת קיבוע לכתף</v>
      </c>
      <c r="C43" s="9" t="n">
        <f aca="false">SUMIF('Source NetSuite'!$A:$A,$A43,'Source NetSuite'!$C:$C)</f>
        <v>55</v>
      </c>
      <c r="D43" s="9" t="n">
        <f aca="false">SUMIF('Source NetSuite'!$A:$A,$A43,'Source NetSuite'!$E:$E)</f>
        <v>14</v>
      </c>
      <c r="E43" s="9" t="n">
        <f aca="false">D43*$J$5</f>
        <v>17.6842105263158</v>
      </c>
      <c r="F43" s="9" t="n">
        <f aca="false">E43-C43</f>
        <v>-37.3157894736842</v>
      </c>
      <c r="G43" s="10" t="n">
        <f aca="false">IF(AND(C43=0,E43=0),0,IF(C43=0,"New",(E43-C43)/C43))</f>
        <v>-0.678468899521531</v>
      </c>
      <c r="H43" s="9" t="n">
        <f aca="false">SUMIF('Source NetSuite'!$A:$A,$A43,'Source NetSuite'!$D:$D)</f>
        <v>6957.5</v>
      </c>
      <c r="I43" s="9" t="n">
        <f aca="false">SUMIF('Source NetSuite'!$A:$A,$A43,'Source NetSuite'!$F:$F)</f>
        <v>1771</v>
      </c>
      <c r="J43" s="9" t="n">
        <f aca="false">I43*$J$5</f>
        <v>2237.05263157895</v>
      </c>
      <c r="K43" s="9" t="n">
        <f aca="false">J43-H43</f>
        <v>-4720.44736842105</v>
      </c>
      <c r="L43" s="10" t="n">
        <f aca="false">IF(AND(H43=0,J43=0),0,IF(H43=0,"New",(J43-H43)/H43))</f>
        <v>-0.678468899521531</v>
      </c>
      <c r="M43" s="8" t="str">
        <f aca="false">IF(AND(OR(C43&lt;&gt;0,H43&lt;&gt;0),D43=0,I43=0),"DROP",IF(AND(OR(D43&lt;&gt;0,I43&lt;&gt;0),C43=0,H43=0),"NEW",""))</f>
        <v/>
      </c>
    </row>
    <row r="44" customFormat="false" ht="15" hidden="false" customHeight="true" outlineLevel="0" collapsed="false">
      <c r="A44" s="8" t="s">
        <v>196</v>
      </c>
      <c r="B44" s="8" t="str">
        <f aca="false">IFERROR(INDEX('Source NetSuite'!$B:$B,MATCH($A44,'Source NetSuite'!$A:$A,0)),"")</f>
        <v>מגן ברך עם כרית ג'ל</v>
      </c>
      <c r="C44" s="9" t="n">
        <f aca="false">SUMIF('Source NetSuite'!$A:$A,$A44,'Source NetSuite'!$C:$C)</f>
        <v>145</v>
      </c>
      <c r="D44" s="9" t="n">
        <f aca="false">SUMIF('Source NetSuite'!$A:$A,$A44,'Source NetSuite'!$E:$E)</f>
        <v>49</v>
      </c>
      <c r="E44" s="9" t="n">
        <f aca="false">D44*$J$5</f>
        <v>61.8947368421053</v>
      </c>
      <c r="F44" s="9" t="n">
        <f aca="false">E44-C44</f>
        <v>-83.1052631578947</v>
      </c>
      <c r="G44" s="10" t="n">
        <f aca="false">IF(AND(C44=0,E44=0),0,IF(C44=0,"New",(E44-C44)/C44))</f>
        <v>-0.573139745916515</v>
      </c>
      <c r="H44" s="9" t="n">
        <f aca="false">SUMIF('Source NetSuite'!$A:$A,$A44,'Source NetSuite'!$D:$D)</f>
        <v>7757.5</v>
      </c>
      <c r="I44" s="9" t="n">
        <f aca="false">SUMIF('Source NetSuite'!$A:$A,$A44,'Source NetSuite'!$F:$F)</f>
        <v>2621.5</v>
      </c>
      <c r="J44" s="9" t="n">
        <f aca="false">I44*$J$5</f>
        <v>3311.36842105263</v>
      </c>
      <c r="K44" s="9" t="n">
        <f aca="false">J44-H44</f>
        <v>-4446.13157894737</v>
      </c>
      <c r="L44" s="10" t="n">
        <f aca="false">IF(AND(H44=0,J44=0),0,IF(H44=0,"New",(J44-H44)/H44))</f>
        <v>-0.573139745916515</v>
      </c>
      <c r="M44" s="8" t="str">
        <f aca="false">IF(AND(OR(C44&lt;&gt;0,H44&lt;&gt;0),D44=0,I44=0),"DROP",IF(AND(OR(D44&lt;&gt;0,I44&lt;&gt;0),C44=0,H44=0),"NEW",""))</f>
        <v/>
      </c>
    </row>
    <row r="45" customFormat="false" ht="15" hidden="false" customHeight="true" outlineLevel="0" collapsed="false">
      <c r="A45" s="8" t="s">
        <v>197</v>
      </c>
      <c r="B45" s="8" t="str">
        <f aca="false">IFERROR(INDEX('Source NetSuite'!$B:$B,MATCH($A45,'Source NetSuite'!$A:$A,0)),"")</f>
        <v>חגורת גב+סגירה כפולה</v>
      </c>
      <c r="C45" s="9" t="n">
        <f aca="false">SUMIF('Source NetSuite'!$A:$A,$A45,'Source NetSuite'!$C:$C)</f>
        <v>139</v>
      </c>
      <c r="D45" s="9" t="n">
        <f aca="false">SUMIF('Source NetSuite'!$A:$A,$A45,'Source NetSuite'!$E:$E)</f>
        <v>60</v>
      </c>
      <c r="E45" s="9" t="n">
        <f aca="false">D45*$J$5</f>
        <v>75.7894736842105</v>
      </c>
      <c r="F45" s="9" t="n">
        <f aca="false">E45-C45</f>
        <v>-63.2105263157895</v>
      </c>
      <c r="G45" s="10" t="n">
        <f aca="false">IF(AND(C45=0,E45=0),0,IF(C45=0,"New",(E45-C45)/C45))</f>
        <v>-0.454751987883378</v>
      </c>
      <c r="H45" s="9" t="n">
        <f aca="false">SUMIF('Source NetSuite'!$A:$A,$A45,'Source NetSuite'!$D:$D)</f>
        <v>9035</v>
      </c>
      <c r="I45" s="9" t="n">
        <f aca="false">SUMIF('Source NetSuite'!$A:$A,$A45,'Source NetSuite'!$F:$F)</f>
        <v>3900</v>
      </c>
      <c r="J45" s="9" t="n">
        <f aca="false">I45*$J$5</f>
        <v>4926.31578947368</v>
      </c>
      <c r="K45" s="9" t="n">
        <f aca="false">J45-H45</f>
        <v>-4108.68421052632</v>
      </c>
      <c r="L45" s="10" t="n">
        <f aca="false">IF(AND(H45=0,J45=0),0,IF(H45=0,"New",(J45-H45)/H45))</f>
        <v>-0.454751987883378</v>
      </c>
      <c r="M45" s="8" t="str">
        <f aca="false">IF(AND(OR(C45&lt;&gt;0,H45&lt;&gt;0),D45=0,I45=0),"DROP",IF(AND(OR(D45&lt;&gt;0,I45&lt;&gt;0),C45=0,H45=0),"NEW",""))</f>
        <v/>
      </c>
    </row>
    <row r="46" customFormat="false" ht="15" hidden="false" customHeight="true" outlineLevel="0" collapsed="false">
      <c r="A46" s="8" t="s">
        <v>198</v>
      </c>
      <c r="B46" s="8" t="str">
        <f aca="false">IFERROR(INDEX('Source NetSuite'!$B:$B,MATCH($A46,'Source NetSuite'!$A:$A,0)),"")</f>
        <v>מגן ברך ארוך</v>
      </c>
      <c r="C46" s="9" t="n">
        <f aca="false">SUMIF('Source NetSuite'!$A:$A,$A46,'Source NetSuite'!$C:$C)</f>
        <v>374</v>
      </c>
      <c r="D46" s="9" t="n">
        <f aca="false">SUMIF('Source NetSuite'!$A:$A,$A46,'Source NetSuite'!$E:$E)</f>
        <v>132</v>
      </c>
      <c r="E46" s="9" t="n">
        <f aca="false">D46*$J$5</f>
        <v>166.736842105263</v>
      </c>
      <c r="F46" s="9" t="n">
        <f aca="false">E46-C46</f>
        <v>-207.263157894737</v>
      </c>
      <c r="G46" s="10" t="n">
        <f aca="false">IF(AND(C46=0,E46=0),0,IF(C46=0,"New",(E46-C46)/C46))</f>
        <v>-0.554179566563468</v>
      </c>
      <c r="H46" s="9" t="n">
        <f aca="false">SUMIF('Source NetSuite'!$A:$A,$A46,'Source NetSuite'!$D:$D)</f>
        <v>7667</v>
      </c>
      <c r="I46" s="9" t="n">
        <f aca="false">SUMIF('Source NetSuite'!$A:$A,$A46,'Source NetSuite'!$F:$F)</f>
        <v>2706</v>
      </c>
      <c r="J46" s="9" t="n">
        <f aca="false">I46*$J$5</f>
        <v>3418.10526315789</v>
      </c>
      <c r="K46" s="9" t="n">
        <f aca="false">J46-H46</f>
        <v>-4248.89473684211</v>
      </c>
      <c r="L46" s="10" t="n">
        <f aca="false">IF(AND(H46=0,J46=0),0,IF(H46=0,"New",(J46-H46)/H46))</f>
        <v>-0.554179566563468</v>
      </c>
      <c r="M46" s="8" t="str">
        <f aca="false">IF(AND(OR(C46&lt;&gt;0,H46&lt;&gt;0),D46=0,I46=0),"DROP",IF(AND(OR(D46&lt;&gt;0,I46&lt;&gt;0),C46=0,H46=0),"NEW",""))</f>
        <v/>
      </c>
    </row>
    <row r="47" customFormat="false" ht="15" hidden="false" customHeight="true" outlineLevel="0" collapsed="false">
      <c r="A47" s="8" t="s">
        <v>199</v>
      </c>
      <c r="B47" s="8" t="str">
        <f aca="false">IFERROR(INDEX('Source NetSuite'!$B:$B,MATCH($A47,'Source NetSuite'!$A:$A,0)),"")</f>
        <v>מגן ברך רגיל</v>
      </c>
      <c r="C47" s="9" t="n">
        <f aca="false">SUMIF('Source NetSuite'!$A:$A,$A47,'Source NetSuite'!$C:$C)</f>
        <v>383</v>
      </c>
      <c r="D47" s="9" t="n">
        <f aca="false">SUMIF('Source NetSuite'!$A:$A,$A47,'Source NetSuite'!$E:$E)</f>
        <v>83</v>
      </c>
      <c r="E47" s="9" t="n">
        <f aca="false">D47*$J$5</f>
        <v>104.842105263158</v>
      </c>
      <c r="F47" s="9" t="n">
        <f aca="false">E47-C47</f>
        <v>-278.157894736842</v>
      </c>
      <c r="G47" s="10" t="n">
        <f aca="false">IF(AND(C47=0,E47=0),0,IF(C47=0,"New",(E47-C47)/C47))</f>
        <v>-0.726260821767212</v>
      </c>
      <c r="H47" s="9" t="n">
        <f aca="false">SUMIF('Source NetSuite'!$A:$A,$A47,'Source NetSuite'!$D:$D)</f>
        <v>6319.5</v>
      </c>
      <c r="I47" s="9" t="n">
        <f aca="false">SUMIF('Source NetSuite'!$A:$A,$A47,'Source NetSuite'!$F:$F)</f>
        <v>1369.5</v>
      </c>
      <c r="J47" s="9" t="n">
        <f aca="false">I47*$J$5</f>
        <v>1729.89473684211</v>
      </c>
      <c r="K47" s="9" t="n">
        <f aca="false">J47-H47</f>
        <v>-4589.6052631579</v>
      </c>
      <c r="L47" s="10" t="n">
        <f aca="false">IF(AND(H47=0,J47=0),0,IF(H47=0,"New",(J47-H47)/H47))</f>
        <v>-0.726260821767212</v>
      </c>
      <c r="M47" s="8" t="str">
        <f aca="false">IF(AND(OR(C47&lt;&gt;0,H47&lt;&gt;0),D47=0,I47=0),"DROP",IF(AND(OR(D47&lt;&gt;0,I47&lt;&gt;0),C47=0,H47=0),"NEW",""))</f>
        <v/>
      </c>
    </row>
    <row r="48" customFormat="false" ht="15" hidden="false" customHeight="true" outlineLevel="0" collapsed="false">
      <c r="A48" s="8" t="s">
        <v>200</v>
      </c>
      <c r="B48" s="8" t="str">
        <f aca="false">IFERROR(INDEX('Source NetSuite'!$B:$B,MATCH($A48,'Source NetSuite'!$A:$A,0)),"")</f>
        <v>חבק טניס תוספת מ</v>
      </c>
      <c r="C48" s="9" t="n">
        <f aca="false">SUMIF('Source NetSuite'!$A:$A,$A48,'Source NetSuite'!$C:$C)</f>
        <v>63</v>
      </c>
      <c r="D48" s="9" t="n">
        <f aca="false">SUMIF('Source NetSuite'!$A:$A,$A48,'Source NetSuite'!$E:$E)</f>
        <v>0</v>
      </c>
      <c r="E48" s="9" t="n">
        <f aca="false">D48*$J$5</f>
        <v>0</v>
      </c>
      <c r="F48" s="9" t="n">
        <f aca="false">E48-C48</f>
        <v>-63</v>
      </c>
      <c r="G48" s="10" t="n">
        <f aca="false">IF(AND(C48=0,E48=0),0,IF(C48=0,"New",(E48-C48)/C48))</f>
        <v>-1</v>
      </c>
      <c r="H48" s="9" t="n">
        <f aca="false">SUMIF('Source NetSuite'!$A:$A,$A48,'Source NetSuite'!$D:$D)</f>
        <v>4866.12</v>
      </c>
      <c r="I48" s="9" t="n">
        <f aca="false">SUMIF('Source NetSuite'!$A:$A,$A48,'Source NetSuite'!$F:$F)</f>
        <v>0</v>
      </c>
      <c r="J48" s="9" t="n">
        <f aca="false">I48*$J$5</f>
        <v>0</v>
      </c>
      <c r="K48" s="9" t="n">
        <f aca="false">J48-H48</f>
        <v>-4866.12</v>
      </c>
      <c r="L48" s="10" t="n">
        <f aca="false">IF(AND(H48=0,J48=0),0,IF(H48=0,"New",(J48-H48)/H48))</f>
        <v>-1</v>
      </c>
      <c r="M48" s="8" t="str">
        <f aca="false">IF(AND(OR(C48&lt;&gt;0,H48&lt;&gt;0),D48=0,I48=0),"DROP",IF(AND(OR(D48&lt;&gt;0,I48&lt;&gt;0),C48=0,H48=0),"NEW",""))</f>
        <v>DROP</v>
      </c>
    </row>
    <row r="49" customFormat="false" ht="15" hidden="false" customHeight="true" outlineLevel="0" collapsed="false">
      <c r="A49" s="8" t="s">
        <v>201</v>
      </c>
      <c r="B49" s="8" t="str">
        <f aca="false">IFERROR(INDEX('Source NetSuite'!$B:$B,MATCH($A49,'Source NetSuite'!$A:$A,0)),"")</f>
        <v>מגן קרסול+ עקב סגור+רצועות</v>
      </c>
      <c r="C49" s="9" t="n">
        <f aca="false">SUMIF('Source NetSuite'!$A:$A,$A49,'Source NetSuite'!$C:$C)</f>
        <v>132</v>
      </c>
      <c r="D49" s="9" t="n">
        <f aca="false">SUMIF('Source NetSuite'!$A:$A,$A49,'Source NetSuite'!$E:$E)</f>
        <v>18</v>
      </c>
      <c r="E49" s="9" t="n">
        <f aca="false">D49*$J$5</f>
        <v>22.7368421052632</v>
      </c>
      <c r="F49" s="9" t="n">
        <f aca="false">E49-C49</f>
        <v>-109.263157894737</v>
      </c>
      <c r="G49" s="10" t="n">
        <f aca="false">IF(AND(C49=0,E49=0),0,IF(C49=0,"New",(E49-C49)/C49))</f>
        <v>-0.827751196172249</v>
      </c>
      <c r="H49" s="9" t="n">
        <f aca="false">SUMIF('Source NetSuite'!$A:$A,$A49,'Source NetSuite'!$D:$D)</f>
        <v>5566.44</v>
      </c>
      <c r="I49" s="9" t="n">
        <f aca="false">SUMIF('Source NetSuite'!$A:$A,$A49,'Source NetSuite'!$F:$F)</f>
        <v>759.06</v>
      </c>
      <c r="J49" s="9" t="n">
        <f aca="false">I49*$J$5</f>
        <v>958.812631578947</v>
      </c>
      <c r="K49" s="9" t="n">
        <f aca="false">J49-H49</f>
        <v>-4607.62736842105</v>
      </c>
      <c r="L49" s="10" t="n">
        <f aca="false">IF(AND(H49=0,J49=0),0,IF(H49=0,"New",(J49-H49)/H49))</f>
        <v>-0.827751196172249</v>
      </c>
      <c r="M49" s="8" t="str">
        <f aca="false">IF(AND(OR(C49&lt;&gt;0,H49&lt;&gt;0),D49=0,I49=0),"DROP",IF(AND(OR(D49&lt;&gt;0,I49&lt;&gt;0),C49=0,H49=0),"NEW",""))</f>
        <v/>
      </c>
    </row>
    <row r="50" customFormat="false" ht="15" hidden="false" customHeight="true" outlineLevel="0" collapsed="false">
      <c r="A50" s="8" t="s">
        <v>202</v>
      </c>
      <c r="B50" s="8" t="str">
        <f aca="false">IFERROR(INDEX('Source NetSuite'!$B:$B,MATCH($A50,'Source NetSuite'!$A:$A,0)),"")</f>
        <v>כ.הפרדת אצבעות ס</v>
      </c>
      <c r="C50" s="9" t="n">
        <f aca="false">SUMIF('Source NetSuite'!$A:$A,$A50,'Source NetSuite'!$C:$C)</f>
        <v>669</v>
      </c>
      <c r="D50" s="9" t="n">
        <f aca="false">SUMIF('Source NetSuite'!$A:$A,$A50,'Source NetSuite'!$E:$E)</f>
        <v>163</v>
      </c>
      <c r="E50" s="9" t="n">
        <f aca="false">D50*$J$5</f>
        <v>205.894736842105</v>
      </c>
      <c r="F50" s="9" t="n">
        <f aca="false">E50-C50</f>
        <v>-463.105263157895</v>
      </c>
      <c r="G50" s="10" t="n">
        <f aca="false">IF(AND(C50=0,E50=0),0,IF(C50=0,"New",(E50-C50)/C50))</f>
        <v>-0.692235071984895</v>
      </c>
      <c r="H50" s="9" t="n">
        <f aca="false">SUMIF('Source NetSuite'!$A:$A,$A50,'Source NetSuite'!$D:$D)</f>
        <v>6355.5</v>
      </c>
      <c r="I50" s="9" t="n">
        <f aca="false">SUMIF('Source NetSuite'!$A:$A,$A50,'Source NetSuite'!$F:$F)</f>
        <v>1548.5</v>
      </c>
      <c r="J50" s="9" t="n">
        <f aca="false">I50*$J$5</f>
        <v>1956</v>
      </c>
      <c r="K50" s="9" t="n">
        <f aca="false">J50-H50</f>
        <v>-4399.5</v>
      </c>
      <c r="L50" s="10" t="n">
        <f aca="false">IF(AND(H50=0,J50=0),0,IF(H50=0,"New",(J50-H50)/H50))</f>
        <v>-0.692235071984895</v>
      </c>
      <c r="M50" s="8" t="str">
        <f aca="false">IF(AND(OR(C50&lt;&gt;0,H50&lt;&gt;0),D50=0,I50=0),"DROP",IF(AND(OR(D50&lt;&gt;0,I50&lt;&gt;0),C50=0,H50=0),"NEW",""))</f>
        <v/>
      </c>
    </row>
    <row r="51" customFormat="false" ht="15" hidden="false" customHeight="true" outlineLevel="0" collapsed="false">
      <c r="A51" s="8" t="s">
        <v>203</v>
      </c>
      <c r="B51" s="8" t="str">
        <f aca="false">IFERROR(INDEX('Source NetSuite'!$B:$B,MATCH($A51,'Source NetSuite'!$A:$A,0)),"")</f>
        <v>חבק יד</v>
      </c>
      <c r="C51" s="9" t="n">
        <f aca="false">SUMIF('Source NetSuite'!$A:$A,$A51,'Source NetSuite'!$C:$C)</f>
        <v>474</v>
      </c>
      <c r="D51" s="9" t="n">
        <f aca="false">SUMIF('Source NetSuite'!$A:$A,$A51,'Source NetSuite'!$E:$E)</f>
        <v>221</v>
      </c>
      <c r="E51" s="9" t="n">
        <f aca="false">D51*$J$5</f>
        <v>279.157894736842</v>
      </c>
      <c r="F51" s="9" t="n">
        <f aca="false">E51-C51</f>
        <v>-194.842105263158</v>
      </c>
      <c r="G51" s="10" t="n">
        <f aca="false">IF(AND(C51=0,E51=0),0,IF(C51=0,"New",(E51-C51)/C51))</f>
        <v>-0.411059293804131</v>
      </c>
      <c r="H51" s="9" t="n">
        <f aca="false">SUMIF('Source NetSuite'!$A:$A,$A51,'Source NetSuite'!$D:$D)</f>
        <v>8769</v>
      </c>
      <c r="I51" s="9" t="n">
        <f aca="false">SUMIF('Source NetSuite'!$A:$A,$A51,'Source NetSuite'!$F:$F)</f>
        <v>4088.5</v>
      </c>
      <c r="J51" s="9" t="n">
        <f aca="false">I51*$J$5</f>
        <v>5164.42105263158</v>
      </c>
      <c r="K51" s="9" t="n">
        <f aca="false">J51-H51</f>
        <v>-3604.57894736842</v>
      </c>
      <c r="L51" s="10" t="n">
        <f aca="false">IF(AND(H51=0,J51=0),0,IF(H51=0,"New",(J51-H51)/H51))</f>
        <v>-0.411059293804131</v>
      </c>
      <c r="M51" s="8" t="str">
        <f aca="false">IF(AND(OR(C51&lt;&gt;0,H51&lt;&gt;0),D51=0,I51=0),"DROP",IF(AND(OR(D51&lt;&gt;0,I51&lt;&gt;0),C51=0,H51=0),"NEW",""))</f>
        <v/>
      </c>
    </row>
    <row r="52" customFormat="false" ht="15" hidden="false" customHeight="true" outlineLevel="0" collapsed="false">
      <c r="A52" s="8" t="s">
        <v>204</v>
      </c>
      <c r="B52" s="8" t="str">
        <f aca="false">IFERROR(INDEX('Source NetSuite'!$B:$B,MATCH($A52,'Source NetSuite'!$A:$A,0)),"")</f>
        <v>חגורת בטן</v>
      </c>
      <c r="C52" s="9" t="n">
        <f aca="false">SUMIF('Source NetSuite'!$A:$A,$A52,'Source NetSuite'!$C:$C)</f>
        <v>76</v>
      </c>
      <c r="D52" s="9" t="n">
        <f aca="false">SUMIF('Source NetSuite'!$A:$A,$A52,'Source NetSuite'!$E:$E)</f>
        <v>13</v>
      </c>
      <c r="E52" s="9" t="n">
        <f aca="false">D52*$J$5</f>
        <v>16.4210526315789</v>
      </c>
      <c r="F52" s="9" t="n">
        <f aca="false">E52-C52</f>
        <v>-59.5789473684211</v>
      </c>
      <c r="G52" s="10" t="n">
        <f aca="false">IF(AND(C52=0,E52=0),0,IF(C52=0,"New",(E52-C52)/C52))</f>
        <v>-0.78393351800554</v>
      </c>
      <c r="H52" s="9" t="n">
        <f aca="false">SUMIF('Source NetSuite'!$A:$A,$A52,'Source NetSuite'!$D:$D)</f>
        <v>5497.84</v>
      </c>
      <c r="I52" s="9" t="n">
        <f aca="false">SUMIF('Source NetSuite'!$A:$A,$A52,'Source NetSuite'!$F:$F)</f>
        <v>940.42</v>
      </c>
      <c r="J52" s="9" t="n">
        <f aca="false">I52*$J$5</f>
        <v>1187.89894736842</v>
      </c>
      <c r="K52" s="9" t="n">
        <f aca="false">J52-H52</f>
        <v>-4309.94105263158</v>
      </c>
      <c r="L52" s="10" t="n">
        <f aca="false">IF(AND(H52=0,J52=0),0,IF(H52=0,"New",(J52-H52)/H52))</f>
        <v>-0.78393351800554</v>
      </c>
      <c r="M52" s="8" t="str">
        <f aca="false">IF(AND(OR(C52&lt;&gt;0,H52&lt;&gt;0),D52=0,I52=0),"DROP",IF(AND(OR(D52&lt;&gt;0,I52&lt;&gt;0),C52=0,H52=0),"NEW",""))</f>
        <v/>
      </c>
    </row>
    <row r="53" customFormat="false" ht="15" hidden="false" customHeight="true" outlineLevel="0" collapsed="false">
      <c r="A53" s="8" t="s">
        <v>205</v>
      </c>
      <c r="B53" s="8" t="str">
        <f aca="false">IFERROR(INDEX('Source NetSuite'!$B:$B,MATCH($A53,'Source NetSuite'!$A:$A,0)),"")</f>
        <v>מגן ברך ארוך</v>
      </c>
      <c r="C53" s="9" t="n">
        <f aca="false">SUMIF('Source NetSuite'!$A:$A,$A53,'Source NetSuite'!$C:$C)</f>
        <v>290</v>
      </c>
      <c r="D53" s="9" t="n">
        <f aca="false">SUMIF('Source NetSuite'!$A:$A,$A53,'Source NetSuite'!$E:$E)</f>
        <v>73</v>
      </c>
      <c r="E53" s="9" t="n">
        <f aca="false">D53*$J$5</f>
        <v>92.2105263157895</v>
      </c>
      <c r="F53" s="9" t="n">
        <f aca="false">E53-C53</f>
        <v>-197.789473684211</v>
      </c>
      <c r="G53" s="10" t="n">
        <f aca="false">IF(AND(C53=0,E53=0),0,IF(C53=0,"New",(E53-C53)/C53))</f>
        <v>-0.682032667876588</v>
      </c>
      <c r="H53" s="9" t="n">
        <f aca="false">SUMIF('Source NetSuite'!$A:$A,$A53,'Source NetSuite'!$D:$D)</f>
        <v>5945</v>
      </c>
      <c r="I53" s="9" t="n">
        <f aca="false">SUMIF('Source NetSuite'!$A:$A,$A53,'Source NetSuite'!$F:$F)</f>
        <v>1496.5</v>
      </c>
      <c r="J53" s="9" t="n">
        <f aca="false">I53*$J$5</f>
        <v>1890.31578947368</v>
      </c>
      <c r="K53" s="9" t="n">
        <f aca="false">J53-H53</f>
        <v>-4054.68421052632</v>
      </c>
      <c r="L53" s="10" t="n">
        <f aca="false">IF(AND(H53=0,J53=0),0,IF(H53=0,"New",(J53-H53)/H53))</f>
        <v>-0.682032667876588</v>
      </c>
      <c r="M53" s="8" t="str">
        <f aca="false">IF(AND(OR(C53&lt;&gt;0,H53&lt;&gt;0),D53=0,I53=0),"DROP",IF(AND(OR(D53&lt;&gt;0,I53&lt;&gt;0),C53=0,H53=0),"NEW",""))</f>
        <v/>
      </c>
    </row>
    <row r="54" customFormat="false" ht="15" hidden="false" customHeight="true" outlineLevel="0" collapsed="false">
      <c r="A54" s="8" t="s">
        <v>206</v>
      </c>
      <c r="B54" s="8" t="str">
        <f aca="false">IFERROR(INDEX('Source NetSuite'!$B:$B,MATCH($A54,'Source NetSuite'!$A:$A,0)),"")</f>
        <v>מגן קרסול עם תמיכה</v>
      </c>
      <c r="C54" s="9" t="n">
        <f aca="false">SUMIF('Source NetSuite'!$A:$A,$A54,'Source NetSuite'!$C:$C)</f>
        <v>44</v>
      </c>
      <c r="D54" s="9" t="n">
        <f aca="false">SUMIF('Source NetSuite'!$A:$A,$A54,'Source NetSuite'!$E:$E)</f>
        <v>-1</v>
      </c>
      <c r="E54" s="9" t="n">
        <f aca="false">D54*$J$5</f>
        <v>-1.26315789473684</v>
      </c>
      <c r="F54" s="9" t="n">
        <f aca="false">E54-C54</f>
        <v>-45.2631578947368</v>
      </c>
      <c r="G54" s="10" t="n">
        <f aca="false">IF(AND(C54=0,E54=0),0,IF(C54=0,"New",(E54-C54)/C54))</f>
        <v>-1.02870813397129</v>
      </c>
      <c r="H54" s="9" t="n">
        <f aca="false">SUMIF('Source NetSuite'!$A:$A,$A54,'Source NetSuite'!$D:$D)</f>
        <v>4283.4</v>
      </c>
      <c r="I54" s="9" t="n">
        <f aca="false">SUMIF('Source NetSuite'!$A:$A,$A54,'Source NetSuite'!$F:$F)</f>
        <v>-97.35</v>
      </c>
      <c r="J54" s="9" t="n">
        <f aca="false">I54*$J$5</f>
        <v>-122.968421052632</v>
      </c>
      <c r="K54" s="9" t="n">
        <f aca="false">J54-H54</f>
        <v>-4406.36842105263</v>
      </c>
      <c r="L54" s="10" t="n">
        <f aca="false">IF(AND(H54=0,J54=0),0,IF(H54=0,"New",(J54-H54)/H54))</f>
        <v>-1.02870813397129</v>
      </c>
      <c r="M54" s="8" t="str">
        <f aca="false">IF(AND(OR(C54&lt;&gt;0,H54&lt;&gt;0),D54=0,I54=0),"DROP",IF(AND(OR(D54&lt;&gt;0,I54&lt;&gt;0),C54=0,H54=0),"NEW",""))</f>
        <v/>
      </c>
    </row>
    <row r="55" customFormat="false" ht="15" hidden="false" customHeight="true" outlineLevel="0" collapsed="false">
      <c r="A55" s="8" t="s">
        <v>207</v>
      </c>
      <c r="B55" s="8" t="str">
        <f aca="false">IFERROR(INDEX('Source NetSuite'!$B:$B,MATCH($A55,'Source NetSuite'!$A:$A,0)),"")</f>
        <v>חגורת גב+סגירה כפולה</v>
      </c>
      <c r="C55" s="9" t="n">
        <f aca="false">SUMIF('Source NetSuite'!$A:$A,$A55,'Source NetSuite'!$C:$C)</f>
        <v>115</v>
      </c>
      <c r="D55" s="9" t="n">
        <f aca="false">SUMIF('Source NetSuite'!$A:$A,$A55,'Source NetSuite'!$E:$E)</f>
        <v>49</v>
      </c>
      <c r="E55" s="9" t="n">
        <f aca="false">D55*$J$5</f>
        <v>61.8947368421053</v>
      </c>
      <c r="F55" s="9" t="n">
        <f aca="false">E55-C55</f>
        <v>-53.1052631578947</v>
      </c>
      <c r="G55" s="10" t="n">
        <f aca="false">IF(AND(C55=0,E55=0),0,IF(C55=0,"New",(E55-C55)/C55))</f>
        <v>-0.461784897025172</v>
      </c>
      <c r="H55" s="9" t="n">
        <f aca="false">SUMIF('Source NetSuite'!$A:$A,$A55,'Source NetSuite'!$D:$D)</f>
        <v>7475</v>
      </c>
      <c r="I55" s="9" t="n">
        <f aca="false">SUMIF('Source NetSuite'!$A:$A,$A55,'Source NetSuite'!$F:$F)</f>
        <v>3185</v>
      </c>
      <c r="J55" s="9" t="n">
        <f aca="false">I55*$J$5</f>
        <v>4023.15789473684</v>
      </c>
      <c r="K55" s="9" t="n">
        <f aca="false">J55-H55</f>
        <v>-3451.84210526316</v>
      </c>
      <c r="L55" s="10" t="n">
        <f aca="false">IF(AND(H55=0,J55=0),0,IF(H55=0,"New",(J55-H55)/H55))</f>
        <v>-0.461784897025172</v>
      </c>
      <c r="M55" s="8" t="str">
        <f aca="false">IF(AND(OR(C55&lt;&gt;0,H55&lt;&gt;0),D55=0,I55=0),"DROP",IF(AND(OR(D55&lt;&gt;0,I55&lt;&gt;0),C55=0,H55=0),"NEW",""))</f>
        <v/>
      </c>
    </row>
    <row r="56" customFormat="false" ht="15" hidden="false" customHeight="true" outlineLevel="0" collapsed="false">
      <c r="A56" s="8" t="s">
        <v>208</v>
      </c>
      <c r="B56" s="8" t="str">
        <f aca="false">IFERROR(INDEX('Source NetSuite'!$B:$B,MATCH($A56,'Source NetSuite'!$A:$A,0)),"")</f>
        <v>חגורת בטן</v>
      </c>
      <c r="C56" s="9" t="n">
        <f aca="false">SUMIF('Source NetSuite'!$A:$A,$A56,'Source NetSuite'!$C:$C)</f>
        <v>74</v>
      </c>
      <c r="D56" s="9" t="n">
        <f aca="false">SUMIF('Source NetSuite'!$A:$A,$A56,'Source NetSuite'!$E:$E)</f>
        <v>17</v>
      </c>
      <c r="E56" s="9" t="n">
        <f aca="false">D56*$J$5</f>
        <v>21.4736842105263</v>
      </c>
      <c r="F56" s="9" t="n">
        <f aca="false">E56-C56</f>
        <v>-52.5263157894737</v>
      </c>
      <c r="G56" s="10" t="n">
        <f aca="false">IF(AND(C56=0,E56=0),0,IF(C56=0,"New",(E56-C56)/C56))</f>
        <v>-0.709815078236131</v>
      </c>
      <c r="H56" s="9" t="n">
        <f aca="false">SUMIF('Source NetSuite'!$A:$A,$A56,'Source NetSuite'!$D:$D)</f>
        <v>5353.16</v>
      </c>
      <c r="I56" s="9" t="n">
        <f aca="false">SUMIF('Source NetSuite'!$A:$A,$A56,'Source NetSuite'!$F:$F)</f>
        <v>1229.78</v>
      </c>
      <c r="J56" s="9" t="n">
        <f aca="false">I56*$J$5</f>
        <v>1553.40631578947</v>
      </c>
      <c r="K56" s="9" t="n">
        <f aca="false">J56-H56</f>
        <v>-3799.75368421053</v>
      </c>
      <c r="L56" s="10" t="n">
        <f aca="false">IF(AND(H56=0,J56=0),0,IF(H56=0,"New",(J56-H56)/H56))</f>
        <v>-0.709815078236131</v>
      </c>
      <c r="M56" s="8" t="str">
        <f aca="false">IF(AND(OR(C56&lt;&gt;0,H56&lt;&gt;0),D56=0,I56=0),"DROP",IF(AND(OR(D56&lt;&gt;0,I56&lt;&gt;0),C56=0,H56=0),"NEW",""))</f>
        <v/>
      </c>
    </row>
    <row r="57" customFormat="false" ht="15" hidden="false" customHeight="true" outlineLevel="0" collapsed="false">
      <c r="A57" s="8" t="s">
        <v>209</v>
      </c>
      <c r="B57" s="8" t="str">
        <f aca="false">IFERROR(INDEX('Source NetSuite'!$B:$B,MATCH($A57,'Source NetSuite'!$A:$A,0)),"")</f>
        <v>רצועה לפיקה+כרית</v>
      </c>
      <c r="C57" s="9" t="n">
        <f aca="false">SUMIF('Source NetSuite'!$A:$A,$A57,'Source NetSuite'!$C:$C)</f>
        <v>76</v>
      </c>
      <c r="D57" s="9" t="n">
        <f aca="false">SUMIF('Source NetSuite'!$A:$A,$A57,'Source NetSuite'!$E:$E)</f>
        <v>14</v>
      </c>
      <c r="E57" s="9" t="n">
        <f aca="false">D57*$J$5</f>
        <v>17.6842105263158</v>
      </c>
      <c r="F57" s="9" t="n">
        <f aca="false">E57-C57</f>
        <v>-58.3157894736842</v>
      </c>
      <c r="G57" s="10" t="n">
        <f aca="false">IF(AND(C57=0,E57=0),0,IF(C57=0,"New",(E57-C57)/C57))</f>
        <v>-0.767313019390582</v>
      </c>
      <c r="H57" s="9" t="n">
        <f aca="false">SUMIF('Source NetSuite'!$A:$A,$A57,'Source NetSuite'!$D:$D)</f>
        <v>4931.64</v>
      </c>
      <c r="I57" s="9" t="n">
        <f aca="false">SUMIF('Source NetSuite'!$A:$A,$A57,'Source NetSuite'!$F:$F)</f>
        <v>908.46</v>
      </c>
      <c r="J57" s="9" t="n">
        <f aca="false">I57*$J$5</f>
        <v>1147.52842105263</v>
      </c>
      <c r="K57" s="9" t="n">
        <f aca="false">J57-H57</f>
        <v>-3784.11157894737</v>
      </c>
      <c r="L57" s="10" t="n">
        <f aca="false">IF(AND(H57=0,J57=0),0,IF(H57=0,"New",(J57-H57)/H57))</f>
        <v>-0.767313019390582</v>
      </c>
      <c r="M57" s="8" t="str">
        <f aca="false">IF(AND(OR(C57&lt;&gt;0,H57&lt;&gt;0),D57=0,I57=0),"DROP",IF(AND(OR(D57&lt;&gt;0,I57&lt;&gt;0),C57=0,H57=0),"NEW",""))</f>
        <v/>
      </c>
    </row>
    <row r="58" customFormat="false" ht="15" hidden="false" customHeight="true" outlineLevel="0" collapsed="false">
      <c r="A58" s="8" t="s">
        <v>210</v>
      </c>
      <c r="B58" s="8" t="str">
        <f aca="false">IFERROR(INDEX('Source NetSuite'!$B:$B,MATCH($A58,'Source NetSuite'!$A:$A,0)),"")</f>
        <v>מגן קרסול סגור</v>
      </c>
      <c r="C58" s="9" t="n">
        <f aca="false">SUMIF('Source NetSuite'!$A:$A,$A58,'Source NetSuite'!$C:$C)</f>
        <v>192</v>
      </c>
      <c r="D58" s="9" t="n">
        <f aca="false">SUMIF('Source NetSuite'!$A:$A,$A58,'Source NetSuite'!$E:$E)</f>
        <v>56</v>
      </c>
      <c r="E58" s="9" t="n">
        <f aca="false">D58*$J$5</f>
        <v>70.7368421052632</v>
      </c>
      <c r="F58" s="9" t="n">
        <f aca="false">E58-C58</f>
        <v>-121.263157894737</v>
      </c>
      <c r="G58" s="10" t="n">
        <f aca="false">IF(AND(C58=0,E58=0),0,IF(C58=0,"New",(E58-C58)/C58))</f>
        <v>-0.631578947368421</v>
      </c>
      <c r="H58" s="9" t="n">
        <f aca="false">SUMIF('Source NetSuite'!$A:$A,$A58,'Source NetSuite'!$D:$D)</f>
        <v>5554.56</v>
      </c>
      <c r="I58" s="9" t="n">
        <f aca="false">SUMIF('Source NetSuite'!$A:$A,$A58,'Source NetSuite'!$F:$F)</f>
        <v>1620.08</v>
      </c>
      <c r="J58" s="9" t="n">
        <f aca="false">I58*$J$5</f>
        <v>2046.41684210526</v>
      </c>
      <c r="K58" s="9" t="n">
        <f aca="false">J58-H58</f>
        <v>-3508.14315789474</v>
      </c>
      <c r="L58" s="10" t="n">
        <f aca="false">IF(AND(H58=0,J58=0),0,IF(H58=0,"New",(J58-H58)/H58))</f>
        <v>-0.631578947368421</v>
      </c>
      <c r="M58" s="8" t="str">
        <f aca="false">IF(AND(OR(C58&lt;&gt;0,H58&lt;&gt;0),D58=0,I58=0),"DROP",IF(AND(OR(D58&lt;&gt;0,I58&lt;&gt;0),C58=0,H58=0),"NEW",""))</f>
        <v/>
      </c>
    </row>
    <row r="59" customFormat="false" ht="15" hidden="false" customHeight="true" outlineLevel="0" collapsed="false">
      <c r="A59" s="8" t="s">
        <v>211</v>
      </c>
      <c r="B59" s="8" t="str">
        <f aca="false">IFERROR(INDEX('Source NetSuite'!$B:$B,MATCH($A59,'Source NetSuite'!$A:$A,0)),"")</f>
        <v>סד יד</v>
      </c>
      <c r="C59" s="9" t="n">
        <f aca="false">SUMIF('Source NetSuite'!$A:$A,$A59,'Source NetSuite'!$C:$C)</f>
        <v>223</v>
      </c>
      <c r="D59" s="9" t="n">
        <f aca="false">SUMIF('Source NetSuite'!$A:$A,$A59,'Source NetSuite'!$E:$E)</f>
        <v>70</v>
      </c>
      <c r="E59" s="9" t="n">
        <f aca="false">D59*$J$5</f>
        <v>88.421052631579</v>
      </c>
      <c r="F59" s="9" t="n">
        <f aca="false">E59-C59</f>
        <v>-134.578947368421</v>
      </c>
      <c r="G59" s="10" t="n">
        <f aca="false">IF(AND(C59=0,E59=0),0,IF(C59=0,"New",(E59-C59)/C59))</f>
        <v>-0.603493037526552</v>
      </c>
      <c r="H59" s="9" t="n">
        <f aca="false">SUMIF('Source NetSuite'!$A:$A,$A59,'Source NetSuite'!$D:$D)</f>
        <v>5575</v>
      </c>
      <c r="I59" s="9" t="n">
        <f aca="false">SUMIF('Source NetSuite'!$A:$A,$A59,'Source NetSuite'!$F:$F)</f>
        <v>1750</v>
      </c>
      <c r="J59" s="9" t="n">
        <f aca="false">I59*$J$5</f>
        <v>2210.52631578947</v>
      </c>
      <c r="K59" s="9" t="n">
        <f aca="false">J59-H59</f>
        <v>-3364.47368421053</v>
      </c>
      <c r="L59" s="10" t="n">
        <f aca="false">IF(AND(H59=0,J59=0),0,IF(H59=0,"New",(J59-H59)/H59))</f>
        <v>-0.603493037526552</v>
      </c>
      <c r="M59" s="8" t="str">
        <f aca="false">IF(AND(OR(C59&lt;&gt;0,H59&lt;&gt;0),D59=0,I59=0),"DROP",IF(AND(OR(D59&lt;&gt;0,I59&lt;&gt;0),C59=0,H59=0),"NEW",""))</f>
        <v/>
      </c>
    </row>
    <row r="60" customFormat="false" ht="15" hidden="false" customHeight="true" outlineLevel="0" collapsed="false">
      <c r="A60" s="8" t="s">
        <v>212</v>
      </c>
      <c r="B60" s="8" t="str">
        <f aca="false">IFERROR(INDEX('Source NetSuite'!$B:$B,MATCH($A60,'Source NetSuite'!$A:$A,0)),"")</f>
        <v>מגן ברך+ציר H</v>
      </c>
      <c r="C60" s="9" t="n">
        <f aca="false">SUMIF('Source NetSuite'!$A:$A,$A60,'Source NetSuite'!$C:$C)</f>
        <v>48</v>
      </c>
      <c r="D60" s="9" t="n">
        <f aca="false">SUMIF('Source NetSuite'!$A:$A,$A60,'Source NetSuite'!$E:$E)</f>
        <v>8</v>
      </c>
      <c r="E60" s="9" t="n">
        <f aca="false">D60*$J$5</f>
        <v>10.1052631578947</v>
      </c>
      <c r="F60" s="9" t="n">
        <f aca="false">E60-C60</f>
        <v>-37.8947368421053</v>
      </c>
      <c r="G60" s="10" t="n">
        <f aca="false">IF(AND(C60=0,E60=0),0,IF(C60=0,"New",(E60-C60)/C60))</f>
        <v>-0.789473684210526</v>
      </c>
      <c r="H60" s="9" t="n">
        <f aca="false">SUMIF('Source NetSuite'!$A:$A,$A60,'Source NetSuite'!$D:$D)</f>
        <v>4488</v>
      </c>
      <c r="I60" s="9" t="n">
        <f aca="false">SUMIF('Source NetSuite'!$A:$A,$A60,'Source NetSuite'!$F:$F)</f>
        <v>748</v>
      </c>
      <c r="J60" s="9" t="n">
        <f aca="false">I60*$J$5</f>
        <v>944.842105263158</v>
      </c>
      <c r="K60" s="9" t="n">
        <f aca="false">J60-H60</f>
        <v>-3543.15789473684</v>
      </c>
      <c r="L60" s="10" t="n">
        <f aca="false">IF(AND(H60=0,J60=0),0,IF(H60=0,"New",(J60-H60)/H60))</f>
        <v>-0.789473684210526</v>
      </c>
      <c r="M60" s="8" t="str">
        <f aca="false">IF(AND(OR(C60&lt;&gt;0,H60&lt;&gt;0),D60=0,I60=0),"DROP",IF(AND(OR(D60&lt;&gt;0,I60&lt;&gt;0),C60=0,H60=0),"NEW",""))</f>
        <v/>
      </c>
    </row>
    <row r="61" customFormat="false" ht="15" hidden="false" customHeight="true" outlineLevel="0" collapsed="false">
      <c r="A61" s="8" t="s">
        <v>213</v>
      </c>
      <c r="B61" s="8" t="str">
        <f aca="false">IFERROR(INDEX('Source NetSuite'!$B:$B,MATCH($A61,'Source NetSuite'!$A:$A,0)),"")</f>
        <v>מ. בוניון + מפריד אצבע</v>
      </c>
      <c r="C61" s="9" t="n">
        <f aca="false">SUMIF('Source NetSuite'!$A:$A,$A61,'Source NetSuite'!$C:$C)</f>
        <v>168</v>
      </c>
      <c r="D61" s="9" t="n">
        <f aca="false">SUMIF('Source NetSuite'!$A:$A,$A61,'Source NetSuite'!$E:$E)</f>
        <v>35</v>
      </c>
      <c r="E61" s="9" t="n">
        <f aca="false">D61*$J$5</f>
        <v>44.2105263157895</v>
      </c>
      <c r="F61" s="9" t="n">
        <f aca="false">E61-C61</f>
        <v>-123.789473684211</v>
      </c>
      <c r="G61" s="10" t="n">
        <f aca="false">IF(AND(C61=0,E61=0),0,IF(C61=0,"New",(E61-C61)/C61))</f>
        <v>-0.736842105263158</v>
      </c>
      <c r="H61" s="9" t="n">
        <f aca="false">SUMIF('Source NetSuite'!$A:$A,$A61,'Source NetSuite'!$D:$D)</f>
        <v>4628.4</v>
      </c>
      <c r="I61" s="9" t="n">
        <f aca="false">SUMIF('Source NetSuite'!$A:$A,$A61,'Source NetSuite'!$F:$F)</f>
        <v>964.25</v>
      </c>
      <c r="J61" s="9" t="n">
        <f aca="false">I61*$J$5</f>
        <v>1218</v>
      </c>
      <c r="K61" s="9" t="n">
        <f aca="false">J61-H61</f>
        <v>-3410.4</v>
      </c>
      <c r="L61" s="10" t="n">
        <f aca="false">IF(AND(H61=0,J61=0),0,IF(H61=0,"New",(J61-H61)/H61))</f>
        <v>-0.736842105263158</v>
      </c>
      <c r="M61" s="8" t="str">
        <f aca="false">IF(AND(OR(C61&lt;&gt;0,H61&lt;&gt;0),D61=0,I61=0),"DROP",IF(AND(OR(D61&lt;&gt;0,I61&lt;&gt;0),C61=0,H61=0),"NEW",""))</f>
        <v/>
      </c>
    </row>
    <row r="62" customFormat="false" ht="15" hidden="false" customHeight="true" outlineLevel="0" collapsed="false">
      <c r="A62" s="8" t="s">
        <v>214</v>
      </c>
      <c r="B62" s="8" t="str">
        <f aca="false">IFERROR(INDEX('Source NetSuite'!$B:$B,MATCH($A62,'Source NetSuite'!$A:$A,0)),"")</f>
        <v>מגן קרסול+ עקב סגור+רצועות</v>
      </c>
      <c r="C62" s="9" t="n">
        <f aca="false">SUMIF('Source NetSuite'!$A:$A,$A62,'Source NetSuite'!$C:$C)</f>
        <v>100</v>
      </c>
      <c r="D62" s="9" t="n">
        <f aca="false">SUMIF('Source NetSuite'!$A:$A,$A62,'Source NetSuite'!$E:$E)</f>
        <v>17</v>
      </c>
      <c r="E62" s="9" t="n">
        <f aca="false">D62*$J$5</f>
        <v>21.4736842105263</v>
      </c>
      <c r="F62" s="9" t="n">
        <f aca="false">E62-C62</f>
        <v>-78.5263157894737</v>
      </c>
      <c r="G62" s="10" t="n">
        <f aca="false">IF(AND(C62=0,E62=0),0,IF(C62=0,"New",(E62-C62)/C62))</f>
        <v>-0.785263157894737</v>
      </c>
      <c r="H62" s="9" t="n">
        <f aca="false">SUMIF('Source NetSuite'!$A:$A,$A62,'Source NetSuite'!$D:$D)</f>
        <v>4217</v>
      </c>
      <c r="I62" s="9" t="n">
        <f aca="false">SUMIF('Source NetSuite'!$A:$A,$A62,'Source NetSuite'!$F:$F)</f>
        <v>716.89</v>
      </c>
      <c r="J62" s="9" t="n">
        <f aca="false">I62*$J$5</f>
        <v>905.545263157895</v>
      </c>
      <c r="K62" s="9" t="n">
        <f aca="false">J62-H62</f>
        <v>-3311.45473684211</v>
      </c>
      <c r="L62" s="10" t="n">
        <f aca="false">IF(AND(H62=0,J62=0),0,IF(H62=0,"New",(J62-H62)/H62))</f>
        <v>-0.785263157894737</v>
      </c>
      <c r="M62" s="8" t="str">
        <f aca="false">IF(AND(OR(C62&lt;&gt;0,H62&lt;&gt;0),D62=0,I62=0),"DROP",IF(AND(OR(D62&lt;&gt;0,I62&lt;&gt;0),C62=0,H62=0),"NEW",""))</f>
        <v/>
      </c>
    </row>
    <row r="63" customFormat="false" ht="15" hidden="false" customHeight="true" outlineLevel="0" collapsed="false">
      <c r="A63" s="8" t="s">
        <v>215</v>
      </c>
      <c r="B63" s="8" t="str">
        <f aca="false">IFERROR(INDEX('Source NetSuite'!$B:$B,MATCH($A63,'Source NetSuite'!$A:$A,0)),"")</f>
        <v>אצבעון מסיליקון</v>
      </c>
      <c r="C63" s="9" t="n">
        <f aca="false">SUMIF('Source NetSuite'!$A:$A,$A63,'Source NetSuite'!$C:$C)</f>
        <v>336</v>
      </c>
      <c r="D63" s="9" t="n">
        <f aca="false">SUMIF('Source NetSuite'!$A:$A,$A63,'Source NetSuite'!$E:$E)</f>
        <v>140</v>
      </c>
      <c r="E63" s="9" t="n">
        <f aca="false">D63*$J$5</f>
        <v>176.842105263158</v>
      </c>
      <c r="F63" s="9" t="n">
        <f aca="false">E63-C63</f>
        <v>-159.157894736842</v>
      </c>
      <c r="G63" s="10" t="n">
        <f aca="false">IF(AND(C63=0,E63=0),0,IF(C63=0,"New",(E63-C63)/C63))</f>
        <v>-0.473684210526316</v>
      </c>
      <c r="H63" s="9" t="n">
        <f aca="false">SUMIF('Source NetSuite'!$A:$A,$A63,'Source NetSuite'!$D:$D)</f>
        <v>5987.52</v>
      </c>
      <c r="I63" s="9" t="n">
        <f aca="false">SUMIF('Source NetSuite'!$A:$A,$A63,'Source NetSuite'!$F:$F)</f>
        <v>2494.8</v>
      </c>
      <c r="J63" s="9" t="n">
        <f aca="false">I63*$J$5</f>
        <v>3151.32631578947</v>
      </c>
      <c r="K63" s="9" t="n">
        <f aca="false">J63-H63</f>
        <v>-2836.19368421053</v>
      </c>
      <c r="L63" s="10" t="n">
        <f aca="false">IF(AND(H63=0,J63=0),0,IF(H63=0,"New",(J63-H63)/H63))</f>
        <v>-0.473684210526316</v>
      </c>
      <c r="M63" s="8" t="str">
        <f aca="false">IF(AND(OR(C63&lt;&gt;0,H63&lt;&gt;0),D63=0,I63=0),"DROP",IF(AND(OR(D63&lt;&gt;0,I63&lt;&gt;0),C63=0,H63=0),"NEW",""))</f>
        <v/>
      </c>
    </row>
    <row r="64" customFormat="false" ht="15" hidden="false" customHeight="true" outlineLevel="0" collapsed="false">
      <c r="A64" s="8" t="s">
        <v>216</v>
      </c>
      <c r="B64" s="8" t="str">
        <f aca="false">IFERROR(INDEX('Source NetSuite'!$B:$B,MATCH($A64,'Source NetSuite'!$A:$A,0)),"")</f>
        <v>חגורת היריון</v>
      </c>
      <c r="C64" s="9" t="n">
        <f aca="false">SUMIF('Source NetSuite'!$A:$A,$A64,'Source NetSuite'!$C:$C)</f>
        <v>70</v>
      </c>
      <c r="D64" s="9" t="n">
        <f aca="false">SUMIF('Source NetSuite'!$A:$A,$A64,'Source NetSuite'!$E:$E)</f>
        <v>26</v>
      </c>
      <c r="E64" s="9" t="n">
        <f aca="false">D64*$J$5</f>
        <v>32.8421052631579</v>
      </c>
      <c r="F64" s="9" t="n">
        <f aca="false">E64-C64</f>
        <v>-37.1578947368421</v>
      </c>
      <c r="G64" s="10" t="n">
        <f aca="false">IF(AND(C64=0,E64=0),0,IF(C64=0,"New",(E64-C64)/C64))</f>
        <v>-0.530827067669173</v>
      </c>
      <c r="H64" s="9" t="n">
        <f aca="false">SUMIF('Source NetSuite'!$A:$A,$A64,'Source NetSuite'!$D:$D)</f>
        <v>5446</v>
      </c>
      <c r="I64" s="9" t="n">
        <f aca="false">SUMIF('Source NetSuite'!$A:$A,$A64,'Source NetSuite'!$F:$F)</f>
        <v>2022.8</v>
      </c>
      <c r="J64" s="9" t="n">
        <f aca="false">I64*$J$5</f>
        <v>2555.11578947368</v>
      </c>
      <c r="K64" s="9" t="n">
        <f aca="false">J64-H64</f>
        <v>-2890.88421052632</v>
      </c>
      <c r="L64" s="10" t="n">
        <f aca="false">IF(AND(H64=0,J64=0),0,IF(H64=0,"New",(J64-H64)/H64))</f>
        <v>-0.530827067669173</v>
      </c>
      <c r="M64" s="8" t="str">
        <f aca="false">IF(AND(OR(C64&lt;&gt;0,H64&lt;&gt;0),D64=0,I64=0),"DROP",IF(AND(OR(D64&lt;&gt;0,I64&lt;&gt;0),C64=0,H64=0),"NEW",""))</f>
        <v/>
      </c>
    </row>
    <row r="65" customFormat="false" ht="15" hidden="false" customHeight="true" outlineLevel="0" collapsed="false">
      <c r="A65" s="8" t="s">
        <v>217</v>
      </c>
      <c r="B65" s="8" t="str">
        <f aca="false">IFERROR(INDEX('Source NetSuite'!$B:$B,MATCH($A65,'Source NetSuite'!$A:$A,0)),"")</f>
        <v>גרבי נוחות קיץ שחור</v>
      </c>
      <c r="C65" s="9" t="n">
        <f aca="false">SUMIF('Source NetSuite'!$A:$A,$A65,'Source NetSuite'!$C:$C)</f>
        <v>206</v>
      </c>
      <c r="D65" s="9" t="n">
        <f aca="false">SUMIF('Source NetSuite'!$A:$A,$A65,'Source NetSuite'!$E:$E)</f>
        <v>21</v>
      </c>
      <c r="E65" s="9" t="n">
        <f aca="false">D65*$J$5</f>
        <v>26.5263157894737</v>
      </c>
      <c r="F65" s="9" t="n">
        <f aca="false">E65-C65</f>
        <v>-179.473684210526</v>
      </c>
      <c r="G65" s="10" t="n">
        <f aca="false">IF(AND(C65=0,E65=0),0,IF(C65=0,"New",(E65-C65)/C65))</f>
        <v>-0.871231476750128</v>
      </c>
      <c r="H65" s="9" t="n">
        <f aca="false">SUMIF('Source NetSuite'!$A:$A,$A65,'Source NetSuite'!$D:$D)</f>
        <v>3790.4</v>
      </c>
      <c r="I65" s="9" t="n">
        <f aca="false">SUMIF('Source NetSuite'!$A:$A,$A65,'Source NetSuite'!$F:$F)</f>
        <v>386.4</v>
      </c>
      <c r="J65" s="9" t="n">
        <f aca="false">I65*$J$5</f>
        <v>488.084210526316</v>
      </c>
      <c r="K65" s="9" t="n">
        <f aca="false">J65-H65</f>
        <v>-3302.31578947368</v>
      </c>
      <c r="L65" s="10" t="n">
        <f aca="false">IF(AND(H65=0,J65=0),0,IF(H65=0,"New",(J65-H65)/H65))</f>
        <v>-0.871231476750128</v>
      </c>
      <c r="M65" s="8" t="str">
        <f aca="false">IF(AND(OR(C65&lt;&gt;0,H65&lt;&gt;0),D65=0,I65=0),"DROP",IF(AND(OR(D65&lt;&gt;0,I65&lt;&gt;0),C65=0,H65=0),"NEW",""))</f>
        <v/>
      </c>
    </row>
    <row r="66" customFormat="false" ht="15" hidden="false" customHeight="true" outlineLevel="0" collapsed="false">
      <c r="A66" s="8" t="s">
        <v>218</v>
      </c>
      <c r="B66" s="8" t="str">
        <f aca="false">IFERROR(INDEX('Source NetSuite'!$B:$B,MATCH($A66,'Source NetSuite'!$A:$A,0)),"")</f>
        <v>מגן יד</v>
      </c>
      <c r="C66" s="9" t="n">
        <f aca="false">SUMIF('Source NetSuite'!$A:$A,$A66,'Source NetSuite'!$C:$C)</f>
        <v>181</v>
      </c>
      <c r="D66" s="9" t="n">
        <f aca="false">SUMIF('Source NetSuite'!$A:$A,$A66,'Source NetSuite'!$E:$E)</f>
        <v>44</v>
      </c>
      <c r="E66" s="9" t="n">
        <f aca="false">D66*$J$5</f>
        <v>55.5789473684211</v>
      </c>
      <c r="F66" s="9" t="n">
        <f aca="false">E66-C66</f>
        <v>-125.421052631579</v>
      </c>
      <c r="G66" s="10" t="n">
        <f aca="false">IF(AND(C66=0,E66=0),0,IF(C66=0,"New",(E66-C66)/C66))</f>
        <v>-0.692933992439663</v>
      </c>
      <c r="H66" s="9" t="n">
        <f aca="false">SUMIF('Source NetSuite'!$A:$A,$A66,'Source NetSuite'!$D:$D)</f>
        <v>4421.83</v>
      </c>
      <c r="I66" s="9" t="n">
        <f aca="false">SUMIF('Source NetSuite'!$A:$A,$A66,'Source NetSuite'!$F:$F)</f>
        <v>1074.92</v>
      </c>
      <c r="J66" s="9" t="n">
        <f aca="false">I66*$J$5</f>
        <v>1357.79368421053</v>
      </c>
      <c r="K66" s="9" t="n">
        <f aca="false">J66-H66</f>
        <v>-3064.03631578947</v>
      </c>
      <c r="L66" s="10" t="n">
        <f aca="false">IF(AND(H66=0,J66=0),0,IF(H66=0,"New",(J66-H66)/H66))</f>
        <v>-0.692933992439663</v>
      </c>
      <c r="M66" s="8" t="str">
        <f aca="false">IF(AND(OR(C66&lt;&gt;0,H66&lt;&gt;0),D66=0,I66=0),"DROP",IF(AND(OR(D66&lt;&gt;0,I66&lt;&gt;0),C66=0,H66=0),"NEW",""))</f>
        <v/>
      </c>
    </row>
    <row r="67" customFormat="false" ht="15" hidden="false" customHeight="true" outlineLevel="0" collapsed="false">
      <c r="A67" s="8" t="s">
        <v>219</v>
      </c>
      <c r="B67" s="8" t="str">
        <f aca="false">IFERROR(INDEX('Source NetSuite'!$B:$B,MATCH($A67,'Source NetSuite'!$A:$A,0)),"")</f>
        <v>מגן קרסול פתוח</v>
      </c>
      <c r="C67" s="9" t="n">
        <f aca="false">SUMIF('Source NetSuite'!$A:$A,$A67,'Source NetSuite'!$C:$C)</f>
        <v>275</v>
      </c>
      <c r="D67" s="9" t="n">
        <f aca="false">SUMIF('Source NetSuite'!$A:$A,$A67,'Source NetSuite'!$E:$E)</f>
        <v>79</v>
      </c>
      <c r="E67" s="9" t="n">
        <f aca="false">D67*$J$5</f>
        <v>99.7894736842105</v>
      </c>
      <c r="F67" s="9" t="n">
        <f aca="false">E67-C67</f>
        <v>-175.210526315789</v>
      </c>
      <c r="G67" s="10" t="n">
        <f aca="false">IF(AND(C67=0,E67=0),0,IF(C67=0,"New",(E67-C67)/C67))</f>
        <v>-0.637129186602871</v>
      </c>
      <c r="H67" s="9" t="n">
        <f aca="false">SUMIF('Source NetSuite'!$A:$A,$A67,'Source NetSuite'!$D:$D)</f>
        <v>4675</v>
      </c>
      <c r="I67" s="9" t="n">
        <f aca="false">SUMIF('Source NetSuite'!$A:$A,$A67,'Source NetSuite'!$F:$F)</f>
        <v>1343</v>
      </c>
      <c r="J67" s="9" t="n">
        <f aca="false">I67*$J$5</f>
        <v>1696.42105263158</v>
      </c>
      <c r="K67" s="9" t="n">
        <f aca="false">J67-H67</f>
        <v>-2978.57894736842</v>
      </c>
      <c r="L67" s="10" t="n">
        <f aca="false">IF(AND(H67=0,J67=0),0,IF(H67=0,"New",(J67-H67)/H67))</f>
        <v>-0.637129186602871</v>
      </c>
      <c r="M67" s="8" t="str">
        <f aca="false">IF(AND(OR(C67&lt;&gt;0,H67&lt;&gt;0),D67=0,I67=0),"DROP",IF(AND(OR(D67&lt;&gt;0,I67&lt;&gt;0),C67=0,H67=0),"NEW",""))</f>
        <v/>
      </c>
    </row>
    <row r="68" customFormat="false" ht="15" hidden="false" customHeight="true" outlineLevel="0" collapsed="false">
      <c r="A68" s="8" t="s">
        <v>220</v>
      </c>
      <c r="B68" s="8" t="str">
        <f aca="false">IFERROR(INDEX('Source NetSuite'!$B:$B,MATCH($A68,'Source NetSuite'!$A:$A,0)),"")</f>
        <v>קוצץ ציפורניים</v>
      </c>
      <c r="C68" s="9" t="n">
        <f aca="false">SUMIF('Source NetSuite'!$A:$A,$A68,'Source NetSuite'!$C:$C)</f>
        <v>442</v>
      </c>
      <c r="D68" s="9" t="n">
        <f aca="false">SUMIF('Source NetSuite'!$A:$A,$A68,'Source NetSuite'!$E:$E)</f>
        <v>123</v>
      </c>
      <c r="E68" s="9" t="n">
        <f aca="false">D68*$J$5</f>
        <v>155.368421052632</v>
      </c>
      <c r="F68" s="9" t="n">
        <f aca="false">E68-C68</f>
        <v>-286.631578947368</v>
      </c>
      <c r="G68" s="10" t="n">
        <f aca="false">IF(AND(C68=0,E68=0),0,IF(C68=0,"New",(E68-C68)/C68))</f>
        <v>-0.648487735175042</v>
      </c>
      <c r="H68" s="9" t="n">
        <f aca="false">SUMIF('Source NetSuite'!$A:$A,$A68,'Source NetSuite'!$D:$D)</f>
        <v>4596.8</v>
      </c>
      <c r="I68" s="9" t="n">
        <f aca="false">SUMIF('Source NetSuite'!$A:$A,$A68,'Source NetSuite'!$F:$F)</f>
        <v>1279.2</v>
      </c>
      <c r="J68" s="9" t="n">
        <f aca="false">I68*$J$5</f>
        <v>1615.83157894737</v>
      </c>
      <c r="K68" s="9" t="n">
        <f aca="false">J68-H68</f>
        <v>-2980.96842105263</v>
      </c>
      <c r="L68" s="10" t="n">
        <f aca="false">IF(AND(H68=0,J68=0),0,IF(H68=0,"New",(J68-H68)/H68))</f>
        <v>-0.648487735175042</v>
      </c>
      <c r="M68" s="8" t="str">
        <f aca="false">IF(AND(OR(C68&lt;&gt;0,H68&lt;&gt;0),D68=0,I68=0),"DROP",IF(AND(OR(D68&lt;&gt;0,I68&lt;&gt;0),C68=0,H68=0),"NEW",""))</f>
        <v/>
      </c>
    </row>
    <row r="69" customFormat="false" ht="15" hidden="false" customHeight="true" outlineLevel="0" collapsed="false">
      <c r="A69" s="8" t="s">
        <v>221</v>
      </c>
      <c r="B69" s="8" t="str">
        <f aca="false">IFERROR(INDEX('Source NetSuite'!$B:$B,MATCH($A69,'Source NetSuite'!$A:$A,0)),"")</f>
        <v>חגורת בטן</v>
      </c>
      <c r="C69" s="9" t="n">
        <f aca="false">SUMIF('Source NetSuite'!$A:$A,$A69,'Source NetSuite'!$C:$C)</f>
        <v>57</v>
      </c>
      <c r="D69" s="9" t="n">
        <f aca="false">SUMIF('Source NetSuite'!$A:$A,$A69,'Source NetSuite'!$E:$E)</f>
        <v>12</v>
      </c>
      <c r="E69" s="9" t="n">
        <f aca="false">D69*$J$5</f>
        <v>15.1578947368421</v>
      </c>
      <c r="F69" s="9" t="n">
        <f aca="false">E69-C69</f>
        <v>-41.8421052631579</v>
      </c>
      <c r="G69" s="10" t="n">
        <f aca="false">IF(AND(C69=0,E69=0),0,IF(C69=0,"New",(E69-C69)/C69))</f>
        <v>-0.734072022160665</v>
      </c>
      <c r="H69" s="9" t="n">
        <f aca="false">SUMIF('Source NetSuite'!$A:$A,$A69,'Source NetSuite'!$D:$D)</f>
        <v>4123.38</v>
      </c>
      <c r="I69" s="9" t="n">
        <f aca="false">SUMIF('Source NetSuite'!$A:$A,$A69,'Source NetSuite'!$F:$F)</f>
        <v>868.08</v>
      </c>
      <c r="J69" s="9" t="n">
        <f aca="false">I69*$J$5</f>
        <v>1096.52210526316</v>
      </c>
      <c r="K69" s="9" t="n">
        <f aca="false">J69-H69</f>
        <v>-3026.85789473684</v>
      </c>
      <c r="L69" s="10" t="n">
        <f aca="false">IF(AND(H69=0,J69=0),0,IF(H69=0,"New",(J69-H69)/H69))</f>
        <v>-0.734072022160665</v>
      </c>
      <c r="M69" s="8" t="str">
        <f aca="false">IF(AND(OR(C69&lt;&gt;0,H69&lt;&gt;0),D69=0,I69=0),"DROP",IF(AND(OR(D69&lt;&gt;0,I69&lt;&gt;0),C69=0,H69=0),"NEW",""))</f>
        <v/>
      </c>
    </row>
    <row r="70" customFormat="false" ht="15" hidden="false" customHeight="true" outlineLevel="0" collapsed="false">
      <c r="A70" s="8" t="s">
        <v>222</v>
      </c>
      <c r="B70" s="8" t="str">
        <f aca="false">IFERROR(INDEX('Source NetSuite'!$B:$B,MATCH($A70,'Source NetSuite'!$A:$A,0)),"")</f>
        <v>כרית סיליקון לעקב</v>
      </c>
      <c r="C70" s="9" t="n">
        <f aca="false">SUMIF('Source NetSuite'!$A:$A,$A70,'Source NetSuite'!$C:$C)</f>
        <v>65</v>
      </c>
      <c r="D70" s="9" t="n">
        <f aca="false">SUMIF('Source NetSuite'!$A:$A,$A70,'Source NetSuite'!$E:$E)</f>
        <v>12</v>
      </c>
      <c r="E70" s="9" t="n">
        <f aca="false">D70*$J$5</f>
        <v>15.1578947368421</v>
      </c>
      <c r="F70" s="9" t="n">
        <f aca="false">E70-C70</f>
        <v>-49.8421052631579</v>
      </c>
      <c r="G70" s="10" t="n">
        <f aca="false">IF(AND(C70=0,E70=0),0,IF(C70=0,"New",(E70-C70)/C70))</f>
        <v>-0.766801619433199</v>
      </c>
      <c r="H70" s="9" t="n">
        <f aca="false">SUMIF('Source NetSuite'!$A:$A,$A70,'Source NetSuite'!$D:$D)</f>
        <v>4112.55</v>
      </c>
      <c r="I70" s="9" t="n">
        <f aca="false">SUMIF('Source NetSuite'!$A:$A,$A70,'Source NetSuite'!$F:$F)</f>
        <v>878.82</v>
      </c>
      <c r="J70" s="9" t="n">
        <f aca="false">I70*$J$5</f>
        <v>1110.08842105263</v>
      </c>
      <c r="K70" s="9" t="n">
        <f aca="false">J70-H70</f>
        <v>-3002.46157894737</v>
      </c>
      <c r="L70" s="10" t="n">
        <f aca="false">IF(AND(H70=0,J70=0),0,IF(H70=0,"New",(J70-H70)/H70))</f>
        <v>-0.730072966638064</v>
      </c>
      <c r="M70" s="8" t="str">
        <f aca="false">IF(AND(OR(C70&lt;&gt;0,H70&lt;&gt;0),D70=0,I70=0),"DROP",IF(AND(OR(D70&lt;&gt;0,I70&lt;&gt;0),C70=0,H70=0),"NEW",""))</f>
        <v/>
      </c>
    </row>
    <row r="71" customFormat="false" ht="15" hidden="false" customHeight="true" outlineLevel="0" collapsed="false">
      <c r="A71" s="8" t="s">
        <v>223</v>
      </c>
      <c r="B71" s="8" t="str">
        <f aca="false">IFERROR(INDEX('Source NetSuite'!$B:$B,MATCH($A71,'Source NetSuite'!$A:$A,0)),"")</f>
        <v>מגן קרסול פתוח</v>
      </c>
      <c r="C71" s="9" t="n">
        <f aca="false">SUMIF('Source NetSuite'!$A:$A,$A71,'Source NetSuite'!$C:$C)</f>
        <v>226</v>
      </c>
      <c r="D71" s="9" t="n">
        <f aca="false">SUMIF('Source NetSuite'!$A:$A,$A71,'Source NetSuite'!$E:$E)</f>
        <v>36</v>
      </c>
      <c r="E71" s="9" t="n">
        <f aca="false">D71*$J$5</f>
        <v>45.4736842105263</v>
      </c>
      <c r="F71" s="9" t="n">
        <f aca="false">E71-C71</f>
        <v>-180.526315789474</v>
      </c>
      <c r="G71" s="10" t="n">
        <f aca="false">IF(AND(C71=0,E71=0),0,IF(C71=0,"New",(E71-C71)/C71))</f>
        <v>-0.798789007918025</v>
      </c>
      <c r="H71" s="9" t="n">
        <f aca="false">SUMIF('Source NetSuite'!$A:$A,$A71,'Source NetSuite'!$D:$D)</f>
        <v>3842</v>
      </c>
      <c r="I71" s="9" t="n">
        <f aca="false">SUMIF('Source NetSuite'!$A:$A,$A71,'Source NetSuite'!$F:$F)</f>
        <v>612</v>
      </c>
      <c r="J71" s="9" t="n">
        <f aca="false">I71*$J$5</f>
        <v>773.052631578947</v>
      </c>
      <c r="K71" s="9" t="n">
        <f aca="false">J71-H71</f>
        <v>-3068.94736842105</v>
      </c>
      <c r="L71" s="10" t="n">
        <f aca="false">IF(AND(H71=0,J71=0),0,IF(H71=0,"New",(J71-H71)/H71))</f>
        <v>-0.798789007918025</v>
      </c>
      <c r="M71" s="8" t="str">
        <f aca="false">IF(AND(OR(C71&lt;&gt;0,H71&lt;&gt;0),D71=0,I71=0),"DROP",IF(AND(OR(D71&lt;&gt;0,I71&lt;&gt;0),C71=0,H71=0),"NEW",""))</f>
        <v/>
      </c>
    </row>
    <row r="72" customFormat="false" ht="15" hidden="false" customHeight="true" outlineLevel="0" collapsed="false">
      <c r="A72" s="8" t="s">
        <v>224</v>
      </c>
      <c r="B72" s="8" t="str">
        <f aca="false">IFERROR(INDEX('Source NetSuite'!$B:$B,MATCH($A72,'Source NetSuite'!$A:$A,0)),"")</f>
        <v>מתלה יד-כיס</v>
      </c>
      <c r="C72" s="9" t="n">
        <f aca="false">SUMIF('Source NetSuite'!$A:$A,$A72,'Source NetSuite'!$C:$C)</f>
        <v>133</v>
      </c>
      <c r="D72" s="9" t="n">
        <f aca="false">SUMIF('Source NetSuite'!$A:$A,$A72,'Source NetSuite'!$E:$E)</f>
        <v>43</v>
      </c>
      <c r="E72" s="9" t="n">
        <f aca="false">D72*$J$5</f>
        <v>54.3157894736842</v>
      </c>
      <c r="F72" s="9" t="n">
        <f aca="false">E72-C72</f>
        <v>-78.6842105263158</v>
      </c>
      <c r="G72" s="10" t="n">
        <f aca="false">IF(AND(C72=0,E72=0),0,IF(C72=0,"New",(E72-C72)/C72))</f>
        <v>-0.591610605461021</v>
      </c>
      <c r="H72" s="9" t="n">
        <f aca="false">SUMIF('Source NetSuite'!$A:$A,$A72,'Source NetSuite'!$D:$D)</f>
        <v>4655</v>
      </c>
      <c r="I72" s="9" t="n">
        <f aca="false">SUMIF('Source NetSuite'!$A:$A,$A72,'Source NetSuite'!$F:$F)</f>
        <v>1505</v>
      </c>
      <c r="J72" s="9" t="n">
        <f aca="false">I72*$J$5</f>
        <v>1901.05263157895</v>
      </c>
      <c r="K72" s="9" t="n">
        <f aca="false">J72-H72</f>
        <v>-2753.94736842105</v>
      </c>
      <c r="L72" s="10" t="n">
        <f aca="false">IF(AND(H72=0,J72=0),0,IF(H72=0,"New",(J72-H72)/H72))</f>
        <v>-0.591610605461021</v>
      </c>
      <c r="M72" s="8" t="str">
        <f aca="false">IF(AND(OR(C72&lt;&gt;0,H72&lt;&gt;0),D72=0,I72=0),"DROP",IF(AND(OR(D72&lt;&gt;0,I72&lt;&gt;0),C72=0,H72=0),"NEW",""))</f>
        <v/>
      </c>
    </row>
    <row r="73" customFormat="false" ht="15" hidden="false" customHeight="true" outlineLevel="0" collapsed="false">
      <c r="A73" s="8" t="s">
        <v>225</v>
      </c>
      <c r="B73" s="8" t="str">
        <f aca="false">IFERROR(INDEX('Source NetSuite'!$B:$B,MATCH($A73,'Source NetSuite'!$A:$A,0)),"")</f>
        <v>גרבי נוחות קיץ שחור</v>
      </c>
      <c r="C73" s="9" t="n">
        <f aca="false">SUMIF('Source NetSuite'!$A:$A,$A73,'Source NetSuite'!$C:$C)</f>
        <v>191</v>
      </c>
      <c r="D73" s="9" t="n">
        <f aca="false">SUMIF('Source NetSuite'!$A:$A,$A73,'Source NetSuite'!$E:$E)</f>
        <v>20</v>
      </c>
      <c r="E73" s="9" t="n">
        <f aca="false">D73*$J$5</f>
        <v>25.2631578947368</v>
      </c>
      <c r="F73" s="9" t="n">
        <f aca="false">E73-C73</f>
        <v>-165.736842105263</v>
      </c>
      <c r="G73" s="10" t="n">
        <f aca="false">IF(AND(C73=0,E73=0),0,IF(C73=0,"New",(E73-C73)/C73))</f>
        <v>-0.867732157619179</v>
      </c>
      <c r="H73" s="9" t="n">
        <f aca="false">SUMIF('Source NetSuite'!$A:$A,$A73,'Source NetSuite'!$D:$D)</f>
        <v>3514.4</v>
      </c>
      <c r="I73" s="9" t="n">
        <f aca="false">SUMIF('Source NetSuite'!$A:$A,$A73,'Source NetSuite'!$F:$F)</f>
        <v>368</v>
      </c>
      <c r="J73" s="9" t="n">
        <f aca="false">I73*$J$5</f>
        <v>464.842105263158</v>
      </c>
      <c r="K73" s="9" t="n">
        <f aca="false">J73-H73</f>
        <v>-3049.55789473684</v>
      </c>
      <c r="L73" s="10" t="n">
        <f aca="false">IF(AND(H73=0,J73=0),0,IF(H73=0,"New",(J73-H73)/H73))</f>
        <v>-0.867732157619179</v>
      </c>
      <c r="M73" s="8" t="str">
        <f aca="false">IF(AND(OR(C73&lt;&gt;0,H73&lt;&gt;0),D73=0,I73=0),"DROP",IF(AND(OR(D73&lt;&gt;0,I73&lt;&gt;0),C73=0,H73=0),"NEW",""))</f>
        <v/>
      </c>
    </row>
    <row r="74" customFormat="false" ht="15" hidden="false" customHeight="true" outlineLevel="0" collapsed="false">
      <c r="A74" s="8" t="s">
        <v>226</v>
      </c>
      <c r="B74" s="8" t="str">
        <f aca="false">IFERROR(INDEX('Source NetSuite'!$B:$B,MATCH($A74,'Source NetSuite'!$A:$A,0)),"")</f>
        <v>חבק טניס</v>
      </c>
      <c r="C74" s="9" t="n">
        <f aca="false">SUMIF('Source NetSuite'!$A:$A,$A74,'Source NetSuite'!$C:$C)</f>
        <v>210</v>
      </c>
      <c r="D74" s="9" t="n">
        <f aca="false">SUMIF('Source NetSuite'!$A:$A,$A74,'Source NetSuite'!$E:$E)</f>
        <v>60</v>
      </c>
      <c r="E74" s="9" t="n">
        <f aca="false">D74*$J$5</f>
        <v>75.7894736842105</v>
      </c>
      <c r="F74" s="9" t="n">
        <f aca="false">E74-C74</f>
        <v>-134.210526315789</v>
      </c>
      <c r="G74" s="10" t="n">
        <f aca="false">IF(AND(C74=0,E74=0),0,IF(C74=0,"New",(E74-C74)/C74))</f>
        <v>-0.639097744360902</v>
      </c>
      <c r="H74" s="9" t="n">
        <f aca="false">SUMIF('Source NetSuite'!$A:$A,$A74,'Source NetSuite'!$D:$D)</f>
        <v>4368</v>
      </c>
      <c r="I74" s="9" t="n">
        <f aca="false">SUMIF('Source NetSuite'!$A:$A,$A74,'Source NetSuite'!$F:$F)</f>
        <v>1248</v>
      </c>
      <c r="J74" s="9" t="n">
        <f aca="false">I74*$J$5</f>
        <v>1576.42105263158</v>
      </c>
      <c r="K74" s="9" t="n">
        <f aca="false">J74-H74</f>
        <v>-2791.57894736842</v>
      </c>
      <c r="L74" s="10" t="n">
        <f aca="false">IF(AND(H74=0,J74=0),0,IF(H74=0,"New",(J74-H74)/H74))</f>
        <v>-0.639097744360902</v>
      </c>
      <c r="M74" s="8" t="str">
        <f aca="false">IF(AND(OR(C74&lt;&gt;0,H74&lt;&gt;0),D74=0,I74=0),"DROP",IF(AND(OR(D74&lt;&gt;0,I74&lt;&gt;0),C74=0,H74=0),"NEW",""))</f>
        <v/>
      </c>
    </row>
    <row r="75" customFormat="false" ht="15" hidden="false" customHeight="true" outlineLevel="0" collapsed="false">
      <c r="A75" s="8" t="s">
        <v>227</v>
      </c>
      <c r="B75" s="8" t="n">
        <f aca="false">IFERROR(INDEX('Source NetSuite'!$B:$B,MATCH($A75,'Source NetSuite'!$A:$A,0)),"")</f>
        <v>0</v>
      </c>
      <c r="C75" s="9" t="n">
        <f aca="false">SUMIF('Source NetSuite'!$A:$A,$A75,'Source NetSuite'!$C:$C)</f>
        <v>-1</v>
      </c>
      <c r="D75" s="9" t="n">
        <f aca="false">SUMIF('Source NetSuite'!$A:$A,$A75,'Source NetSuite'!$E:$E)</f>
        <v>-1</v>
      </c>
      <c r="E75" s="9" t="n">
        <f aca="false">D75*$J$5</f>
        <v>-1.26315789473684</v>
      </c>
      <c r="F75" s="9" t="n">
        <f aca="false">E75-C75</f>
        <v>-0.263157894736842</v>
      </c>
      <c r="G75" s="10" t="n">
        <f aca="false">IF(AND(C75=0,E75=0),0,IF(C75=0,"New",(E75-C75)/C75))</f>
        <v>0.263157894736842</v>
      </c>
      <c r="H75" s="9" t="n">
        <f aca="false">SUMIF('Source NetSuite'!$A:$A,$A75,'Source NetSuite'!$D:$D)</f>
        <v>-31945.47</v>
      </c>
      <c r="I75" s="9" t="n">
        <f aca="false">SUMIF('Source NetSuite'!$A:$A,$A75,'Source NetSuite'!$F:$F)</f>
        <v>-35055</v>
      </c>
      <c r="J75" s="9" t="n">
        <f aca="false">I75*$J$5</f>
        <v>-44280</v>
      </c>
      <c r="K75" s="9" t="n">
        <f aca="false">J75-H75</f>
        <v>-12334.53</v>
      </c>
      <c r="L75" s="10" t="n">
        <f aca="false">IF(AND(H75=0,J75=0),0,IF(H75=0,"New",(J75-H75)/H75))</f>
        <v>0.386112021516666</v>
      </c>
      <c r="M75" s="8" t="str">
        <f aca="false">IF(AND(OR(C75&lt;&gt;0,H75&lt;&gt;0),D75=0,I75=0),"DROP",IF(AND(OR(D75&lt;&gt;0,I75&lt;&gt;0),C75=0,H75=0),"NEW",""))</f>
        <v/>
      </c>
    </row>
    <row r="76" customFormat="false" ht="15" hidden="false" customHeight="true" outlineLevel="0" collapsed="false">
      <c r="A76" s="8" t="s">
        <v>228</v>
      </c>
      <c r="B76" s="8" t="str">
        <f aca="false">IFERROR(INDEX('Source NetSuite'!$B:$B,MATCH($A76,'Source NetSuite'!$A:$A,0)),"")</f>
        <v>ICE &amp; GO</v>
      </c>
      <c r="C76" s="9" t="n">
        <f aca="false">SUMIF('Source NetSuite'!$A:$A,$A76,'Source NetSuite'!$C:$C)</f>
        <v>237</v>
      </c>
      <c r="D76" s="9" t="n">
        <f aca="false">SUMIF('Source NetSuite'!$A:$A,$A76,'Source NetSuite'!$E:$E)</f>
        <v>23</v>
      </c>
      <c r="E76" s="9" t="n">
        <f aca="false">D76*$J$5</f>
        <v>29.0526315789474</v>
      </c>
      <c r="F76" s="9" t="n">
        <f aca="false">E76-C76</f>
        <v>-207.947368421053</v>
      </c>
      <c r="G76" s="10" t="n">
        <f aca="false">IF(AND(C76=0,E76=0),0,IF(C76=0,"New",(E76-C76)/C76))</f>
        <v>-0.877415056628914</v>
      </c>
      <c r="H76" s="9" t="n">
        <f aca="false">SUMIF('Source NetSuite'!$A:$A,$A76,'Source NetSuite'!$D:$D)</f>
        <v>3377.25</v>
      </c>
      <c r="I76" s="9" t="n">
        <f aca="false">SUMIF('Source NetSuite'!$A:$A,$A76,'Source NetSuite'!$F:$F)</f>
        <v>327.75</v>
      </c>
      <c r="J76" s="9" t="n">
        <f aca="false">I76*$J$5</f>
        <v>414</v>
      </c>
      <c r="K76" s="9" t="n">
        <f aca="false">J76-H76</f>
        <v>-2963.25</v>
      </c>
      <c r="L76" s="10" t="n">
        <f aca="false">IF(AND(H76=0,J76=0),0,IF(H76=0,"New",(J76-H76)/H76))</f>
        <v>-0.877415056628914</v>
      </c>
      <c r="M76" s="8" t="str">
        <f aca="false">IF(AND(OR(C76&lt;&gt;0,H76&lt;&gt;0),D76=0,I76=0),"DROP",IF(AND(OR(D76&lt;&gt;0,I76&lt;&gt;0),C76=0,H76=0),"NEW",""))</f>
        <v/>
      </c>
    </row>
    <row r="77" customFormat="false" ht="15" hidden="false" customHeight="true" outlineLevel="0" collapsed="false">
      <c r="A77" s="8" t="s">
        <v>229</v>
      </c>
      <c r="B77" s="8" t="str">
        <f aca="false">IFERROR(INDEX('Source NetSuite'!$B:$B,MATCH($A77,'Source NetSuite'!$A:$A,0)),"")</f>
        <v>שרוול מטטרזלי מסיליקון</v>
      </c>
      <c r="C77" s="9" t="n">
        <f aca="false">SUMIF('Source NetSuite'!$A:$A,$A77,'Source NetSuite'!$C:$C)</f>
        <v>109</v>
      </c>
      <c r="D77" s="9" t="n">
        <f aca="false">SUMIF('Source NetSuite'!$A:$A,$A77,'Source NetSuite'!$E:$E)</f>
        <v>35</v>
      </c>
      <c r="E77" s="9" t="n">
        <f aca="false">D77*$J$5</f>
        <v>44.2105263157895</v>
      </c>
      <c r="F77" s="9" t="n">
        <f aca="false">E77-C77</f>
        <v>-64.7894736842105</v>
      </c>
      <c r="G77" s="10" t="n">
        <f aca="false">IF(AND(C77=0,E77=0),0,IF(C77=0,"New",(E77-C77)/C77))</f>
        <v>-0.594398841139546</v>
      </c>
      <c r="H77" s="9" t="n">
        <f aca="false">SUMIF('Source NetSuite'!$A:$A,$A77,'Source NetSuite'!$D:$D)</f>
        <v>4490.8</v>
      </c>
      <c r="I77" s="9" t="n">
        <f aca="false">SUMIF('Source NetSuite'!$A:$A,$A77,'Source NetSuite'!$F:$F)</f>
        <v>1442</v>
      </c>
      <c r="J77" s="9" t="n">
        <f aca="false">I77*$J$5</f>
        <v>1821.47368421053</v>
      </c>
      <c r="K77" s="9" t="n">
        <f aca="false">J77-H77</f>
        <v>-2669.32631578947</v>
      </c>
      <c r="L77" s="10" t="n">
        <f aca="false">IF(AND(H77=0,J77=0),0,IF(H77=0,"New",(J77-H77)/H77))</f>
        <v>-0.594398841139546</v>
      </c>
      <c r="M77" s="8" t="str">
        <f aca="false">IF(AND(OR(C77&lt;&gt;0,H77&lt;&gt;0),D77=0,I77=0),"DROP",IF(AND(OR(D77&lt;&gt;0,I77&lt;&gt;0),C77=0,H77=0),"NEW",""))</f>
        <v/>
      </c>
    </row>
    <row r="78" customFormat="false" ht="15" hidden="false" customHeight="true" outlineLevel="0" collapsed="false">
      <c r="A78" s="8" t="s">
        <v>230</v>
      </c>
      <c r="B78" s="8" t="str">
        <f aca="false">IFERROR(INDEX('Source NetSuite'!$B:$B,MATCH($A78,'Source NetSuite'!$A:$A,0)),"")</f>
        <v>חגורה אוורירית איטלקית</v>
      </c>
      <c r="C78" s="9" t="n">
        <f aca="false">SUMIF('Source NetSuite'!$A:$A,$A78,'Source NetSuite'!$C:$C)</f>
        <v>21</v>
      </c>
      <c r="D78" s="9" t="n">
        <f aca="false">SUMIF('Source NetSuite'!$A:$A,$A78,'Source NetSuite'!$E:$E)</f>
        <v>4</v>
      </c>
      <c r="E78" s="9" t="n">
        <f aca="false">D78*$J$5</f>
        <v>5.05263157894737</v>
      </c>
      <c r="F78" s="9" t="n">
        <f aca="false">E78-C78</f>
        <v>-15.9473684210526</v>
      </c>
      <c r="G78" s="10" t="n">
        <f aca="false">IF(AND(C78=0,E78=0),0,IF(C78=0,"New",(E78-C78)/C78))</f>
        <v>-0.759398496240602</v>
      </c>
      <c r="H78" s="9" t="n">
        <f aca="false">SUMIF('Source NetSuite'!$A:$A,$A78,'Source NetSuite'!$D:$D)</f>
        <v>3685.5</v>
      </c>
      <c r="I78" s="9" t="n">
        <f aca="false">SUMIF('Source NetSuite'!$A:$A,$A78,'Source NetSuite'!$F:$F)</f>
        <v>702</v>
      </c>
      <c r="J78" s="9" t="n">
        <f aca="false">I78*$J$5</f>
        <v>886.736842105263</v>
      </c>
      <c r="K78" s="9" t="n">
        <f aca="false">J78-H78</f>
        <v>-2798.76315789474</v>
      </c>
      <c r="L78" s="10" t="n">
        <f aca="false">IF(AND(H78=0,J78=0),0,IF(H78=0,"New",(J78-H78)/H78))</f>
        <v>-0.759398496240601</v>
      </c>
      <c r="M78" s="8" t="str">
        <f aca="false">IF(AND(OR(C78&lt;&gt;0,H78&lt;&gt;0),D78=0,I78=0),"DROP",IF(AND(OR(D78&lt;&gt;0,I78&lt;&gt;0),C78=0,H78=0),"NEW",""))</f>
        <v/>
      </c>
    </row>
    <row r="79" customFormat="false" ht="15" hidden="false" customHeight="true" outlineLevel="0" collapsed="false">
      <c r="A79" s="8" t="s">
        <v>231</v>
      </c>
      <c r="B79" s="8" t="str">
        <f aca="false">IFERROR(INDEX('Source NetSuite'!$B:$B,MATCH($A79,'Source NetSuite'!$A:$A,0)),"")</f>
        <v>מגן יד</v>
      </c>
      <c r="C79" s="9" t="n">
        <f aca="false">SUMIF('Source NetSuite'!$A:$A,$A79,'Source NetSuite'!$C:$C)</f>
        <v>157</v>
      </c>
      <c r="D79" s="9" t="n">
        <f aca="false">SUMIF('Source NetSuite'!$A:$A,$A79,'Source NetSuite'!$E:$E)</f>
        <v>35</v>
      </c>
      <c r="E79" s="9" t="n">
        <f aca="false">D79*$J$5</f>
        <v>44.2105263157895</v>
      </c>
      <c r="F79" s="9" t="n">
        <f aca="false">E79-C79</f>
        <v>-112.789473684211</v>
      </c>
      <c r="G79" s="10" t="n">
        <f aca="false">IF(AND(C79=0,E79=0),0,IF(C79=0,"New",(E79-C79)/C79))</f>
        <v>-0.718404290982233</v>
      </c>
      <c r="H79" s="9" t="n">
        <f aca="false">SUMIF('Source NetSuite'!$A:$A,$A79,'Source NetSuite'!$D:$D)</f>
        <v>3835.51</v>
      </c>
      <c r="I79" s="9" t="n">
        <f aca="false">SUMIF('Source NetSuite'!$A:$A,$A79,'Source NetSuite'!$F:$F)</f>
        <v>855.05</v>
      </c>
      <c r="J79" s="9" t="n">
        <f aca="false">I79*$J$5</f>
        <v>1080.06315789474</v>
      </c>
      <c r="K79" s="9" t="n">
        <f aca="false">J79-H79</f>
        <v>-2755.44684210526</v>
      </c>
      <c r="L79" s="10" t="n">
        <f aca="false">IF(AND(H79=0,J79=0),0,IF(H79=0,"New",(J79-H79)/H79))</f>
        <v>-0.718404290982233</v>
      </c>
      <c r="M79" s="8" t="str">
        <f aca="false">IF(AND(OR(C79&lt;&gt;0,H79&lt;&gt;0),D79=0,I79=0),"DROP",IF(AND(OR(D79&lt;&gt;0,I79&lt;&gt;0),C79=0,H79=0),"NEW",""))</f>
        <v/>
      </c>
    </row>
    <row r="80" customFormat="false" ht="15" hidden="false" customHeight="true" outlineLevel="0" collapsed="false">
      <c r="A80" s="8" t="s">
        <v>232</v>
      </c>
      <c r="B80" s="8" t="str">
        <f aca="false">IFERROR(INDEX('Source NetSuite'!$B:$B,MATCH($A80,'Source NetSuite'!$A:$A,0)),"")</f>
        <v>אצבעון מסיליקון</v>
      </c>
      <c r="C80" s="9" t="n">
        <f aca="false">SUMIF('Source NetSuite'!$A:$A,$A80,'Source NetSuite'!$C:$C)</f>
        <v>234</v>
      </c>
      <c r="D80" s="9" t="n">
        <f aca="false">SUMIF('Source NetSuite'!$A:$A,$A80,'Source NetSuite'!$E:$E)</f>
        <v>53</v>
      </c>
      <c r="E80" s="9" t="n">
        <f aca="false">D80*$J$5</f>
        <v>66.9473684210526</v>
      </c>
      <c r="F80" s="9" t="n">
        <f aca="false">E80-C80</f>
        <v>-167.052631578947</v>
      </c>
      <c r="G80" s="10" t="n">
        <f aca="false">IF(AND(C80=0,E80=0),0,IF(C80=0,"New",(E80-C80)/C80))</f>
        <v>-0.713900134952767</v>
      </c>
      <c r="H80" s="9" t="n">
        <f aca="false">SUMIF('Source NetSuite'!$A:$A,$A80,'Source NetSuite'!$D:$D)</f>
        <v>3790.8</v>
      </c>
      <c r="I80" s="9" t="n">
        <f aca="false">SUMIF('Source NetSuite'!$A:$A,$A80,'Source NetSuite'!$F:$F)</f>
        <v>858.6</v>
      </c>
      <c r="J80" s="9" t="n">
        <f aca="false">I80*$J$5</f>
        <v>1084.54736842105</v>
      </c>
      <c r="K80" s="9" t="n">
        <f aca="false">J80-H80</f>
        <v>-2706.25263157895</v>
      </c>
      <c r="L80" s="10" t="n">
        <f aca="false">IF(AND(H80=0,J80=0),0,IF(H80=0,"New",(J80-H80)/H80))</f>
        <v>-0.713900134952767</v>
      </c>
      <c r="M80" s="8" t="str">
        <f aca="false">IF(AND(OR(C80&lt;&gt;0,H80&lt;&gt;0),D80=0,I80=0),"DROP",IF(AND(OR(D80&lt;&gt;0,I80&lt;&gt;0),C80=0,H80=0),"NEW",""))</f>
        <v/>
      </c>
    </row>
    <row r="81" customFormat="false" ht="15" hidden="false" customHeight="true" outlineLevel="0" collapsed="false">
      <c r="A81" s="8" t="s">
        <v>233</v>
      </c>
      <c r="B81" s="8" t="str">
        <f aca="false">IFERROR(INDEX('Source NetSuite'!$B:$B,MATCH($A81,'Source NetSuite'!$A:$A,0)),"")</f>
        <v>פומפיה להסרת עור</v>
      </c>
      <c r="C81" s="9" t="n">
        <f aca="false">SUMIF('Source NetSuite'!$A:$A,$A81,'Source NetSuite'!$C:$C)</f>
        <v>205</v>
      </c>
      <c r="D81" s="9" t="n">
        <f aca="false">SUMIF('Source NetSuite'!$A:$A,$A81,'Source NetSuite'!$E:$E)</f>
        <v>42</v>
      </c>
      <c r="E81" s="9" t="n">
        <f aca="false">D81*$J$5</f>
        <v>53.0526315789474</v>
      </c>
      <c r="F81" s="9" t="n">
        <f aca="false">E81-C81</f>
        <v>-151.947368421053</v>
      </c>
      <c r="G81" s="10" t="n">
        <f aca="false">IF(AND(C81=0,E81=0),0,IF(C81=0,"New",(E81-C81)/C81))</f>
        <v>-0.741206675224647</v>
      </c>
      <c r="H81" s="9" t="n">
        <f aca="false">SUMIF('Source NetSuite'!$A:$A,$A81,'Source NetSuite'!$D:$D)</f>
        <v>3679.75</v>
      </c>
      <c r="I81" s="9" t="n">
        <f aca="false">SUMIF('Source NetSuite'!$A:$A,$A81,'Source NetSuite'!$F:$F)</f>
        <v>753.9</v>
      </c>
      <c r="J81" s="9" t="n">
        <f aca="false">I81*$J$5</f>
        <v>952.294736842105</v>
      </c>
      <c r="K81" s="9" t="n">
        <f aca="false">J81-H81</f>
        <v>-2727.4552631579</v>
      </c>
      <c r="L81" s="10" t="n">
        <f aca="false">IF(AND(H81=0,J81=0),0,IF(H81=0,"New",(J81-H81)/H81))</f>
        <v>-0.741206675224647</v>
      </c>
      <c r="M81" s="8" t="str">
        <f aca="false">IF(AND(OR(C81&lt;&gt;0,H81&lt;&gt;0),D81=0,I81=0),"DROP",IF(AND(OR(D81&lt;&gt;0,I81&lt;&gt;0),C81=0,H81=0),"NEW",""))</f>
        <v/>
      </c>
    </row>
    <row r="82" customFormat="false" ht="15" hidden="false" customHeight="true" outlineLevel="0" collapsed="false">
      <c r="A82" s="8" t="s">
        <v>234</v>
      </c>
      <c r="B82" s="8" t="str">
        <f aca="false">IFERROR(INDEX('Source NetSuite'!$B:$B,MATCH($A82,'Source NetSuite'!$A:$A,0)),"")</f>
        <v>מגן מרפק</v>
      </c>
      <c r="C82" s="9" t="n">
        <f aca="false">SUMIF('Source NetSuite'!$A:$A,$A82,'Source NetSuite'!$C:$C)</f>
        <v>244</v>
      </c>
      <c r="D82" s="9" t="n">
        <f aca="false">SUMIF('Source NetSuite'!$A:$A,$A82,'Source NetSuite'!$E:$E)</f>
        <v>73</v>
      </c>
      <c r="E82" s="9" t="n">
        <f aca="false">D82*$J$5</f>
        <v>92.2105263157895</v>
      </c>
      <c r="F82" s="9" t="n">
        <f aca="false">E82-C82</f>
        <v>-151.789473684211</v>
      </c>
      <c r="G82" s="10" t="n">
        <f aca="false">IF(AND(C82=0,E82=0),0,IF(C82=0,"New",(E82-C82)/C82))</f>
        <v>-0.622088006902502</v>
      </c>
      <c r="H82" s="9" t="n">
        <f aca="false">SUMIF('Source NetSuite'!$A:$A,$A82,'Source NetSuite'!$D:$D)</f>
        <v>4148</v>
      </c>
      <c r="I82" s="9" t="n">
        <f aca="false">SUMIF('Source NetSuite'!$A:$A,$A82,'Source NetSuite'!$F:$F)</f>
        <v>1241</v>
      </c>
      <c r="J82" s="9" t="n">
        <f aca="false">I82*$J$5</f>
        <v>1567.57894736842</v>
      </c>
      <c r="K82" s="9" t="n">
        <f aca="false">J82-H82</f>
        <v>-2580.42105263158</v>
      </c>
      <c r="L82" s="10" t="n">
        <f aca="false">IF(AND(H82=0,J82=0),0,IF(H82=0,"New",(J82-H82)/H82))</f>
        <v>-0.622088006902502</v>
      </c>
      <c r="M82" s="8" t="str">
        <f aca="false">IF(AND(OR(C82&lt;&gt;0,H82&lt;&gt;0),D82=0,I82=0),"DROP",IF(AND(OR(D82&lt;&gt;0,I82&lt;&gt;0),C82=0,H82=0),"NEW",""))</f>
        <v/>
      </c>
    </row>
    <row r="83" customFormat="false" ht="15" hidden="false" customHeight="true" outlineLevel="0" collapsed="false">
      <c r="A83" s="8" t="s">
        <v>235</v>
      </c>
      <c r="B83" s="8" t="str">
        <f aca="false">IFERROR(INDEX('Source NetSuite'!$B:$B,MATCH($A83,'Source NetSuite'!$A:$A,0)),"")</f>
        <v>מתלה יד-כיס</v>
      </c>
      <c r="C83" s="9" t="n">
        <f aca="false">SUMIF('Source NetSuite'!$A:$A,$A83,'Source NetSuite'!$C:$C)</f>
        <v>127</v>
      </c>
      <c r="D83" s="9" t="n">
        <f aca="false">SUMIF('Source NetSuite'!$A:$A,$A83,'Source NetSuite'!$E:$E)</f>
        <v>44</v>
      </c>
      <c r="E83" s="9" t="n">
        <f aca="false">D83*$J$5</f>
        <v>55.5789473684211</v>
      </c>
      <c r="F83" s="9" t="n">
        <f aca="false">E83-C83</f>
        <v>-71.421052631579</v>
      </c>
      <c r="G83" s="10" t="n">
        <f aca="false">IF(AND(C83=0,E83=0),0,IF(C83=0,"New",(E83-C83)/C83))</f>
        <v>-0.562370493162039</v>
      </c>
      <c r="H83" s="9" t="n">
        <f aca="false">SUMIF('Source NetSuite'!$A:$A,$A83,'Source NetSuite'!$D:$D)</f>
        <v>4445</v>
      </c>
      <c r="I83" s="9" t="n">
        <f aca="false">SUMIF('Source NetSuite'!$A:$A,$A83,'Source NetSuite'!$F:$F)</f>
        <v>1540</v>
      </c>
      <c r="J83" s="9" t="n">
        <f aca="false">I83*$J$5</f>
        <v>1945.26315789474</v>
      </c>
      <c r="K83" s="9" t="n">
        <f aca="false">J83-H83</f>
        <v>-2499.73684210526</v>
      </c>
      <c r="L83" s="10" t="n">
        <f aca="false">IF(AND(H83=0,J83=0),0,IF(H83=0,"New",(J83-H83)/H83))</f>
        <v>-0.562370493162039</v>
      </c>
      <c r="M83" s="8" t="str">
        <f aca="false">IF(AND(OR(C83&lt;&gt;0,H83&lt;&gt;0),D83=0,I83=0),"DROP",IF(AND(OR(D83&lt;&gt;0,I83&lt;&gt;0),C83=0,H83=0),"NEW",""))</f>
        <v/>
      </c>
    </row>
    <row r="84" customFormat="false" ht="15" hidden="false" customHeight="true" outlineLevel="0" collapsed="false">
      <c r="A84" s="8" t="s">
        <v>236</v>
      </c>
      <c r="B84" s="8" t="str">
        <f aca="false">IFERROR(INDEX('Source NetSuite'!$B:$B,MATCH($A84,'Source NetSuite'!$A:$A,0)),"")</f>
        <v>חגורת היריון</v>
      </c>
      <c r="C84" s="9" t="n">
        <f aca="false">SUMIF('Source NetSuite'!$A:$A,$A84,'Source NetSuite'!$C:$C)</f>
        <v>49</v>
      </c>
      <c r="D84" s="9" t="n">
        <f aca="false">SUMIF('Source NetSuite'!$A:$A,$A84,'Source NetSuite'!$E:$E)</f>
        <v>14</v>
      </c>
      <c r="E84" s="9" t="n">
        <f aca="false">D84*$J$5</f>
        <v>17.6842105263158</v>
      </c>
      <c r="F84" s="9" t="n">
        <f aca="false">E84-C84</f>
        <v>-31.3157894736842</v>
      </c>
      <c r="G84" s="10" t="n">
        <f aca="false">IF(AND(C84=0,E84=0),0,IF(C84=0,"New",(E84-C84)/C84))</f>
        <v>-0.639097744360902</v>
      </c>
      <c r="H84" s="9" t="n">
        <f aca="false">SUMIF('Source NetSuite'!$A:$A,$A84,'Source NetSuite'!$D:$D)</f>
        <v>3812.2</v>
      </c>
      <c r="I84" s="9" t="n">
        <f aca="false">SUMIF('Source NetSuite'!$A:$A,$A84,'Source NetSuite'!$F:$F)</f>
        <v>1089.2</v>
      </c>
      <c r="J84" s="9" t="n">
        <f aca="false">I84*$J$5</f>
        <v>1375.83157894737</v>
      </c>
      <c r="K84" s="9" t="n">
        <f aca="false">J84-H84</f>
        <v>-2436.36842105263</v>
      </c>
      <c r="L84" s="10" t="n">
        <f aca="false">IF(AND(H84=0,J84=0),0,IF(H84=0,"New",(J84-H84)/H84))</f>
        <v>-0.639097744360902</v>
      </c>
      <c r="M84" s="8" t="str">
        <f aca="false">IF(AND(OR(C84&lt;&gt;0,H84&lt;&gt;0),D84=0,I84=0),"DROP",IF(AND(OR(D84&lt;&gt;0,I84&lt;&gt;0),C84=0,H84=0),"NEW",""))</f>
        <v/>
      </c>
    </row>
    <row r="85" customFormat="false" ht="15" hidden="false" customHeight="true" outlineLevel="0" collapsed="false">
      <c r="A85" s="8" t="s">
        <v>237</v>
      </c>
      <c r="B85" s="8" t="str">
        <f aca="false">IFERROR(INDEX('Source NetSuite'!$B:$B,MATCH($A85,'Source NetSuite'!$A:$A,0)),"")</f>
        <v>כרית מטטרזלי מס</v>
      </c>
      <c r="C85" s="9" t="n">
        <f aca="false">SUMIF('Source NetSuite'!$A:$A,$A85,'Source NetSuite'!$C:$C)</f>
        <v>188</v>
      </c>
      <c r="D85" s="9" t="n">
        <f aca="false">SUMIF('Source NetSuite'!$A:$A,$A85,'Source NetSuite'!$E:$E)</f>
        <v>41</v>
      </c>
      <c r="E85" s="9" t="n">
        <f aca="false">D85*$J$5</f>
        <v>51.7894736842105</v>
      </c>
      <c r="F85" s="9" t="n">
        <f aca="false">E85-C85</f>
        <v>-136.210526315789</v>
      </c>
      <c r="G85" s="10" t="n">
        <f aca="false">IF(AND(C85=0,E85=0),0,IF(C85=0,"New",(E85-C85)/C85))</f>
        <v>-0.724524076147816</v>
      </c>
      <c r="H85" s="9" t="n">
        <f aca="false">SUMIF('Source NetSuite'!$A:$A,$A85,'Source NetSuite'!$D:$D)</f>
        <v>3468.6</v>
      </c>
      <c r="I85" s="9" t="n">
        <f aca="false">SUMIF('Source NetSuite'!$A:$A,$A85,'Source NetSuite'!$F:$F)</f>
        <v>756.45</v>
      </c>
      <c r="J85" s="9" t="n">
        <f aca="false">I85*$J$5</f>
        <v>955.515789473684</v>
      </c>
      <c r="K85" s="9" t="n">
        <f aca="false">J85-H85</f>
        <v>-2513.08421052632</v>
      </c>
      <c r="L85" s="10" t="n">
        <f aca="false">IF(AND(H85=0,J85=0),0,IF(H85=0,"New",(J85-H85)/H85))</f>
        <v>-0.724524076147816</v>
      </c>
      <c r="M85" s="8" t="str">
        <f aca="false">IF(AND(OR(C85&lt;&gt;0,H85&lt;&gt;0),D85=0,I85=0),"DROP",IF(AND(OR(D85&lt;&gt;0,I85&lt;&gt;0),C85=0,H85=0),"NEW",""))</f>
        <v/>
      </c>
    </row>
    <row r="86" customFormat="false" ht="15" hidden="false" customHeight="true" outlineLevel="0" collapsed="false">
      <c r="A86" s="8" t="s">
        <v>238</v>
      </c>
      <c r="B86" s="8" t="str">
        <f aca="false">IFERROR(INDEX('Source NetSuite'!$B:$B,MATCH($A86,'Source NetSuite'!$A:$A,0)),"")</f>
        <v>מגן קרסול+ עקב סגור+רצועות</v>
      </c>
      <c r="C86" s="9" t="n">
        <f aca="false">SUMIF('Source NetSuite'!$A:$A,$A86,'Source NetSuite'!$C:$C)</f>
        <v>105</v>
      </c>
      <c r="D86" s="9" t="n">
        <f aca="false">SUMIF('Source NetSuite'!$A:$A,$A86,'Source NetSuite'!$E:$E)</f>
        <v>42</v>
      </c>
      <c r="E86" s="9" t="n">
        <f aca="false">D86*$J$5</f>
        <v>53.0526315789474</v>
      </c>
      <c r="F86" s="9" t="n">
        <f aca="false">E86-C86</f>
        <v>-51.9473684210526</v>
      </c>
      <c r="G86" s="10" t="n">
        <f aca="false">IF(AND(C86=0,E86=0),0,IF(C86=0,"New",(E86-C86)/C86))</f>
        <v>-0.494736842105263</v>
      </c>
      <c r="H86" s="9" t="n">
        <f aca="false">SUMIF('Source NetSuite'!$A:$A,$A86,'Source NetSuite'!$D:$D)</f>
        <v>4427.85</v>
      </c>
      <c r="I86" s="9" t="n">
        <f aca="false">SUMIF('Source NetSuite'!$A:$A,$A86,'Source NetSuite'!$F:$F)</f>
        <v>1771.14</v>
      </c>
      <c r="J86" s="9" t="n">
        <f aca="false">I86*$J$5</f>
        <v>2237.22947368421</v>
      </c>
      <c r="K86" s="9" t="n">
        <f aca="false">J86-H86</f>
        <v>-2190.62052631579</v>
      </c>
      <c r="L86" s="10" t="n">
        <f aca="false">IF(AND(H86=0,J86=0),0,IF(H86=0,"New",(J86-H86)/H86))</f>
        <v>-0.494736842105263</v>
      </c>
      <c r="M86" s="8" t="str">
        <f aca="false">IF(AND(OR(C86&lt;&gt;0,H86&lt;&gt;0),D86=0,I86=0),"DROP",IF(AND(OR(D86&lt;&gt;0,I86&lt;&gt;0),C86=0,H86=0),"NEW",""))</f>
        <v/>
      </c>
    </row>
    <row r="87" customFormat="false" ht="15" hidden="false" customHeight="true" outlineLevel="0" collapsed="false">
      <c r="A87" s="8" t="s">
        <v>239</v>
      </c>
      <c r="B87" s="8" t="str">
        <f aca="false">IFERROR(INDEX('Source NetSuite'!$B:$B,MATCH($A87,'Source NetSuite'!$A:$A,0)),"")</f>
        <v>מגן קרסול סגור</v>
      </c>
      <c r="C87" s="9" t="n">
        <f aca="false">SUMIF('Source NetSuite'!$A:$A,$A87,'Source NetSuite'!$C:$C)</f>
        <v>119</v>
      </c>
      <c r="D87" s="9" t="n">
        <f aca="false">SUMIF('Source NetSuite'!$A:$A,$A87,'Source NetSuite'!$E:$E)</f>
        <v>28</v>
      </c>
      <c r="E87" s="9" t="n">
        <f aca="false">D87*$J$5</f>
        <v>35.3684210526316</v>
      </c>
      <c r="F87" s="9" t="n">
        <f aca="false">E87-C87</f>
        <v>-83.6315789473684</v>
      </c>
      <c r="G87" s="10" t="n">
        <f aca="false">IF(AND(C87=0,E87=0),0,IF(C87=0,"New",(E87-C87)/C87))</f>
        <v>-0.702786377708978</v>
      </c>
      <c r="H87" s="9" t="n">
        <f aca="false">SUMIF('Source NetSuite'!$A:$A,$A87,'Source NetSuite'!$D:$D)</f>
        <v>3442.67</v>
      </c>
      <c r="I87" s="9" t="n">
        <f aca="false">SUMIF('Source NetSuite'!$A:$A,$A87,'Source NetSuite'!$F:$F)</f>
        <v>810.04</v>
      </c>
      <c r="J87" s="9" t="n">
        <f aca="false">I87*$J$5</f>
        <v>1023.20842105263</v>
      </c>
      <c r="K87" s="9" t="n">
        <f aca="false">J87-H87</f>
        <v>-2419.46157894737</v>
      </c>
      <c r="L87" s="10" t="n">
        <f aca="false">IF(AND(H87=0,J87=0),0,IF(H87=0,"New",(J87-H87)/H87))</f>
        <v>-0.702786377708978</v>
      </c>
      <c r="M87" s="8" t="str">
        <f aca="false">IF(AND(OR(C87&lt;&gt;0,H87&lt;&gt;0),D87=0,I87=0),"DROP",IF(AND(OR(D87&lt;&gt;0,I87&lt;&gt;0),C87=0,H87=0),"NEW",""))</f>
        <v/>
      </c>
    </row>
    <row r="88" customFormat="false" ht="15" hidden="false" customHeight="true" outlineLevel="0" collapsed="false">
      <c r="A88" s="8" t="s">
        <v>240</v>
      </c>
      <c r="B88" s="8" t="str">
        <f aca="false">IFERROR(INDEX('Source NetSuite'!$B:$B,MATCH($A88,'Source NetSuite'!$A:$A,0)),"")</f>
        <v>מגן מרפק</v>
      </c>
      <c r="C88" s="9" t="n">
        <f aca="false">SUMIF('Source NetSuite'!$A:$A,$A88,'Source NetSuite'!$C:$C)</f>
        <v>217</v>
      </c>
      <c r="D88" s="9" t="n">
        <f aca="false">SUMIF('Source NetSuite'!$A:$A,$A88,'Source NetSuite'!$E:$E)</f>
        <v>68</v>
      </c>
      <c r="E88" s="9" t="n">
        <f aca="false">D88*$J$5</f>
        <v>85.8947368421053</v>
      </c>
      <c r="F88" s="9" t="n">
        <f aca="false">E88-C88</f>
        <v>-131.105263157895</v>
      </c>
      <c r="G88" s="10" t="n">
        <f aca="false">IF(AND(C88=0,E88=0),0,IF(C88=0,"New",(E88-C88)/C88))</f>
        <v>-0.604171719621635</v>
      </c>
      <c r="H88" s="9" t="n">
        <f aca="false">SUMIF('Source NetSuite'!$A:$A,$A88,'Source NetSuite'!$D:$D)</f>
        <v>3689</v>
      </c>
      <c r="I88" s="9" t="n">
        <f aca="false">SUMIF('Source NetSuite'!$A:$A,$A88,'Source NetSuite'!$F:$F)</f>
        <v>1156</v>
      </c>
      <c r="J88" s="9" t="n">
        <f aca="false">I88*$J$5</f>
        <v>1460.21052631579</v>
      </c>
      <c r="K88" s="9" t="n">
        <f aca="false">J88-H88</f>
        <v>-2228.78947368421</v>
      </c>
      <c r="L88" s="10" t="n">
        <f aca="false">IF(AND(H88=0,J88=0),0,IF(H88=0,"New",(J88-H88)/H88))</f>
        <v>-0.604171719621635</v>
      </c>
      <c r="M88" s="8" t="str">
        <f aca="false">IF(AND(OR(C88&lt;&gt;0,H88&lt;&gt;0),D88=0,I88=0),"DROP",IF(AND(OR(D88&lt;&gt;0,I88&lt;&gt;0),C88=0,H88=0),"NEW",""))</f>
        <v/>
      </c>
    </row>
    <row r="89" customFormat="false" ht="15" hidden="false" customHeight="true" outlineLevel="0" collapsed="false">
      <c r="A89" s="8" t="s">
        <v>241</v>
      </c>
      <c r="B89" s="8" t="str">
        <f aca="false">IFERROR(INDEX('Source NetSuite'!$B:$B,MATCH($A89,'Source NetSuite'!$A:$A,0)),"")</f>
        <v>מגן קרסול פתוח</v>
      </c>
      <c r="C89" s="9" t="n">
        <f aca="false">SUMIF('Source NetSuite'!$A:$A,$A89,'Source NetSuite'!$C:$C)</f>
        <v>235</v>
      </c>
      <c r="D89" s="9" t="n">
        <f aca="false">SUMIF('Source NetSuite'!$A:$A,$A89,'Source NetSuite'!$E:$E)</f>
        <v>91</v>
      </c>
      <c r="E89" s="9" t="n">
        <f aca="false">D89*$J$5</f>
        <v>114.947368421053</v>
      </c>
      <c r="F89" s="9" t="n">
        <f aca="false">E89-C89</f>
        <v>-120.052631578947</v>
      </c>
      <c r="G89" s="10" t="n">
        <f aca="false">IF(AND(C89=0,E89=0),0,IF(C89=0,"New",(E89-C89)/C89))</f>
        <v>-0.510862262038074</v>
      </c>
      <c r="H89" s="9" t="n">
        <f aca="false">SUMIF('Source NetSuite'!$A:$A,$A89,'Source NetSuite'!$D:$D)</f>
        <v>3995</v>
      </c>
      <c r="I89" s="9" t="n">
        <f aca="false">SUMIF('Source NetSuite'!$A:$A,$A89,'Source NetSuite'!$F:$F)</f>
        <v>1547</v>
      </c>
      <c r="J89" s="9" t="n">
        <f aca="false">I89*$J$5</f>
        <v>1954.10526315789</v>
      </c>
      <c r="K89" s="9" t="n">
        <f aca="false">J89-H89</f>
        <v>-2040.89473684211</v>
      </c>
      <c r="L89" s="10" t="n">
        <f aca="false">IF(AND(H89=0,J89=0),0,IF(H89=0,"New",(J89-H89)/H89))</f>
        <v>-0.510862262038074</v>
      </c>
      <c r="M89" s="8" t="str">
        <f aca="false">IF(AND(OR(C89&lt;&gt;0,H89&lt;&gt;0),D89=0,I89=0),"DROP",IF(AND(OR(D89&lt;&gt;0,I89&lt;&gt;0),C89=0,H89=0),"NEW",""))</f>
        <v/>
      </c>
    </row>
    <row r="90" customFormat="false" ht="15" hidden="false" customHeight="true" outlineLevel="0" collapsed="false">
      <c r="A90" s="8" t="s">
        <v>242</v>
      </c>
      <c r="B90" s="8" t="str">
        <f aca="false">IFERROR(INDEX('Source NetSuite'!$B:$B,MATCH($A90,'Source NetSuite'!$A:$A,0)),"")</f>
        <v>מפריד הלוקס עם כרית</v>
      </c>
      <c r="C90" s="9" t="n">
        <f aca="false">SUMIF('Source NetSuite'!$A:$A,$A90,'Source NetSuite'!$C:$C)</f>
        <v>76</v>
      </c>
      <c r="D90" s="9" t="n">
        <f aca="false">SUMIF('Source NetSuite'!$A:$A,$A90,'Source NetSuite'!$E:$E)</f>
        <v>17</v>
      </c>
      <c r="E90" s="9" t="n">
        <f aca="false">D90*$J$5</f>
        <v>21.4736842105263</v>
      </c>
      <c r="F90" s="9" t="n">
        <f aca="false">E90-C90</f>
        <v>-54.5263157894737</v>
      </c>
      <c r="G90" s="10" t="n">
        <f aca="false">IF(AND(C90=0,E90=0),0,IF(C90=0,"New",(E90-C90)/C90))</f>
        <v>-0.717451523545706</v>
      </c>
      <c r="H90" s="9" t="n">
        <f aca="false">SUMIF('Source NetSuite'!$A:$A,$A90,'Source NetSuite'!$D:$D)</f>
        <v>2941.2</v>
      </c>
      <c r="I90" s="9" t="n">
        <f aca="false">SUMIF('Source NetSuite'!$A:$A,$A90,'Source NetSuite'!$F:$F)</f>
        <v>657.9</v>
      </c>
      <c r="J90" s="9" t="n">
        <f aca="false">I90*$J$5</f>
        <v>831.031578947368</v>
      </c>
      <c r="K90" s="9" t="n">
        <f aca="false">J90-H90</f>
        <v>-2110.16842105263</v>
      </c>
      <c r="L90" s="10" t="n">
        <f aca="false">IF(AND(H90=0,J90=0),0,IF(H90=0,"New",(J90-H90)/H90))</f>
        <v>-0.717451523545706</v>
      </c>
      <c r="M90" s="8" t="str">
        <f aca="false">IF(AND(OR(C90&lt;&gt;0,H90&lt;&gt;0),D90=0,I90=0),"DROP",IF(AND(OR(D90&lt;&gt;0,I90&lt;&gt;0),C90=0,H90=0),"NEW",""))</f>
        <v/>
      </c>
    </row>
    <row r="91" customFormat="false" ht="15" hidden="false" customHeight="true" outlineLevel="0" collapsed="false">
      <c r="A91" s="8" t="s">
        <v>243</v>
      </c>
      <c r="B91" s="8" t="str">
        <f aca="false">IFERROR(INDEX('Source NetSuite'!$B:$B,MATCH($A91,'Source NetSuite'!$A:$A,0)),"")</f>
        <v>מיישר בוהן</v>
      </c>
      <c r="C91" s="9" t="n">
        <f aca="false">SUMIF('Source NetSuite'!$A:$A,$A91,'Source NetSuite'!$C:$C)</f>
        <v>199</v>
      </c>
      <c r="D91" s="9" t="n">
        <f aca="false">SUMIF('Source NetSuite'!$A:$A,$A91,'Source NetSuite'!$E:$E)</f>
        <v>23</v>
      </c>
      <c r="E91" s="9" t="n">
        <f aca="false">D91*$J$5</f>
        <v>29.0526315789474</v>
      </c>
      <c r="F91" s="9" t="n">
        <f aca="false">E91-C91</f>
        <v>-169.947368421053</v>
      </c>
      <c r="G91" s="10" t="n">
        <f aca="false">IF(AND(C91=0,E91=0),0,IF(C91=0,"New",(E91-C91)/C91))</f>
        <v>-0.854006876487702</v>
      </c>
      <c r="H91" s="9" t="n">
        <f aca="false">SUMIF('Source NetSuite'!$A:$A,$A91,'Source NetSuite'!$D:$D)</f>
        <v>2577.05</v>
      </c>
      <c r="I91" s="9" t="n">
        <f aca="false">SUMIF('Source NetSuite'!$A:$A,$A91,'Source NetSuite'!$F:$F)</f>
        <v>297.85</v>
      </c>
      <c r="J91" s="9" t="n">
        <f aca="false">I91*$J$5</f>
        <v>376.231578947368</v>
      </c>
      <c r="K91" s="9" t="n">
        <f aca="false">J91-H91</f>
        <v>-2200.81842105263</v>
      </c>
      <c r="L91" s="10" t="n">
        <f aca="false">IF(AND(H91=0,J91=0),0,IF(H91=0,"New",(J91-H91)/H91))</f>
        <v>-0.854006876487702</v>
      </c>
      <c r="M91" s="8" t="str">
        <f aca="false">IF(AND(OR(C91&lt;&gt;0,H91&lt;&gt;0),D91=0,I91=0),"DROP",IF(AND(OR(D91&lt;&gt;0,I91&lt;&gt;0),C91=0,H91=0),"NEW",""))</f>
        <v/>
      </c>
    </row>
    <row r="92" customFormat="false" ht="15" hidden="false" customHeight="true" outlineLevel="0" collapsed="false">
      <c r="A92" s="8" t="s">
        <v>244</v>
      </c>
      <c r="B92" s="8" t="str">
        <f aca="false">IFERROR(INDEX('Source NetSuite'!$B:$B,MATCH($A92,'Source NetSuite'!$A:$A,0)),"")</f>
        <v>מפריד אצבע</v>
      </c>
      <c r="C92" s="9" t="n">
        <f aca="false">SUMIF('Source NetSuite'!$A:$A,$A92,'Source NetSuite'!$C:$C)</f>
        <v>327</v>
      </c>
      <c r="D92" s="9" t="n">
        <f aca="false">SUMIF('Source NetSuite'!$A:$A,$A92,'Source NetSuite'!$E:$E)</f>
        <v>88</v>
      </c>
      <c r="E92" s="9" t="n">
        <f aca="false">D92*$J$5</f>
        <v>111.157894736842</v>
      </c>
      <c r="F92" s="9" t="n">
        <f aca="false">E92-C92</f>
        <v>-215.842105263158</v>
      </c>
      <c r="G92" s="10" t="n">
        <f aca="false">IF(AND(C92=0,E92=0),0,IF(C92=0,"New",(E92-C92)/C92))</f>
        <v>-0.660067600193144</v>
      </c>
      <c r="H92" s="9" t="n">
        <f aca="false">SUMIF('Source NetSuite'!$A:$A,$A92,'Source NetSuite'!$D:$D)</f>
        <v>3106.5</v>
      </c>
      <c r="I92" s="9" t="n">
        <f aca="false">SUMIF('Source NetSuite'!$A:$A,$A92,'Source NetSuite'!$F:$F)</f>
        <v>836</v>
      </c>
      <c r="J92" s="9" t="n">
        <f aca="false">I92*$J$5</f>
        <v>1056</v>
      </c>
      <c r="K92" s="9" t="n">
        <f aca="false">J92-H92</f>
        <v>-2050.5</v>
      </c>
      <c r="L92" s="10" t="n">
        <f aca="false">IF(AND(H92=0,J92=0),0,IF(H92=0,"New",(J92-H92)/H92))</f>
        <v>-0.660067600193143</v>
      </c>
      <c r="M92" s="8" t="str">
        <f aca="false">IF(AND(OR(C92&lt;&gt;0,H92&lt;&gt;0),D92=0,I92=0),"DROP",IF(AND(OR(D92&lt;&gt;0,I92&lt;&gt;0),C92=0,H92=0),"NEW",""))</f>
        <v/>
      </c>
    </row>
    <row r="93" customFormat="false" ht="15" hidden="false" customHeight="true" outlineLevel="0" collapsed="false">
      <c r="A93" s="8" t="s">
        <v>245</v>
      </c>
      <c r="B93" s="8" t="str">
        <f aca="false">IFERROR(INDEX('Source NetSuite'!$B:$B,MATCH($A93,'Source NetSuite'!$A:$A,0)),"")</f>
        <v>חגורת בטן</v>
      </c>
      <c r="C93" s="9" t="n">
        <f aca="false">SUMIF('Source NetSuite'!$A:$A,$A93,'Source NetSuite'!$C:$C)</f>
        <v>33</v>
      </c>
      <c r="D93" s="9" t="n">
        <f aca="false">SUMIF('Source NetSuite'!$A:$A,$A93,'Source NetSuite'!$E:$E)</f>
        <v>2</v>
      </c>
      <c r="E93" s="9" t="n">
        <f aca="false">D93*$J$5</f>
        <v>2.52631578947368</v>
      </c>
      <c r="F93" s="9" t="n">
        <f aca="false">E93-C93</f>
        <v>-30.4736842105263</v>
      </c>
      <c r="G93" s="10" t="n">
        <f aca="false">IF(AND(C93=0,E93=0),0,IF(C93=0,"New",(E93-C93)/C93))</f>
        <v>-0.923444976076555</v>
      </c>
      <c r="H93" s="9" t="n">
        <f aca="false">SUMIF('Source NetSuite'!$A:$A,$A93,'Source NetSuite'!$D:$D)</f>
        <v>2387.22</v>
      </c>
      <c r="I93" s="9" t="n">
        <f aca="false">SUMIF('Source NetSuite'!$A:$A,$A93,'Source NetSuite'!$F:$F)</f>
        <v>144.68</v>
      </c>
      <c r="J93" s="9" t="n">
        <f aca="false">I93*$J$5</f>
        <v>182.753684210526</v>
      </c>
      <c r="K93" s="9" t="n">
        <f aca="false">J93-H93</f>
        <v>-2204.46631578947</v>
      </c>
      <c r="L93" s="10" t="n">
        <f aca="false">IF(AND(H93=0,J93=0),0,IF(H93=0,"New",(J93-H93)/H93))</f>
        <v>-0.923444976076555</v>
      </c>
      <c r="M93" s="8" t="str">
        <f aca="false">IF(AND(OR(C93&lt;&gt;0,H93&lt;&gt;0),D93=0,I93=0),"DROP",IF(AND(OR(D93&lt;&gt;0,I93&lt;&gt;0),C93=0,H93=0),"NEW",""))</f>
        <v/>
      </c>
    </row>
    <row r="94" customFormat="false" ht="15" hidden="false" customHeight="true" outlineLevel="0" collapsed="false">
      <c r="A94" s="8" t="s">
        <v>246</v>
      </c>
      <c r="B94" s="8" t="str">
        <f aca="false">IFERROR(INDEX('Source NetSuite'!$B:$B,MATCH($A94,'Source NetSuite'!$A:$A,0)),"")</f>
        <v>בננה לתמכת אצבעו</v>
      </c>
      <c r="C94" s="9" t="n">
        <f aca="false">SUMIF('Source NetSuite'!$A:$A,$A94,'Source NetSuite'!$C:$C)</f>
        <v>154</v>
      </c>
      <c r="D94" s="9" t="n">
        <f aca="false">SUMIF('Source NetSuite'!$A:$A,$A94,'Source NetSuite'!$E:$E)</f>
        <v>26</v>
      </c>
      <c r="E94" s="9" t="n">
        <f aca="false">D94*$J$5</f>
        <v>32.8421052631579</v>
      </c>
      <c r="F94" s="9" t="n">
        <f aca="false">E94-C94</f>
        <v>-121.157894736842</v>
      </c>
      <c r="G94" s="10" t="n">
        <f aca="false">IF(AND(C94=0,E94=0),0,IF(C94=0,"New",(E94-C94)/C94))</f>
        <v>-0.78673957621326</v>
      </c>
      <c r="H94" s="9" t="n">
        <f aca="false">SUMIF('Source NetSuite'!$A:$A,$A94,'Source NetSuite'!$D:$D)</f>
        <v>2671.9</v>
      </c>
      <c r="I94" s="9" t="n">
        <f aca="false">SUMIF('Source NetSuite'!$A:$A,$A94,'Source NetSuite'!$F:$F)</f>
        <v>451.1</v>
      </c>
      <c r="J94" s="9" t="n">
        <f aca="false">I94*$J$5</f>
        <v>569.81052631579</v>
      </c>
      <c r="K94" s="9" t="n">
        <f aca="false">J94-H94</f>
        <v>-2102.08947368421</v>
      </c>
      <c r="L94" s="10" t="n">
        <f aca="false">IF(AND(H94=0,J94=0),0,IF(H94=0,"New",(J94-H94)/H94))</f>
        <v>-0.78673957621326</v>
      </c>
      <c r="M94" s="8" t="str">
        <f aca="false">IF(AND(OR(C94&lt;&gt;0,H94&lt;&gt;0),D94=0,I94=0),"DROP",IF(AND(OR(D94&lt;&gt;0,I94&lt;&gt;0),C94=0,H94=0),"NEW",""))</f>
        <v/>
      </c>
    </row>
    <row r="95" customFormat="false" ht="15" hidden="false" customHeight="true" outlineLevel="0" collapsed="false">
      <c r="A95" s="8" t="s">
        <v>247</v>
      </c>
      <c r="B95" s="8" t="str">
        <f aca="false">IFERROR(INDEX('Source NetSuite'!$B:$B,MATCH($A95,'Source NetSuite'!$A:$A,0)),"")</f>
        <v>מגן מרפק</v>
      </c>
      <c r="C95" s="9" t="n">
        <f aca="false">SUMIF('Source NetSuite'!$A:$A,$A95,'Source NetSuite'!$C:$C)</f>
        <v>186</v>
      </c>
      <c r="D95" s="9" t="n">
        <f aca="false">SUMIF('Source NetSuite'!$A:$A,$A95,'Source NetSuite'!$E:$E)</f>
        <v>57</v>
      </c>
      <c r="E95" s="9" t="n">
        <f aca="false">D95*$J$5</f>
        <v>72</v>
      </c>
      <c r="F95" s="9" t="n">
        <f aca="false">E95-C95</f>
        <v>-114</v>
      </c>
      <c r="G95" s="10" t="n">
        <f aca="false">IF(AND(C95=0,E95=0),0,IF(C95=0,"New",(E95-C95)/C95))</f>
        <v>-0.612903225806452</v>
      </c>
      <c r="H95" s="9" t="n">
        <f aca="false">SUMIF('Source NetSuite'!$A:$A,$A95,'Source NetSuite'!$D:$D)</f>
        <v>3162</v>
      </c>
      <c r="I95" s="9" t="n">
        <f aca="false">SUMIF('Source NetSuite'!$A:$A,$A95,'Source NetSuite'!$F:$F)</f>
        <v>969</v>
      </c>
      <c r="J95" s="9" t="n">
        <f aca="false">I95*$J$5</f>
        <v>1224</v>
      </c>
      <c r="K95" s="9" t="n">
        <f aca="false">J95-H95</f>
        <v>-1938</v>
      </c>
      <c r="L95" s="10" t="n">
        <f aca="false">IF(AND(H95=0,J95=0),0,IF(H95=0,"New",(J95-H95)/H95))</f>
        <v>-0.612903225806452</v>
      </c>
      <c r="M95" s="8" t="str">
        <f aca="false">IF(AND(OR(C95&lt;&gt;0,H95&lt;&gt;0),D95=0,I95=0),"DROP",IF(AND(OR(D95&lt;&gt;0,I95&lt;&gt;0),C95=0,H95=0),"NEW",""))</f>
        <v/>
      </c>
    </row>
    <row r="96" customFormat="false" ht="15" hidden="false" customHeight="true" outlineLevel="0" collapsed="false">
      <c r="A96" s="8" t="s">
        <v>248</v>
      </c>
      <c r="B96" s="8" t="str">
        <f aca="false">IFERROR(INDEX('Source NetSuite'!$B:$B,MATCH($A96,'Source NetSuite'!$A:$A,0)),"")</f>
        <v>מגן קרסול</v>
      </c>
      <c r="C96" s="9" t="n">
        <f aca="false">SUMIF('Source NetSuite'!$A:$A,$A96,'Source NetSuite'!$C:$C)</f>
        <v>177</v>
      </c>
      <c r="D96" s="9" t="n">
        <f aca="false">SUMIF('Source NetSuite'!$A:$A,$A96,'Source NetSuite'!$E:$E)</f>
        <v>73</v>
      </c>
      <c r="E96" s="9" t="n">
        <f aca="false">D96*$J$5</f>
        <v>92.2105263157895</v>
      </c>
      <c r="F96" s="9" t="n">
        <f aca="false">E96-C96</f>
        <v>-84.7894736842105</v>
      </c>
      <c r="G96" s="10" t="n">
        <f aca="false">IF(AND(C96=0,E96=0),0,IF(C96=0,"New",(E96-C96)/C96))</f>
        <v>-0.479036574487065</v>
      </c>
      <c r="H96" s="9" t="n">
        <f aca="false">SUMIF('Source NetSuite'!$A:$A,$A96,'Source NetSuite'!$D:$D)</f>
        <v>3717</v>
      </c>
      <c r="I96" s="9" t="n">
        <f aca="false">SUMIF('Source NetSuite'!$A:$A,$A96,'Source NetSuite'!$F:$F)</f>
        <v>1533</v>
      </c>
      <c r="J96" s="9" t="n">
        <f aca="false">I96*$J$5</f>
        <v>1936.42105263158</v>
      </c>
      <c r="K96" s="9" t="n">
        <f aca="false">J96-H96</f>
        <v>-1780.57894736842</v>
      </c>
      <c r="L96" s="10" t="n">
        <f aca="false">IF(AND(H96=0,J96=0),0,IF(H96=0,"New",(J96-H96)/H96))</f>
        <v>-0.479036574487065</v>
      </c>
      <c r="M96" s="8" t="str">
        <f aca="false">IF(AND(OR(C96&lt;&gt;0,H96&lt;&gt;0),D96=0,I96=0),"DROP",IF(AND(OR(D96&lt;&gt;0,I96&lt;&gt;0),C96=0,H96=0),"NEW",""))</f>
        <v/>
      </c>
    </row>
    <row r="97" customFormat="false" ht="15" hidden="false" customHeight="true" outlineLevel="0" collapsed="false">
      <c r="A97" s="8" t="s">
        <v>249</v>
      </c>
      <c r="B97" s="8" t="str">
        <f aca="false">IFERROR(INDEX('Source NetSuite'!$B:$B,MATCH($A97,'Source NetSuite'!$A:$A,0)),"")</f>
        <v>מישר כתפיים רחב+תמיכה לבית השח</v>
      </c>
      <c r="C97" s="9" t="n">
        <f aca="false">SUMIF('Source NetSuite'!$A:$A,$A97,'Source NetSuite'!$C:$C)</f>
        <v>24</v>
      </c>
      <c r="D97" s="9" t="n">
        <f aca="false">SUMIF('Source NetSuite'!$A:$A,$A97,'Source NetSuite'!$E:$E)</f>
        <v>8</v>
      </c>
      <c r="E97" s="9" t="n">
        <f aca="false">D97*$J$5</f>
        <v>10.1052631578947</v>
      </c>
      <c r="F97" s="9" t="n">
        <f aca="false">E97-C97</f>
        <v>-13.8947368421053</v>
      </c>
      <c r="G97" s="10" t="n">
        <f aca="false">IF(AND(C97=0,E97=0),0,IF(C97=0,"New",(E97-C97)/C97))</f>
        <v>-0.578947368421053</v>
      </c>
      <c r="H97" s="9" t="n">
        <f aca="false">SUMIF('Source NetSuite'!$A:$A,$A97,'Source NetSuite'!$D:$D)</f>
        <v>3271.2</v>
      </c>
      <c r="I97" s="9" t="n">
        <f aca="false">SUMIF('Source NetSuite'!$A:$A,$A97,'Source NetSuite'!$F:$F)</f>
        <v>1090.4</v>
      </c>
      <c r="J97" s="9" t="n">
        <f aca="false">I97*$J$5</f>
        <v>1377.34736842105</v>
      </c>
      <c r="K97" s="9" t="n">
        <f aca="false">J97-H97</f>
        <v>-1893.85263157895</v>
      </c>
      <c r="L97" s="10" t="n">
        <f aca="false">IF(AND(H97=0,J97=0),0,IF(H97=0,"New",(J97-H97)/H97))</f>
        <v>-0.578947368421053</v>
      </c>
      <c r="M97" s="8" t="str">
        <f aca="false">IF(AND(OR(C97&lt;&gt;0,H97&lt;&gt;0),D97=0,I97=0),"DROP",IF(AND(OR(D97&lt;&gt;0,I97&lt;&gt;0),C97=0,H97=0),"NEW",""))</f>
        <v/>
      </c>
    </row>
    <row r="98" customFormat="false" ht="15" hidden="false" customHeight="true" outlineLevel="0" collapsed="false">
      <c r="A98" s="8" t="s">
        <v>250</v>
      </c>
      <c r="B98" s="8" t="str">
        <f aca="false">IFERROR(INDEX('Source NetSuite'!$B:$B,MATCH($A98,'Source NetSuite'!$A:$A,0)),"")</f>
        <v>מגן ברך רגיל</v>
      </c>
      <c r="C98" s="9" t="n">
        <f aca="false">SUMIF('Source NetSuite'!$A:$A,$A98,'Source NetSuite'!$C:$C)</f>
        <v>178</v>
      </c>
      <c r="D98" s="9" t="n">
        <f aca="false">SUMIF('Source NetSuite'!$A:$A,$A98,'Source NetSuite'!$E:$E)</f>
        <v>46</v>
      </c>
      <c r="E98" s="9" t="n">
        <f aca="false">D98*$J$5</f>
        <v>58.1052631578947</v>
      </c>
      <c r="F98" s="9" t="n">
        <f aca="false">E98-C98</f>
        <v>-119.894736842105</v>
      </c>
      <c r="G98" s="10" t="n">
        <f aca="false">IF(AND(C98=0,E98=0),0,IF(C98=0,"New",(E98-C98)/C98))</f>
        <v>-0.673565937315198</v>
      </c>
      <c r="H98" s="9" t="n">
        <f aca="false">SUMIF('Source NetSuite'!$A:$A,$A98,'Source NetSuite'!$D:$D)</f>
        <v>2937</v>
      </c>
      <c r="I98" s="9" t="n">
        <f aca="false">SUMIF('Source NetSuite'!$A:$A,$A98,'Source NetSuite'!$F:$F)</f>
        <v>759</v>
      </c>
      <c r="J98" s="9" t="n">
        <f aca="false">I98*$J$5</f>
        <v>958.736842105263</v>
      </c>
      <c r="K98" s="9" t="n">
        <f aca="false">J98-H98</f>
        <v>-1978.26315789474</v>
      </c>
      <c r="L98" s="10" t="n">
        <f aca="false">IF(AND(H98=0,J98=0),0,IF(H98=0,"New",(J98-H98)/H98))</f>
        <v>-0.673565937315198</v>
      </c>
      <c r="M98" s="8" t="str">
        <f aca="false">IF(AND(OR(C98&lt;&gt;0,H98&lt;&gt;0),D98=0,I98=0),"DROP",IF(AND(OR(D98&lt;&gt;0,I98&lt;&gt;0),C98=0,H98=0),"NEW",""))</f>
        <v/>
      </c>
    </row>
    <row r="99" customFormat="false" ht="15" hidden="false" customHeight="true" outlineLevel="0" collapsed="false">
      <c r="A99" s="8" t="s">
        <v>251</v>
      </c>
      <c r="B99" s="8" t="str">
        <f aca="false">IFERROR(INDEX('Source NetSuite'!$B:$B,MATCH($A99,'Source NetSuite'!$A:$A,0)),"")</f>
        <v>טבעת אלסטית מסי</v>
      </c>
      <c r="C99" s="9" t="n">
        <f aca="false">SUMIF('Source NetSuite'!$A:$A,$A99,'Source NetSuite'!$C:$C)</f>
        <v>335</v>
      </c>
      <c r="D99" s="9" t="n">
        <f aca="false">SUMIF('Source NetSuite'!$A:$A,$A99,'Source NetSuite'!$E:$E)</f>
        <v>116</v>
      </c>
      <c r="E99" s="9" t="n">
        <f aca="false">D99*$J$5</f>
        <v>146.526315789474</v>
      </c>
      <c r="F99" s="9" t="n">
        <f aca="false">E99-C99</f>
        <v>-188.473684210526</v>
      </c>
      <c r="G99" s="10" t="n">
        <f aca="false">IF(AND(C99=0,E99=0),0,IF(C99=0,"New",(E99-C99)/C99))</f>
        <v>-0.562608012568735</v>
      </c>
      <c r="H99" s="9" t="n">
        <f aca="false">SUMIF('Source NetSuite'!$A:$A,$A99,'Source NetSuite'!$D:$D)</f>
        <v>3252.85</v>
      </c>
      <c r="I99" s="9" t="n">
        <f aca="false">SUMIF('Source NetSuite'!$A:$A,$A99,'Source NetSuite'!$F:$F)</f>
        <v>1126.36</v>
      </c>
      <c r="J99" s="9" t="n">
        <f aca="false">I99*$J$5</f>
        <v>1422.77052631579</v>
      </c>
      <c r="K99" s="9" t="n">
        <f aca="false">J99-H99</f>
        <v>-1830.07947368421</v>
      </c>
      <c r="L99" s="10" t="n">
        <f aca="false">IF(AND(H99=0,J99=0),0,IF(H99=0,"New",(J99-H99)/H99))</f>
        <v>-0.562608012568735</v>
      </c>
      <c r="M99" s="8" t="str">
        <f aca="false">IF(AND(OR(C99&lt;&gt;0,H99&lt;&gt;0),D99=0,I99=0),"DROP",IF(AND(OR(D99&lt;&gt;0,I99&lt;&gt;0),C99=0,H99=0),"NEW",""))</f>
        <v/>
      </c>
    </row>
    <row r="100" customFormat="false" ht="15" hidden="false" customHeight="true" outlineLevel="0" collapsed="false">
      <c r="A100" s="8" t="s">
        <v>252</v>
      </c>
      <c r="B100" s="8" t="str">
        <f aca="false">IFERROR(INDEX('Source NetSuite'!$B:$B,MATCH($A100,'Source NetSuite'!$A:$A,0)),"")</f>
        <v>חבק יד</v>
      </c>
      <c r="C100" s="9" t="n">
        <f aca="false">SUMIF('Source NetSuite'!$A:$A,$A100,'Source NetSuite'!$C:$C)</f>
        <v>172</v>
      </c>
      <c r="D100" s="9" t="n">
        <f aca="false">SUMIF('Source NetSuite'!$A:$A,$A100,'Source NetSuite'!$E:$E)</f>
        <v>44</v>
      </c>
      <c r="E100" s="9" t="n">
        <f aca="false">D100*$J$5</f>
        <v>55.5789473684211</v>
      </c>
      <c r="F100" s="9" t="n">
        <f aca="false">E100-C100</f>
        <v>-116.421052631579</v>
      </c>
      <c r="G100" s="10" t="n">
        <f aca="false">IF(AND(C100=0,E100=0),0,IF(C100=0,"New",(E100-C100)/C100))</f>
        <v>-0.67686658506732</v>
      </c>
      <c r="H100" s="9" t="n">
        <f aca="false">SUMIF('Source NetSuite'!$A:$A,$A100,'Source NetSuite'!$D:$D)</f>
        <v>2855.2</v>
      </c>
      <c r="I100" s="9" t="n">
        <f aca="false">SUMIF('Source NetSuite'!$A:$A,$A100,'Source NetSuite'!$F:$F)</f>
        <v>730.4</v>
      </c>
      <c r="J100" s="9" t="n">
        <f aca="false">I100*$J$5</f>
        <v>922.610526315789</v>
      </c>
      <c r="K100" s="9" t="n">
        <f aca="false">J100-H100</f>
        <v>-1932.58947368421</v>
      </c>
      <c r="L100" s="10" t="n">
        <f aca="false">IF(AND(H100=0,J100=0),0,IF(H100=0,"New",(J100-H100)/H100))</f>
        <v>-0.67686658506732</v>
      </c>
      <c r="M100" s="8" t="str">
        <f aca="false">IF(AND(OR(C100&lt;&gt;0,H100&lt;&gt;0),D100=0,I100=0),"DROP",IF(AND(OR(D100&lt;&gt;0,I100&lt;&gt;0),C100=0,H100=0),"NEW",""))</f>
        <v/>
      </c>
    </row>
    <row r="101" customFormat="false" ht="15" hidden="false" customHeight="true" outlineLevel="0" collapsed="false">
      <c r="A101" s="8" t="s">
        <v>253</v>
      </c>
      <c r="B101" s="8" t="str">
        <f aca="false">IFERROR(INDEX('Source NetSuite'!$B:$B,MATCH($A101,'Source NetSuite'!$A:$A,0)),"")</f>
        <v>חגורת גב+סגירה כפולה</v>
      </c>
      <c r="C101" s="9" t="n">
        <f aca="false">SUMIF('Source NetSuite'!$A:$A,$A101,'Source NetSuite'!$C:$C)</f>
        <v>59</v>
      </c>
      <c r="D101" s="9" t="n">
        <f aca="false">SUMIF('Source NetSuite'!$A:$A,$A101,'Source NetSuite'!$E:$E)</f>
        <v>27</v>
      </c>
      <c r="E101" s="9" t="n">
        <f aca="false">D101*$J$5</f>
        <v>34.1052631578947</v>
      </c>
      <c r="F101" s="9" t="n">
        <f aca="false">E101-C101</f>
        <v>-24.8947368421053</v>
      </c>
      <c r="G101" s="10" t="n">
        <f aca="false">IF(AND(C101=0,E101=0),0,IF(C101=0,"New",(E101-C101)/C101))</f>
        <v>-0.421944692239072</v>
      </c>
      <c r="H101" s="9" t="n">
        <f aca="false">SUMIF('Source NetSuite'!$A:$A,$A101,'Source NetSuite'!$D:$D)</f>
        <v>3835</v>
      </c>
      <c r="I101" s="9" t="n">
        <f aca="false">SUMIF('Source NetSuite'!$A:$A,$A101,'Source NetSuite'!$F:$F)</f>
        <v>1755</v>
      </c>
      <c r="J101" s="9" t="n">
        <f aca="false">I101*$J$5</f>
        <v>2216.84210526316</v>
      </c>
      <c r="K101" s="9" t="n">
        <f aca="false">J101-H101</f>
        <v>-1618.15789473684</v>
      </c>
      <c r="L101" s="10" t="n">
        <f aca="false">IF(AND(H101=0,J101=0),0,IF(H101=0,"New",(J101-H101)/H101))</f>
        <v>-0.421944692239072</v>
      </c>
      <c r="M101" s="8" t="str">
        <f aca="false">IF(AND(OR(C101&lt;&gt;0,H101&lt;&gt;0),D101=0,I101=0),"DROP",IF(AND(OR(D101&lt;&gt;0,I101&lt;&gt;0),C101=0,H101=0),"NEW",""))</f>
        <v/>
      </c>
    </row>
    <row r="102" customFormat="false" ht="15" hidden="false" customHeight="true" outlineLevel="0" collapsed="false">
      <c r="A102" s="8" t="s">
        <v>254</v>
      </c>
      <c r="B102" s="8" t="str">
        <f aca="false">IFERROR(INDEX('Source NetSuite'!$B:$B,MATCH($A102,'Source NetSuite'!$A:$A,0)),"")</f>
        <v>חגורת שבר לצד ימין</v>
      </c>
      <c r="C102" s="9" t="n">
        <f aca="false">SUMIF('Source NetSuite'!$A:$A,$A102,'Source NetSuite'!$C:$C)</f>
        <v>18</v>
      </c>
      <c r="D102" s="9" t="n">
        <f aca="false">SUMIF('Source NetSuite'!$A:$A,$A102,'Source NetSuite'!$E:$E)</f>
        <v>2</v>
      </c>
      <c r="E102" s="9" t="n">
        <f aca="false">D102*$J$5</f>
        <v>2.52631578947368</v>
      </c>
      <c r="F102" s="9" t="n">
        <f aca="false">E102-C102</f>
        <v>-15.4736842105263</v>
      </c>
      <c r="G102" s="10" t="n">
        <f aca="false">IF(AND(C102=0,E102=0),0,IF(C102=0,"New",(E102-C102)/C102))</f>
        <v>-0.859649122807018</v>
      </c>
      <c r="H102" s="9" t="n">
        <f aca="false">SUMIF('Source NetSuite'!$A:$A,$A102,'Source NetSuite'!$D:$D)</f>
        <v>2278.26</v>
      </c>
      <c r="I102" s="9" t="n">
        <f aca="false">SUMIF('Source NetSuite'!$A:$A,$A102,'Source NetSuite'!$F:$F)</f>
        <v>253.14</v>
      </c>
      <c r="J102" s="9" t="n">
        <f aca="false">I102*$J$5</f>
        <v>319.755789473684</v>
      </c>
      <c r="K102" s="9" t="n">
        <f aca="false">J102-H102</f>
        <v>-1958.50421052632</v>
      </c>
      <c r="L102" s="10" t="n">
        <f aca="false">IF(AND(H102=0,J102=0),0,IF(H102=0,"New",(J102-H102)/H102))</f>
        <v>-0.859649122807018</v>
      </c>
      <c r="M102" s="8" t="str">
        <f aca="false">IF(AND(OR(C102&lt;&gt;0,H102&lt;&gt;0),D102=0,I102=0),"DROP",IF(AND(OR(D102&lt;&gt;0,I102&lt;&gt;0),C102=0,H102=0),"NEW",""))</f>
        <v/>
      </c>
    </row>
    <row r="103" customFormat="false" ht="15" hidden="false" customHeight="true" outlineLevel="0" collapsed="false">
      <c r="A103" s="8" t="s">
        <v>255</v>
      </c>
      <c r="B103" s="8" t="str">
        <f aca="false">IFERROR(INDEX('Source NetSuite'!$B:$B,MATCH($A103,'Source NetSuite'!$A:$A,0)),"")</f>
        <v>רפידת נוחות</v>
      </c>
      <c r="C103" s="9" t="n">
        <f aca="false">SUMIF('Source NetSuite'!$A:$A,$A103,'Source NetSuite'!$C:$C)</f>
        <v>359</v>
      </c>
      <c r="D103" s="9" t="n">
        <f aca="false">SUMIF('Source NetSuite'!$A:$A,$A103,'Source NetSuite'!$E:$E)</f>
        <v>119</v>
      </c>
      <c r="E103" s="9" t="n">
        <f aca="false">D103*$J$5</f>
        <v>150.315789473684</v>
      </c>
      <c r="F103" s="9" t="n">
        <f aca="false">E103-C103</f>
        <v>-208.684210526316</v>
      </c>
      <c r="G103" s="10" t="n">
        <f aca="false">IF(AND(C103=0,E103=0),0,IF(C103=0,"New",(E103-C103)/C103))</f>
        <v>-0.581293065532913</v>
      </c>
      <c r="H103" s="9" t="n">
        <f aca="false">SUMIF('Source NetSuite'!$A:$A,$A103,'Source NetSuite'!$D:$D)</f>
        <v>2943.8</v>
      </c>
      <c r="I103" s="9" t="n">
        <f aca="false">SUMIF('Source NetSuite'!$A:$A,$A103,'Source NetSuite'!$F:$F)</f>
        <v>975.8</v>
      </c>
      <c r="J103" s="9" t="n">
        <f aca="false">I103*$J$5</f>
        <v>1232.58947368421</v>
      </c>
      <c r="K103" s="9" t="n">
        <f aca="false">J103-H103</f>
        <v>-1711.21052631579</v>
      </c>
      <c r="L103" s="10" t="n">
        <f aca="false">IF(AND(H103=0,J103=0),0,IF(H103=0,"New",(J103-H103)/H103))</f>
        <v>-0.581293065532913</v>
      </c>
      <c r="M103" s="8" t="str">
        <f aca="false">IF(AND(OR(C103&lt;&gt;0,H103&lt;&gt;0),D103=0,I103=0),"DROP",IF(AND(OR(D103&lt;&gt;0,I103&lt;&gt;0),C103=0,H103=0),"NEW",""))</f>
        <v/>
      </c>
    </row>
    <row r="104" customFormat="false" ht="15" hidden="false" customHeight="true" outlineLevel="0" collapsed="false">
      <c r="A104" s="8" t="s">
        <v>256</v>
      </c>
      <c r="B104" s="8" t="str">
        <f aca="false">IFERROR(INDEX('Source NetSuite'!$B:$B,MATCH($A104,'Source NetSuite'!$A:$A,0)),"")</f>
        <v>מגן ברך ארוך</v>
      </c>
      <c r="C104" s="9" t="n">
        <f aca="false">SUMIF('Source NetSuite'!$A:$A,$A104,'Source NetSuite'!$C:$C)</f>
        <v>135</v>
      </c>
      <c r="D104" s="9" t="n">
        <f aca="false">SUMIF('Source NetSuite'!$A:$A,$A104,'Source NetSuite'!$E:$E)</f>
        <v>41</v>
      </c>
      <c r="E104" s="9" t="n">
        <f aca="false">D104*$J$5</f>
        <v>51.7894736842105</v>
      </c>
      <c r="F104" s="9" t="n">
        <f aca="false">E104-C104</f>
        <v>-83.2105263157895</v>
      </c>
      <c r="G104" s="10" t="n">
        <f aca="false">IF(AND(C104=0,E104=0),0,IF(C104=0,"New",(E104-C104)/C104))</f>
        <v>-0.616374269005848</v>
      </c>
      <c r="H104" s="9" t="n">
        <f aca="false">SUMIF('Source NetSuite'!$A:$A,$A104,'Source NetSuite'!$D:$D)</f>
        <v>2767.5</v>
      </c>
      <c r="I104" s="9" t="n">
        <f aca="false">SUMIF('Source NetSuite'!$A:$A,$A104,'Source NetSuite'!$F:$F)</f>
        <v>840.5</v>
      </c>
      <c r="J104" s="9" t="n">
        <f aca="false">I104*$J$5</f>
        <v>1061.68421052632</v>
      </c>
      <c r="K104" s="9" t="n">
        <f aca="false">J104-H104</f>
        <v>-1705.81578947368</v>
      </c>
      <c r="L104" s="10" t="n">
        <f aca="false">IF(AND(H104=0,J104=0),0,IF(H104=0,"New",(J104-H104)/H104))</f>
        <v>-0.616374269005848</v>
      </c>
      <c r="M104" s="8" t="str">
        <f aca="false">IF(AND(OR(C104&lt;&gt;0,H104&lt;&gt;0),D104=0,I104=0),"DROP",IF(AND(OR(D104&lt;&gt;0,I104&lt;&gt;0),C104=0,H104=0),"NEW",""))</f>
        <v/>
      </c>
    </row>
    <row r="105" customFormat="false" ht="15" hidden="false" customHeight="true" outlineLevel="0" collapsed="false">
      <c r="A105" s="8" t="s">
        <v>257</v>
      </c>
      <c r="B105" s="8" t="str">
        <f aca="false">IFERROR(INDEX('Source NetSuite'!$B:$B,MATCH($A105,'Source NetSuite'!$A:$A,0)),"")</f>
        <v>כרית חום וקור</v>
      </c>
      <c r="C105" s="9" t="n">
        <f aca="false">SUMIF('Source NetSuite'!$A:$A,$A105,'Source NetSuite'!$C:$C)</f>
        <v>76</v>
      </c>
      <c r="D105" s="9" t="n">
        <f aca="false">SUMIF('Source NetSuite'!$A:$A,$A105,'Source NetSuite'!$E:$E)</f>
        <v>20</v>
      </c>
      <c r="E105" s="9" t="n">
        <f aca="false">D105*$J$5</f>
        <v>25.2631578947368</v>
      </c>
      <c r="F105" s="9" t="n">
        <f aca="false">E105-C105</f>
        <v>-50.7368421052632</v>
      </c>
      <c r="G105" s="10" t="n">
        <f aca="false">IF(AND(C105=0,E105=0),0,IF(C105=0,"New",(E105-C105)/C105))</f>
        <v>-0.667590027700831</v>
      </c>
      <c r="H105" s="9" t="n">
        <f aca="false">SUMIF('Source NetSuite'!$A:$A,$A105,'Source NetSuite'!$D:$D)</f>
        <v>2464.68</v>
      </c>
      <c r="I105" s="9" t="n">
        <f aca="false">SUMIF('Source NetSuite'!$A:$A,$A105,'Source NetSuite'!$F:$F)</f>
        <v>648.6</v>
      </c>
      <c r="J105" s="9" t="n">
        <f aca="false">I105*$J$5</f>
        <v>819.284210526316</v>
      </c>
      <c r="K105" s="9" t="n">
        <f aca="false">J105-H105</f>
        <v>-1645.39578947368</v>
      </c>
      <c r="L105" s="10" t="n">
        <f aca="false">IF(AND(H105=0,J105=0),0,IF(H105=0,"New",(J105-H105)/H105))</f>
        <v>-0.667590027700831</v>
      </c>
      <c r="M105" s="8" t="str">
        <f aca="false">IF(AND(OR(C105&lt;&gt;0,H105&lt;&gt;0),D105=0,I105=0),"DROP",IF(AND(OR(D105&lt;&gt;0,I105&lt;&gt;0),C105=0,H105=0),"NEW",""))</f>
        <v/>
      </c>
    </row>
    <row r="106" customFormat="false" ht="15" hidden="false" customHeight="true" outlineLevel="0" collapsed="false">
      <c r="A106" s="8" t="s">
        <v>258</v>
      </c>
      <c r="B106" s="8" t="str">
        <f aca="false">IFERROR(INDEX('Source NetSuite'!$B:$B,MATCH($A106,'Source NetSuite'!$A:$A,0)),"")</f>
        <v>חגורת בטן קלה</v>
      </c>
      <c r="C106" s="9" t="n">
        <f aca="false">SUMIF('Source NetSuite'!$A:$A,$A106,'Source NetSuite'!$C:$C)</f>
        <v>58</v>
      </c>
      <c r="D106" s="9" t="n">
        <f aca="false">SUMIF('Source NetSuite'!$A:$A,$A106,'Source NetSuite'!$E:$E)</f>
        <v>6</v>
      </c>
      <c r="E106" s="9" t="n">
        <f aca="false">D106*$J$5</f>
        <v>7.57894736842105</v>
      </c>
      <c r="F106" s="9" t="n">
        <f aca="false">E106-C106</f>
        <v>-50.4210526315789</v>
      </c>
      <c r="G106" s="10" t="n">
        <f aca="false">IF(AND(C106=0,E106=0),0,IF(C106=0,"New",(E106-C106)/C106))</f>
        <v>-0.869328493647913</v>
      </c>
      <c r="H106" s="9" t="n">
        <f aca="false">SUMIF('Source NetSuite'!$A:$A,$A106,'Source NetSuite'!$D:$D)</f>
        <v>2088</v>
      </c>
      <c r="I106" s="9" t="n">
        <f aca="false">SUMIF('Source NetSuite'!$A:$A,$A106,'Source NetSuite'!$F:$F)</f>
        <v>306.36</v>
      </c>
      <c r="J106" s="9" t="n">
        <f aca="false">I106*$J$5</f>
        <v>386.981052631579</v>
      </c>
      <c r="K106" s="9" t="n">
        <f aca="false">J106-H106</f>
        <v>-1701.01894736842</v>
      </c>
      <c r="L106" s="10" t="n">
        <f aca="false">IF(AND(H106=0,J106=0),0,IF(H106=0,"New",(J106-H106)/H106))</f>
        <v>-0.814664246823956</v>
      </c>
      <c r="M106" s="8" t="str">
        <f aca="false">IF(AND(OR(C106&lt;&gt;0,H106&lt;&gt;0),D106=0,I106=0),"DROP",IF(AND(OR(D106&lt;&gt;0,I106&lt;&gt;0),C106=0,H106=0),"NEW",""))</f>
        <v/>
      </c>
    </row>
    <row r="107" customFormat="false" ht="15" hidden="false" customHeight="true" outlineLevel="0" collapsed="false">
      <c r="A107" s="8" t="s">
        <v>259</v>
      </c>
      <c r="B107" s="8" t="str">
        <f aca="false">IFERROR(INDEX('Source NetSuite'!$B:$B,MATCH($A107,'Source NetSuite'!$A:$A,0)),"")</f>
        <v>חגורת שבר לצד ימין</v>
      </c>
      <c r="C107" s="9" t="n">
        <f aca="false">SUMIF('Source NetSuite'!$A:$A,$A107,'Source NetSuite'!$C:$C)</f>
        <v>17</v>
      </c>
      <c r="D107" s="9" t="n">
        <f aca="false">SUMIF('Source NetSuite'!$A:$A,$A107,'Source NetSuite'!$E:$E)</f>
        <v>3</v>
      </c>
      <c r="E107" s="9" t="n">
        <f aca="false">D107*$J$5</f>
        <v>3.78947368421053</v>
      </c>
      <c r="F107" s="9" t="n">
        <f aca="false">E107-C107</f>
        <v>-13.2105263157895</v>
      </c>
      <c r="G107" s="10" t="n">
        <f aca="false">IF(AND(C107=0,E107=0),0,IF(C107=0,"New",(E107-C107)/C107))</f>
        <v>-0.777089783281734</v>
      </c>
      <c r="H107" s="9" t="n">
        <f aca="false">SUMIF('Source NetSuite'!$A:$A,$A107,'Source NetSuite'!$D:$D)</f>
        <v>2151.69</v>
      </c>
      <c r="I107" s="9" t="n">
        <f aca="false">SUMIF('Source NetSuite'!$A:$A,$A107,'Source NetSuite'!$F:$F)</f>
        <v>379.71</v>
      </c>
      <c r="J107" s="9" t="n">
        <f aca="false">I107*$J$5</f>
        <v>479.633684210526</v>
      </c>
      <c r="K107" s="9" t="n">
        <f aca="false">J107-H107</f>
        <v>-1672.05631578947</v>
      </c>
      <c r="L107" s="10" t="n">
        <f aca="false">IF(AND(H107=0,J107=0),0,IF(H107=0,"New",(J107-H107)/H107))</f>
        <v>-0.777089783281734</v>
      </c>
      <c r="M107" s="8" t="str">
        <f aca="false">IF(AND(OR(C107&lt;&gt;0,H107&lt;&gt;0),D107=0,I107=0),"DROP",IF(AND(OR(D107&lt;&gt;0,I107&lt;&gt;0),C107=0,H107=0),"NEW",""))</f>
        <v/>
      </c>
    </row>
    <row r="108" customFormat="false" ht="15" hidden="false" customHeight="true" outlineLevel="0" collapsed="false">
      <c r="A108" s="8" t="s">
        <v>260</v>
      </c>
      <c r="B108" s="8" t="str">
        <f aca="false">IFERROR(INDEX('Source NetSuite'!$B:$B,MATCH($A108,'Source NetSuite'!$A:$A,0)),"")</f>
        <v>מישר כתפיים רחב+תמיכה לבית השח</v>
      </c>
      <c r="C108" s="9" t="n">
        <f aca="false">SUMIF('Source NetSuite'!$A:$A,$A108,'Source NetSuite'!$C:$C)</f>
        <v>14</v>
      </c>
      <c r="D108" s="9" t="n">
        <f aca="false">SUMIF('Source NetSuite'!$A:$A,$A108,'Source NetSuite'!$E:$E)</f>
        <v>1</v>
      </c>
      <c r="E108" s="9" t="n">
        <f aca="false">D108*$J$5</f>
        <v>1.26315789473684</v>
      </c>
      <c r="F108" s="9" t="n">
        <f aca="false">E108-C108</f>
        <v>-12.7368421052632</v>
      </c>
      <c r="G108" s="10" t="n">
        <f aca="false">IF(AND(C108=0,E108=0),0,IF(C108=0,"New",(E108-C108)/C108))</f>
        <v>-0.909774436090226</v>
      </c>
      <c r="H108" s="9" t="n">
        <f aca="false">SUMIF('Source NetSuite'!$A:$A,$A108,'Source NetSuite'!$D:$D)</f>
        <v>1908.2</v>
      </c>
      <c r="I108" s="9" t="n">
        <f aca="false">SUMIF('Source NetSuite'!$A:$A,$A108,'Source NetSuite'!$F:$F)</f>
        <v>136.3</v>
      </c>
      <c r="J108" s="9" t="n">
        <f aca="false">I108*$J$5</f>
        <v>172.168421052632</v>
      </c>
      <c r="K108" s="9" t="n">
        <f aca="false">J108-H108</f>
        <v>-1736.03157894737</v>
      </c>
      <c r="L108" s="10" t="n">
        <f aca="false">IF(AND(H108=0,J108=0),0,IF(H108=0,"New",(J108-H108)/H108))</f>
        <v>-0.909774436090226</v>
      </c>
      <c r="M108" s="8" t="str">
        <f aca="false">IF(AND(OR(C108&lt;&gt;0,H108&lt;&gt;0),D108=0,I108=0),"DROP",IF(AND(OR(D108&lt;&gt;0,I108&lt;&gt;0),C108=0,H108=0),"NEW",""))</f>
        <v/>
      </c>
    </row>
    <row r="109" customFormat="false" ht="15" hidden="false" customHeight="true" outlineLevel="0" collapsed="false">
      <c r="A109" s="8" t="s">
        <v>261</v>
      </c>
      <c r="B109" s="8" t="str">
        <f aca="false">IFERROR(INDEX('Source NetSuite'!$B:$B,MATCH($A109,'Source NetSuite'!$A:$A,0)),"")</f>
        <v>מגן בוניון עדין לנעל צרה</v>
      </c>
      <c r="C109" s="9" t="n">
        <f aca="false">SUMIF('Source NetSuite'!$A:$A,$A109,'Source NetSuite'!$C:$C)</f>
        <v>127</v>
      </c>
      <c r="D109" s="9" t="n">
        <f aca="false">SUMIF('Source NetSuite'!$A:$A,$A109,'Source NetSuite'!$E:$E)</f>
        <v>44</v>
      </c>
      <c r="E109" s="9" t="n">
        <f aca="false">D109*$J$5</f>
        <v>55.5789473684211</v>
      </c>
      <c r="F109" s="9" t="n">
        <f aca="false">E109-C109</f>
        <v>-71.421052631579</v>
      </c>
      <c r="G109" s="10" t="n">
        <f aca="false">IF(AND(C109=0,E109=0),0,IF(C109=0,"New",(E109-C109)/C109))</f>
        <v>-0.562370493162039</v>
      </c>
      <c r="H109" s="9" t="n">
        <f aca="false">SUMIF('Source NetSuite'!$A:$A,$A109,'Source NetSuite'!$D:$D)</f>
        <v>2693.67</v>
      </c>
      <c r="I109" s="9" t="n">
        <f aca="false">SUMIF('Source NetSuite'!$A:$A,$A109,'Source NetSuite'!$F:$F)</f>
        <v>933.24</v>
      </c>
      <c r="J109" s="9" t="n">
        <f aca="false">I109*$J$5</f>
        <v>1178.82947368421</v>
      </c>
      <c r="K109" s="9" t="n">
        <f aca="false">J109-H109</f>
        <v>-1514.84052631579</v>
      </c>
      <c r="L109" s="10" t="n">
        <f aca="false">IF(AND(H109=0,J109=0),0,IF(H109=0,"New",(J109-H109)/H109))</f>
        <v>-0.562370493162039</v>
      </c>
      <c r="M109" s="8" t="str">
        <f aca="false">IF(AND(OR(C109&lt;&gt;0,H109&lt;&gt;0),D109=0,I109=0),"DROP",IF(AND(OR(D109&lt;&gt;0,I109&lt;&gt;0),C109=0,H109=0),"NEW",""))</f>
        <v/>
      </c>
    </row>
    <row r="110" customFormat="false" ht="15" hidden="false" customHeight="true" outlineLevel="0" collapsed="false">
      <c r="A110" s="8" t="s">
        <v>113</v>
      </c>
      <c r="B110" s="8" t="str">
        <f aca="false">IFERROR(INDEX('Source NetSuite'!$B:$B,MATCH($A110,'Source NetSuite'!$A:$A,0)),"")</f>
        <v>קינזיולוגי טייפ</v>
      </c>
      <c r="C110" s="9" t="n">
        <f aca="false">SUMIF('Source NetSuite'!$A:$A,$A110,'Source NetSuite'!$C:$C)</f>
        <v>111</v>
      </c>
      <c r="D110" s="9" t="n">
        <f aca="false">SUMIF('Source NetSuite'!$A:$A,$A110,'Source NetSuite'!$E:$E)</f>
        <v>43</v>
      </c>
      <c r="E110" s="9" t="n">
        <f aca="false">D110*$J$5</f>
        <v>54.3157894736842</v>
      </c>
      <c r="F110" s="9" t="n">
        <f aca="false">E110-C110</f>
        <v>-56.6842105263158</v>
      </c>
      <c r="G110" s="10" t="n">
        <f aca="false">IF(AND(C110=0,E110=0),0,IF(C110=0,"New",(E110-C110)/C110))</f>
        <v>-0.510668563300142</v>
      </c>
      <c r="H110" s="9" t="n">
        <f aca="false">SUMIF('Source NetSuite'!$A:$A,$A110,'Source NetSuite'!$D:$D)</f>
        <v>2775</v>
      </c>
      <c r="I110" s="9" t="n">
        <f aca="false">SUMIF('Source NetSuite'!$A:$A,$A110,'Source NetSuite'!$F:$F)</f>
        <v>1075</v>
      </c>
      <c r="J110" s="9" t="n">
        <f aca="false">I110*$J$5</f>
        <v>1357.89473684211</v>
      </c>
      <c r="K110" s="9" t="n">
        <f aca="false">J110-H110</f>
        <v>-1417.10526315789</v>
      </c>
      <c r="L110" s="10" t="n">
        <f aca="false">IF(AND(H110=0,J110=0),0,IF(H110=0,"New",(J110-H110)/H110))</f>
        <v>-0.510668563300142</v>
      </c>
      <c r="M110" s="8" t="str">
        <f aca="false">IF(AND(OR(C110&lt;&gt;0,H110&lt;&gt;0),D110=0,I110=0),"DROP",IF(AND(OR(D110&lt;&gt;0,I110&lt;&gt;0),C110=0,H110=0),"NEW",""))</f>
        <v/>
      </c>
    </row>
    <row r="111" customFormat="false" ht="15" hidden="false" customHeight="true" outlineLevel="0" collapsed="false">
      <c r="A111" s="8" t="s">
        <v>262</v>
      </c>
      <c r="B111" s="8" t="str">
        <f aca="false">IFERROR(INDEX('Source NetSuite'!$B:$B,MATCH($A111,'Source NetSuite'!$A:$A,0)),"")</f>
        <v>מגן לכתף ימין/שמאל</v>
      </c>
      <c r="C111" s="9" t="n">
        <f aca="false">SUMIF('Source NetSuite'!$A:$A,$A111,'Source NetSuite'!$C:$C)</f>
        <v>16</v>
      </c>
      <c r="D111" s="9" t="n">
        <f aca="false">SUMIF('Source NetSuite'!$A:$A,$A111,'Source NetSuite'!$E:$E)</f>
        <v>3</v>
      </c>
      <c r="E111" s="9" t="n">
        <f aca="false">D111*$J$5</f>
        <v>3.78947368421053</v>
      </c>
      <c r="F111" s="9" t="n">
        <f aca="false">E111-C111</f>
        <v>-12.2105263157895</v>
      </c>
      <c r="G111" s="10" t="n">
        <f aca="false">IF(AND(C111=0,E111=0),0,IF(C111=0,"New",(E111-C111)/C111))</f>
        <v>-0.763157894736842</v>
      </c>
      <c r="H111" s="9" t="n">
        <f aca="false">SUMIF('Source NetSuite'!$A:$A,$A111,'Source NetSuite'!$D:$D)</f>
        <v>2059.36</v>
      </c>
      <c r="I111" s="9" t="n">
        <f aca="false">SUMIF('Source NetSuite'!$A:$A,$A111,'Source NetSuite'!$F:$F)</f>
        <v>386.13</v>
      </c>
      <c r="J111" s="9" t="n">
        <f aca="false">I111*$J$5</f>
        <v>487.743157894737</v>
      </c>
      <c r="K111" s="9" t="n">
        <f aca="false">J111-H111</f>
        <v>-1571.61684210526</v>
      </c>
      <c r="L111" s="10" t="n">
        <f aca="false">IF(AND(H111=0,J111=0),0,IF(H111=0,"New",(J111-H111)/H111))</f>
        <v>-0.763157894736842</v>
      </c>
      <c r="M111" s="8" t="str">
        <f aca="false">IF(AND(OR(C111&lt;&gt;0,H111&lt;&gt;0),D111=0,I111=0),"DROP",IF(AND(OR(D111&lt;&gt;0,I111&lt;&gt;0),C111=0,H111=0),"NEW",""))</f>
        <v/>
      </c>
    </row>
    <row r="112" customFormat="false" ht="15" hidden="false" customHeight="true" outlineLevel="0" collapsed="false">
      <c r="A112" s="8" t="s">
        <v>263</v>
      </c>
      <c r="B112" s="8" t="str">
        <f aca="false">IFERROR(INDEX('Source NetSuite'!$B:$B,MATCH($A112,'Source NetSuite'!$A:$A,0)),"")</f>
        <v>בליסטר פלסטר</v>
      </c>
      <c r="C112" s="9" t="n">
        <f aca="false">SUMIF('Source NetSuite'!$A:$A,$A112,'Source NetSuite'!$C:$C)</f>
        <v>163</v>
      </c>
      <c r="D112" s="9" t="n">
        <f aca="false">SUMIF('Source NetSuite'!$A:$A,$A112,'Source NetSuite'!$E:$E)</f>
        <v>34</v>
      </c>
      <c r="E112" s="9" t="n">
        <f aca="false">D112*$J$5</f>
        <v>42.9473684210526</v>
      </c>
      <c r="F112" s="9" t="n">
        <f aca="false">E112-C112</f>
        <v>-120.052631578947</v>
      </c>
      <c r="G112" s="10" t="n">
        <f aca="false">IF(AND(C112=0,E112=0),0,IF(C112=0,"New",(E112-C112)/C112))</f>
        <v>-0.736519212140781</v>
      </c>
      <c r="H112" s="9" t="n">
        <f aca="false">SUMIF('Source NetSuite'!$A:$A,$A112,'Source NetSuite'!$D:$D)</f>
        <v>2089.66</v>
      </c>
      <c r="I112" s="9" t="n">
        <f aca="false">SUMIF('Source NetSuite'!$A:$A,$A112,'Source NetSuite'!$F:$F)</f>
        <v>435.88</v>
      </c>
      <c r="J112" s="9" t="n">
        <f aca="false">I112*$J$5</f>
        <v>550.585263157895</v>
      </c>
      <c r="K112" s="9" t="n">
        <f aca="false">J112-H112</f>
        <v>-1539.07473684211</v>
      </c>
      <c r="L112" s="10" t="n">
        <f aca="false">IF(AND(H112=0,J112=0),0,IF(H112=0,"New",(J112-H112)/H112))</f>
        <v>-0.736519212140781</v>
      </c>
      <c r="M112" s="8" t="str">
        <f aca="false">IF(AND(OR(C112&lt;&gt;0,H112&lt;&gt;0),D112=0,I112=0),"DROP",IF(AND(OR(D112&lt;&gt;0,I112&lt;&gt;0),C112=0,H112=0),"NEW",""))</f>
        <v/>
      </c>
    </row>
    <row r="113" customFormat="false" ht="15" hidden="false" customHeight="true" outlineLevel="0" collapsed="false">
      <c r="A113" s="8" t="s">
        <v>264</v>
      </c>
      <c r="B113" s="8" t="str">
        <f aca="false">IFERROR(INDEX('Source NetSuite'!$B:$B,MATCH($A113,'Source NetSuite'!$A:$A,0)),"")</f>
        <v>אבן שיוף להסירת</v>
      </c>
      <c r="C113" s="9" t="n">
        <f aca="false">SUMIF('Source NetSuite'!$A:$A,$A113,'Source NetSuite'!$C:$C)</f>
        <v>335</v>
      </c>
      <c r="D113" s="9" t="n">
        <f aca="false">SUMIF('Source NetSuite'!$A:$A,$A113,'Source NetSuite'!$E:$E)</f>
        <v>59</v>
      </c>
      <c r="E113" s="9" t="n">
        <f aca="false">D113*$J$5</f>
        <v>74.5263157894737</v>
      </c>
      <c r="F113" s="9" t="n">
        <f aca="false">E113-C113</f>
        <v>-260.473684210526</v>
      </c>
      <c r="G113" s="10" t="n">
        <f aca="false">IF(AND(C113=0,E113=0),0,IF(C113=0,"New",(E113-C113)/C113))</f>
        <v>-0.777533385703064</v>
      </c>
      <c r="H113" s="9" t="n">
        <f aca="false">SUMIF('Source NetSuite'!$A:$A,$A113,'Source NetSuite'!$D:$D)</f>
        <v>1946.35</v>
      </c>
      <c r="I113" s="9" t="n">
        <f aca="false">SUMIF('Source NetSuite'!$A:$A,$A113,'Source NetSuite'!$F:$F)</f>
        <v>342.79</v>
      </c>
      <c r="J113" s="9" t="n">
        <f aca="false">I113*$J$5</f>
        <v>432.997894736842</v>
      </c>
      <c r="K113" s="9" t="n">
        <f aca="false">J113-H113</f>
        <v>-1513.35210526316</v>
      </c>
      <c r="L113" s="10" t="n">
        <f aca="false">IF(AND(H113=0,J113=0),0,IF(H113=0,"New",(J113-H113)/H113))</f>
        <v>-0.777533385703064</v>
      </c>
      <c r="M113" s="8" t="str">
        <f aca="false">IF(AND(OR(C113&lt;&gt;0,H113&lt;&gt;0),D113=0,I113=0),"DROP",IF(AND(OR(D113&lt;&gt;0,I113&lt;&gt;0),C113=0,H113=0),"NEW",""))</f>
        <v/>
      </c>
    </row>
    <row r="114" customFormat="false" ht="15" hidden="false" customHeight="true" outlineLevel="0" collapsed="false">
      <c r="A114" s="8" t="s">
        <v>99</v>
      </c>
      <c r="B114" s="8" t="str">
        <f aca="false">IFERROR(INDEX('Source NetSuite'!$B:$B,MATCH($A114,'Source NetSuite'!$A:$A,0)),"")</f>
        <v>קינזיולוגי טייפ</v>
      </c>
      <c r="C114" s="9" t="n">
        <f aca="false">SUMIF('Source NetSuite'!$A:$A,$A114,'Source NetSuite'!$C:$C)</f>
        <v>104</v>
      </c>
      <c r="D114" s="9" t="n">
        <f aca="false">SUMIF('Source NetSuite'!$A:$A,$A114,'Source NetSuite'!$E:$E)</f>
        <v>41</v>
      </c>
      <c r="E114" s="9" t="n">
        <f aca="false">D114*$J$5</f>
        <v>51.7894736842105</v>
      </c>
      <c r="F114" s="9" t="n">
        <f aca="false">E114-C114</f>
        <v>-52.2105263157895</v>
      </c>
      <c r="G114" s="10" t="n">
        <f aca="false">IF(AND(C114=0,E114=0),0,IF(C114=0,"New",(E114-C114)/C114))</f>
        <v>-0.502024291497976</v>
      </c>
      <c r="H114" s="9" t="n">
        <f aca="false">SUMIF('Source NetSuite'!$A:$A,$A114,'Source NetSuite'!$D:$D)</f>
        <v>2600</v>
      </c>
      <c r="I114" s="9" t="n">
        <f aca="false">SUMIF('Source NetSuite'!$A:$A,$A114,'Source NetSuite'!$F:$F)</f>
        <v>1025</v>
      </c>
      <c r="J114" s="9" t="n">
        <f aca="false">I114*$J$5</f>
        <v>1294.73684210526</v>
      </c>
      <c r="K114" s="9" t="n">
        <f aca="false">J114-H114</f>
        <v>-1305.26315789474</v>
      </c>
      <c r="L114" s="10" t="n">
        <f aca="false">IF(AND(H114=0,J114=0),0,IF(H114=0,"New",(J114-H114)/H114))</f>
        <v>-0.502024291497976</v>
      </c>
      <c r="M114" s="8" t="str">
        <f aca="false">IF(AND(OR(C114&lt;&gt;0,H114&lt;&gt;0),D114=0,I114=0),"DROP",IF(AND(OR(D114&lt;&gt;0,I114&lt;&gt;0),C114=0,H114=0),"NEW",""))</f>
        <v/>
      </c>
    </row>
    <row r="115" customFormat="false" ht="15" hidden="false" customHeight="true" outlineLevel="0" collapsed="false">
      <c r="A115" s="8" t="s">
        <v>120</v>
      </c>
      <c r="B115" s="8" t="str">
        <f aca="false">IFERROR(INDEX('Source NetSuite'!$B:$B,MATCH($A115,'Source NetSuite'!$A:$A,0)),"")</f>
        <v>קינזיולוגי טייפ</v>
      </c>
      <c r="C115" s="9" t="n">
        <f aca="false">SUMIF('Source NetSuite'!$A:$A,$A115,'Source NetSuite'!$C:$C)</f>
        <v>92</v>
      </c>
      <c r="D115" s="9" t="n">
        <f aca="false">SUMIF('Source NetSuite'!$A:$A,$A115,'Source NetSuite'!$E:$E)</f>
        <v>30</v>
      </c>
      <c r="E115" s="9" t="n">
        <f aca="false">D115*$J$5</f>
        <v>37.8947368421053</v>
      </c>
      <c r="F115" s="9" t="n">
        <f aca="false">E115-C115</f>
        <v>-54.1052631578947</v>
      </c>
      <c r="G115" s="10" t="n">
        <f aca="false">IF(AND(C115=0,E115=0),0,IF(C115=0,"New",(E115-C115)/C115))</f>
        <v>-0.588100686498856</v>
      </c>
      <c r="H115" s="9" t="n">
        <f aca="false">SUMIF('Source NetSuite'!$A:$A,$A115,'Source NetSuite'!$D:$D)</f>
        <v>2300</v>
      </c>
      <c r="I115" s="9" t="n">
        <f aca="false">SUMIF('Source NetSuite'!$A:$A,$A115,'Source NetSuite'!$F:$F)</f>
        <v>750</v>
      </c>
      <c r="J115" s="9" t="n">
        <f aca="false">I115*$J$5</f>
        <v>947.368421052632</v>
      </c>
      <c r="K115" s="9" t="n">
        <f aca="false">J115-H115</f>
        <v>-1352.63157894737</v>
      </c>
      <c r="L115" s="10" t="n">
        <f aca="false">IF(AND(H115=0,J115=0),0,IF(H115=0,"New",(J115-H115)/H115))</f>
        <v>-0.588100686498856</v>
      </c>
      <c r="M115" s="8" t="str">
        <f aca="false">IF(AND(OR(C115&lt;&gt;0,H115&lt;&gt;0),D115=0,I115=0),"DROP",IF(AND(OR(D115&lt;&gt;0,I115&lt;&gt;0),C115=0,H115=0),"NEW",""))</f>
        <v/>
      </c>
    </row>
    <row r="116" customFormat="false" ht="15" hidden="false" customHeight="true" outlineLevel="0" collapsed="false">
      <c r="A116" s="8" t="s">
        <v>265</v>
      </c>
      <c r="B116" s="8" t="str">
        <f aca="false">IFERROR(INDEX('Source NetSuite'!$B:$B,MATCH($A116,'Source NetSuite'!$A:$A,0)),"")</f>
        <v>סד לילה לבוהן</v>
      </c>
      <c r="C116" s="9" t="n">
        <f aca="false">SUMIF('Source NetSuite'!$A:$A,$A116,'Source NetSuite'!$C:$C)</f>
        <v>43</v>
      </c>
      <c r="D116" s="9" t="n">
        <f aca="false">SUMIF('Source NetSuite'!$A:$A,$A116,'Source NetSuite'!$E:$E)</f>
        <v>7</v>
      </c>
      <c r="E116" s="9" t="n">
        <f aca="false">D116*$J$5</f>
        <v>8.84210526315789</v>
      </c>
      <c r="F116" s="9" t="n">
        <f aca="false">E116-C116</f>
        <v>-34.1578947368421</v>
      </c>
      <c r="G116" s="10" t="n">
        <f aca="false">IF(AND(C116=0,E116=0),0,IF(C116=0,"New",(E116-C116)/C116))</f>
        <v>-0.79436964504284</v>
      </c>
      <c r="H116" s="9" t="n">
        <f aca="false">SUMIF('Source NetSuite'!$A:$A,$A116,'Source NetSuite'!$D:$D)</f>
        <v>1806</v>
      </c>
      <c r="I116" s="9" t="n">
        <f aca="false">SUMIF('Source NetSuite'!$A:$A,$A116,'Source NetSuite'!$F:$F)</f>
        <v>294</v>
      </c>
      <c r="J116" s="9" t="n">
        <f aca="false">I116*$J$5</f>
        <v>371.368421052632</v>
      </c>
      <c r="K116" s="9" t="n">
        <f aca="false">J116-H116</f>
        <v>-1434.63157894737</v>
      </c>
      <c r="L116" s="10" t="n">
        <f aca="false">IF(AND(H116=0,J116=0),0,IF(H116=0,"New",(J116-H116)/H116))</f>
        <v>-0.79436964504284</v>
      </c>
      <c r="M116" s="8" t="str">
        <f aca="false">IF(AND(OR(C116&lt;&gt;0,H116&lt;&gt;0),D116=0,I116=0),"DROP",IF(AND(OR(D116&lt;&gt;0,I116&lt;&gt;0),C116=0,H116=0),"NEW",""))</f>
        <v/>
      </c>
    </row>
    <row r="117" customFormat="false" ht="15" hidden="false" customHeight="true" outlineLevel="0" collapsed="false">
      <c r="A117" s="8" t="s">
        <v>266</v>
      </c>
      <c r="B117" s="8" t="str">
        <f aca="false">IFERROR(INDEX('Source NetSuite'!$B:$B,MATCH($A117,'Source NetSuite'!$A:$A,0)),"")</f>
        <v>כרית עם סרט אלסט</v>
      </c>
      <c r="C117" s="9" t="n">
        <f aca="false">SUMIF('Source NetSuite'!$A:$A,$A117,'Source NetSuite'!$C:$C)</f>
        <v>136</v>
      </c>
      <c r="D117" s="9" t="n">
        <f aca="false">SUMIF('Source NetSuite'!$A:$A,$A117,'Source NetSuite'!$E:$E)</f>
        <v>61</v>
      </c>
      <c r="E117" s="9" t="n">
        <f aca="false">D117*$J$5</f>
        <v>77.0526315789474</v>
      </c>
      <c r="F117" s="9" t="n">
        <f aca="false">E117-C117</f>
        <v>-58.9473684210526</v>
      </c>
      <c r="G117" s="10" t="n">
        <f aca="false">IF(AND(C117=0,E117=0),0,IF(C117=0,"New",(E117-C117)/C117))</f>
        <v>-0.43343653250774</v>
      </c>
      <c r="H117" s="9" t="n">
        <f aca="false">SUMIF('Source NetSuite'!$A:$A,$A117,'Source NetSuite'!$D:$D)</f>
        <v>2709.12</v>
      </c>
      <c r="I117" s="9" t="n">
        <f aca="false">SUMIF('Source NetSuite'!$A:$A,$A117,'Source NetSuite'!$F:$F)</f>
        <v>1215.12</v>
      </c>
      <c r="J117" s="9" t="n">
        <f aca="false">I117*$J$5</f>
        <v>1534.88842105263</v>
      </c>
      <c r="K117" s="9" t="n">
        <f aca="false">J117-H117</f>
        <v>-1174.23157894737</v>
      </c>
      <c r="L117" s="10" t="n">
        <f aca="false">IF(AND(H117=0,J117=0),0,IF(H117=0,"New",(J117-H117)/H117))</f>
        <v>-0.43343653250774</v>
      </c>
      <c r="M117" s="8" t="str">
        <f aca="false">IF(AND(OR(C117&lt;&gt;0,H117&lt;&gt;0),D117=0,I117=0),"DROP",IF(AND(OR(D117&lt;&gt;0,I117&lt;&gt;0),C117=0,H117=0),"NEW",""))</f>
        <v/>
      </c>
    </row>
    <row r="118" customFormat="false" ht="15" hidden="false" customHeight="true" outlineLevel="0" collapsed="false">
      <c r="A118" s="8" t="s">
        <v>267</v>
      </c>
      <c r="B118" s="8" t="str">
        <f aca="false">IFERROR(INDEX('Source NetSuite'!$B:$B,MATCH($A118,'Source NetSuite'!$A:$A,0)),"")</f>
        <v>מגן ברך רגיל</v>
      </c>
      <c r="C118" s="9" t="n">
        <f aca="false">SUMIF('Source NetSuite'!$A:$A,$A118,'Source NetSuite'!$C:$C)</f>
        <v>142</v>
      </c>
      <c r="D118" s="9" t="n">
        <f aca="false">SUMIF('Source NetSuite'!$A:$A,$A118,'Source NetSuite'!$E:$E)</f>
        <v>52</v>
      </c>
      <c r="E118" s="9" t="n">
        <f aca="false">D118*$J$5</f>
        <v>65.6842105263158</v>
      </c>
      <c r="F118" s="9" t="n">
        <f aca="false">E118-C118</f>
        <v>-76.3157894736842</v>
      </c>
      <c r="G118" s="10" t="n">
        <f aca="false">IF(AND(C118=0,E118=0),0,IF(C118=0,"New",(E118-C118)/C118))</f>
        <v>-0.537435137138621</v>
      </c>
      <c r="H118" s="9" t="n">
        <f aca="false">SUMIF('Source NetSuite'!$A:$A,$A118,'Source NetSuite'!$D:$D)</f>
        <v>2343</v>
      </c>
      <c r="I118" s="9" t="n">
        <f aca="false">SUMIF('Source NetSuite'!$A:$A,$A118,'Source NetSuite'!$F:$F)</f>
        <v>858</v>
      </c>
      <c r="J118" s="9" t="n">
        <f aca="false">I118*$J$5</f>
        <v>1083.78947368421</v>
      </c>
      <c r="K118" s="9" t="n">
        <f aca="false">J118-H118</f>
        <v>-1259.21052631579</v>
      </c>
      <c r="L118" s="10" t="n">
        <f aca="false">IF(AND(H118=0,J118=0),0,IF(H118=0,"New",(J118-H118)/H118))</f>
        <v>-0.537435137138621</v>
      </c>
      <c r="M118" s="8" t="str">
        <f aca="false">IF(AND(OR(C118&lt;&gt;0,H118&lt;&gt;0),D118=0,I118=0),"DROP",IF(AND(OR(D118&lt;&gt;0,I118&lt;&gt;0),C118=0,H118=0),"NEW",""))</f>
        <v/>
      </c>
    </row>
    <row r="119" customFormat="false" ht="15" hidden="false" customHeight="true" outlineLevel="0" collapsed="false">
      <c r="A119" s="8" t="s">
        <v>268</v>
      </c>
      <c r="B119" s="8" t="str">
        <f aca="false">IFERROR(INDEX('Source NetSuite'!$B:$B,MATCH($A119,'Source NetSuite'!$A:$A,0)),"")</f>
        <v>רצועות פיקה לברך</v>
      </c>
      <c r="C119" s="9" t="n">
        <f aca="false">SUMIF('Source NetSuite'!$A:$A,$A119,'Source NetSuite'!$C:$C)</f>
        <v>52</v>
      </c>
      <c r="D119" s="9" t="n">
        <f aca="false">SUMIF('Source NetSuite'!$A:$A,$A119,'Source NetSuite'!$E:$E)</f>
        <v>11</v>
      </c>
      <c r="E119" s="9" t="n">
        <f aca="false">D119*$J$5</f>
        <v>13.8947368421053</v>
      </c>
      <c r="F119" s="9" t="n">
        <f aca="false">E119-C119</f>
        <v>-38.1052631578947</v>
      </c>
      <c r="G119" s="10" t="n">
        <f aca="false">IF(AND(C119=0,E119=0),0,IF(C119=0,"New",(E119-C119)/C119))</f>
        <v>-0.732793522267207</v>
      </c>
      <c r="H119" s="9" t="n">
        <f aca="false">SUMIF('Source NetSuite'!$A:$A,$A119,'Source NetSuite'!$D:$D)</f>
        <v>1854.84</v>
      </c>
      <c r="I119" s="9" t="n">
        <f aca="false">SUMIF('Source NetSuite'!$A:$A,$A119,'Source NetSuite'!$F:$F)</f>
        <v>392.37</v>
      </c>
      <c r="J119" s="9" t="n">
        <f aca="false">I119*$J$5</f>
        <v>495.625263157895</v>
      </c>
      <c r="K119" s="9" t="n">
        <f aca="false">J119-H119</f>
        <v>-1359.21473684211</v>
      </c>
      <c r="L119" s="10" t="n">
        <f aca="false">IF(AND(H119=0,J119=0),0,IF(H119=0,"New",(J119-H119)/H119))</f>
        <v>-0.732793522267207</v>
      </c>
      <c r="M119" s="8" t="str">
        <f aca="false">IF(AND(OR(C119&lt;&gt;0,H119&lt;&gt;0),D119=0,I119=0),"DROP",IF(AND(OR(D119&lt;&gt;0,I119&lt;&gt;0),C119=0,H119=0),"NEW",""))</f>
        <v/>
      </c>
    </row>
    <row r="120" customFormat="false" ht="15" hidden="false" customHeight="true" outlineLevel="0" collapsed="false">
      <c r="A120" s="8" t="s">
        <v>269</v>
      </c>
      <c r="B120" s="8" t="str">
        <f aca="false">IFERROR(INDEX('Source NetSuite'!$B:$B,MATCH($A120,'Source NetSuite'!$A:$A,0)),"")</f>
        <v>מדבקה רב פעמית ל</v>
      </c>
      <c r="C120" s="9" t="n">
        <f aca="false">SUMIF('Source NetSuite'!$A:$A,$A120,'Source NetSuite'!$C:$C)</f>
        <v>151</v>
      </c>
      <c r="D120" s="9" t="n">
        <f aca="false">SUMIF('Source NetSuite'!$A:$A,$A120,'Source NetSuite'!$E:$E)</f>
        <v>23</v>
      </c>
      <c r="E120" s="9" t="n">
        <f aca="false">D120*$J$5</f>
        <v>29.0526315789474</v>
      </c>
      <c r="F120" s="9" t="n">
        <f aca="false">E120-C120</f>
        <v>-121.947368421053</v>
      </c>
      <c r="G120" s="10" t="n">
        <f aca="false">IF(AND(C120=0,E120=0),0,IF(C120=0,"New",(E120-C120)/C120))</f>
        <v>-0.807598466364587</v>
      </c>
      <c r="H120" s="9" t="n">
        <f aca="false">SUMIF('Source NetSuite'!$A:$A,$A120,'Source NetSuite'!$D:$D)</f>
        <v>1710.83</v>
      </c>
      <c r="I120" s="9" t="n">
        <f aca="false">SUMIF('Source NetSuite'!$A:$A,$A120,'Source NetSuite'!$F:$F)</f>
        <v>260.59</v>
      </c>
      <c r="J120" s="9" t="n">
        <f aca="false">I120*$J$5</f>
        <v>329.166315789474</v>
      </c>
      <c r="K120" s="9" t="n">
        <f aca="false">J120-H120</f>
        <v>-1381.66368421053</v>
      </c>
      <c r="L120" s="10" t="n">
        <f aca="false">IF(AND(H120=0,J120=0),0,IF(H120=0,"New",(J120-H120)/H120))</f>
        <v>-0.807598466364587</v>
      </c>
      <c r="M120" s="8" t="str">
        <f aca="false">IF(AND(OR(C120&lt;&gt;0,H120&lt;&gt;0),D120=0,I120=0),"DROP",IF(AND(OR(D120&lt;&gt;0,I120&lt;&gt;0),C120=0,H120=0),"NEW",""))</f>
        <v/>
      </c>
    </row>
    <row r="121" customFormat="false" ht="15" hidden="false" customHeight="true" outlineLevel="0" collapsed="false">
      <c r="A121" s="8" t="s">
        <v>270</v>
      </c>
      <c r="B121" s="8" t="str">
        <f aca="false">IFERROR(INDEX('Source NetSuite'!$B:$B,MATCH($A121,'Source NetSuite'!$A:$A,0)),"")</f>
        <v>מדבקה ג'ל למניעת יבלות</v>
      </c>
      <c r="C121" s="9" t="n">
        <f aca="false">SUMIF('Source NetSuite'!$A:$A,$A121,'Source NetSuite'!$C:$C)</f>
        <v>207</v>
      </c>
      <c r="D121" s="9" t="n">
        <f aca="false">SUMIF('Source NetSuite'!$A:$A,$A121,'Source NetSuite'!$E:$E)</f>
        <v>61</v>
      </c>
      <c r="E121" s="9" t="n">
        <f aca="false">D121*$J$5</f>
        <v>77.0526315789474</v>
      </c>
      <c r="F121" s="9" t="n">
        <f aca="false">E121-C121</f>
        <v>-129.947368421053</v>
      </c>
      <c r="G121" s="10" t="n">
        <f aca="false">IF(AND(C121=0,E121=0),0,IF(C121=0,"New",(E121-C121)/C121))</f>
        <v>-0.627765064836003</v>
      </c>
      <c r="H121" s="9" t="n">
        <f aca="false">SUMIF('Source NetSuite'!$A:$A,$A121,'Source NetSuite'!$D:$D)</f>
        <v>2032.74</v>
      </c>
      <c r="I121" s="9" t="n">
        <f aca="false">SUMIF('Source NetSuite'!$A:$A,$A121,'Source NetSuite'!$F:$F)</f>
        <v>599.02</v>
      </c>
      <c r="J121" s="9" t="n">
        <f aca="false">I121*$J$5</f>
        <v>756.656842105263</v>
      </c>
      <c r="K121" s="9" t="n">
        <f aca="false">J121-H121</f>
        <v>-1276.08315789474</v>
      </c>
      <c r="L121" s="10" t="n">
        <f aca="false">IF(AND(H121=0,J121=0),0,IF(H121=0,"New",(J121-H121)/H121))</f>
        <v>-0.627765064836003</v>
      </c>
      <c r="M121" s="8" t="str">
        <f aca="false">IF(AND(OR(C121&lt;&gt;0,H121&lt;&gt;0),D121=0,I121=0),"DROP",IF(AND(OR(D121&lt;&gt;0,I121&lt;&gt;0),C121=0,H121=0),"NEW",""))</f>
        <v/>
      </c>
    </row>
    <row r="122" customFormat="false" ht="15" hidden="false" customHeight="true" outlineLevel="0" collapsed="false">
      <c r="A122" s="8" t="s">
        <v>271</v>
      </c>
      <c r="B122" s="8" t="str">
        <f aca="false">IFERROR(INDEX('Source NetSuite'!$B:$B,MATCH($A122,'Source NetSuite'!$A:$A,0)),"")</f>
        <v>מדבקה מסיליקון ל</v>
      </c>
      <c r="C122" s="9" t="n">
        <f aca="false">SUMIF('Source NetSuite'!$A:$A,$A122,'Source NetSuite'!$C:$C)</f>
        <v>71</v>
      </c>
      <c r="D122" s="9" t="n">
        <f aca="false">SUMIF('Source NetSuite'!$A:$A,$A122,'Source NetSuite'!$E:$E)</f>
        <v>11</v>
      </c>
      <c r="E122" s="9" t="n">
        <f aca="false">D122*$J$5</f>
        <v>13.8947368421053</v>
      </c>
      <c r="F122" s="9" t="n">
        <f aca="false">E122-C122</f>
        <v>-57.1052631578947</v>
      </c>
      <c r="G122" s="10" t="n">
        <f aca="false">IF(AND(C122=0,E122=0),0,IF(C122=0,"New",(E122-C122)/C122))</f>
        <v>-0.804299481097109</v>
      </c>
      <c r="H122" s="9" t="n">
        <f aca="false">SUMIF('Source NetSuite'!$A:$A,$A122,'Source NetSuite'!$D:$D)</f>
        <v>1661.4</v>
      </c>
      <c r="I122" s="9" t="n">
        <f aca="false">SUMIF('Source NetSuite'!$A:$A,$A122,'Source NetSuite'!$F:$F)</f>
        <v>257.4</v>
      </c>
      <c r="J122" s="9" t="n">
        <f aca="false">I122*$J$5</f>
        <v>325.136842105263</v>
      </c>
      <c r="K122" s="9" t="n">
        <f aca="false">J122-H122</f>
        <v>-1336.26315789474</v>
      </c>
      <c r="L122" s="10" t="n">
        <f aca="false">IF(AND(H122=0,J122=0),0,IF(H122=0,"New",(J122-H122)/H122))</f>
        <v>-0.804299481097109</v>
      </c>
      <c r="M122" s="8" t="str">
        <f aca="false">IF(AND(OR(C122&lt;&gt;0,H122&lt;&gt;0),D122=0,I122=0),"DROP",IF(AND(OR(D122&lt;&gt;0,I122&lt;&gt;0),C122=0,H122=0),"NEW",""))</f>
        <v/>
      </c>
    </row>
    <row r="123" customFormat="false" ht="15" hidden="false" customHeight="true" outlineLevel="0" collapsed="false">
      <c r="A123" s="8" t="s">
        <v>272</v>
      </c>
      <c r="B123" s="8" t="str">
        <f aca="false">IFERROR(INDEX('Source NetSuite'!$B:$B,MATCH($A123,'Source NetSuite'!$A:$A,0)),"")</f>
        <v>חגורת שבר לצד שמאל</v>
      </c>
      <c r="C123" s="9" t="n">
        <f aca="false">SUMIF('Source NetSuite'!$A:$A,$A123,'Source NetSuite'!$C:$C)</f>
        <v>15</v>
      </c>
      <c r="D123" s="9" t="n">
        <f aca="false">SUMIF('Source NetSuite'!$A:$A,$A123,'Source NetSuite'!$E:$E)</f>
        <v>4</v>
      </c>
      <c r="E123" s="9" t="n">
        <f aca="false">D123*$J$5</f>
        <v>5.05263157894737</v>
      </c>
      <c r="F123" s="9" t="n">
        <f aca="false">E123-C123</f>
        <v>-9.94736842105263</v>
      </c>
      <c r="G123" s="10" t="n">
        <f aca="false">IF(AND(C123=0,E123=0),0,IF(C123=0,"New",(E123-C123)/C123))</f>
        <v>-0.663157894736842</v>
      </c>
      <c r="H123" s="9" t="n">
        <f aca="false">SUMIF('Source NetSuite'!$A:$A,$A123,'Source NetSuite'!$D:$D)</f>
        <v>1898.55</v>
      </c>
      <c r="I123" s="9" t="n">
        <f aca="false">SUMIF('Source NetSuite'!$A:$A,$A123,'Source NetSuite'!$F:$F)</f>
        <v>506.28</v>
      </c>
      <c r="J123" s="9" t="n">
        <f aca="false">I123*$J$5</f>
        <v>639.511578947368</v>
      </c>
      <c r="K123" s="9" t="n">
        <f aca="false">J123-H123</f>
        <v>-1259.03842105263</v>
      </c>
      <c r="L123" s="10" t="n">
        <f aca="false">IF(AND(H123=0,J123=0),0,IF(H123=0,"New",(J123-H123)/H123))</f>
        <v>-0.663157894736842</v>
      </c>
      <c r="M123" s="8" t="str">
        <f aca="false">IF(AND(OR(C123&lt;&gt;0,H123&lt;&gt;0),D123=0,I123=0),"DROP",IF(AND(OR(D123&lt;&gt;0,I123&lt;&gt;0),C123=0,H123=0),"NEW",""))</f>
        <v/>
      </c>
    </row>
    <row r="124" customFormat="false" ht="15" hidden="false" customHeight="true" outlineLevel="0" collapsed="false">
      <c r="A124" s="8" t="s">
        <v>273</v>
      </c>
      <c r="B124" s="8" t="str">
        <f aca="false">IFERROR(INDEX('Source NetSuite'!$B:$B,MATCH($A124,'Source NetSuite'!$A:$A,0)),"")</f>
        <v>חגורת קיבוע לכתף</v>
      </c>
      <c r="C124" s="9" t="n">
        <f aca="false">SUMIF('Source NetSuite'!$A:$A,$A124,'Source NetSuite'!$C:$C)</f>
        <v>18</v>
      </c>
      <c r="D124" s="9" t="n">
        <f aca="false">SUMIF('Source NetSuite'!$A:$A,$A124,'Source NetSuite'!$E:$E)</f>
        <v>7</v>
      </c>
      <c r="E124" s="9" t="n">
        <f aca="false">D124*$J$5</f>
        <v>8.84210526315789</v>
      </c>
      <c r="F124" s="9" t="n">
        <f aca="false">E124-C124</f>
        <v>-9.15789473684211</v>
      </c>
      <c r="G124" s="10" t="n">
        <f aca="false">IF(AND(C124=0,E124=0),0,IF(C124=0,"New",(E124-C124)/C124))</f>
        <v>-0.508771929824561</v>
      </c>
      <c r="H124" s="9" t="n">
        <f aca="false">SUMIF('Source NetSuite'!$A:$A,$A124,'Source NetSuite'!$D:$D)</f>
        <v>2277</v>
      </c>
      <c r="I124" s="9" t="n">
        <f aca="false">SUMIF('Source NetSuite'!$A:$A,$A124,'Source NetSuite'!$F:$F)</f>
        <v>885.5</v>
      </c>
      <c r="J124" s="9" t="n">
        <f aca="false">I124*$J$5</f>
        <v>1118.52631578947</v>
      </c>
      <c r="K124" s="9" t="n">
        <f aca="false">J124-H124</f>
        <v>-1158.47368421053</v>
      </c>
      <c r="L124" s="10" t="n">
        <f aca="false">IF(AND(H124=0,J124=0),0,IF(H124=0,"New",(J124-H124)/H124))</f>
        <v>-0.508771929824561</v>
      </c>
      <c r="M124" s="8" t="str">
        <f aca="false">IF(AND(OR(C124&lt;&gt;0,H124&lt;&gt;0),D124=0,I124=0),"DROP",IF(AND(OR(D124&lt;&gt;0,I124&lt;&gt;0),C124=0,H124=0),"NEW",""))</f>
        <v/>
      </c>
    </row>
    <row r="125" customFormat="false" ht="15" hidden="false" customHeight="true" outlineLevel="0" collapsed="false">
      <c r="A125" s="8" t="s">
        <v>274</v>
      </c>
      <c r="B125" s="8" t="str">
        <f aca="false">IFERROR(INDEX('Source NetSuite'!$B:$B,MATCH($A125,'Source NetSuite'!$A:$A,0)),"")</f>
        <v>מלח אמבט לכף הרגל</v>
      </c>
      <c r="C125" s="9" t="n">
        <f aca="false">SUMIF('Source NetSuite'!$A:$A,$A125,'Source NetSuite'!$C:$C)</f>
        <v>225</v>
      </c>
      <c r="D125" s="9" t="n">
        <f aca="false">SUMIF('Source NetSuite'!$A:$A,$A125,'Source NetSuite'!$E:$E)</f>
        <v>67</v>
      </c>
      <c r="E125" s="9" t="n">
        <f aca="false">D125*$J$5</f>
        <v>84.6315789473684</v>
      </c>
      <c r="F125" s="9" t="n">
        <f aca="false">E125-C125</f>
        <v>-140.368421052632</v>
      </c>
      <c r="G125" s="10" t="n">
        <f aca="false">IF(AND(C125=0,E125=0),0,IF(C125=0,"New",(E125-C125)/C125))</f>
        <v>-0.623859649122807</v>
      </c>
      <c r="H125" s="9" t="n">
        <f aca="false">SUMIF('Source NetSuite'!$A:$A,$A125,'Source NetSuite'!$D:$D)</f>
        <v>1964.25</v>
      </c>
      <c r="I125" s="9" t="n">
        <f aca="false">SUMIF('Source NetSuite'!$A:$A,$A125,'Source NetSuite'!$F:$F)</f>
        <v>584.91</v>
      </c>
      <c r="J125" s="9" t="n">
        <f aca="false">I125*$J$5</f>
        <v>738.833684210526</v>
      </c>
      <c r="K125" s="9" t="n">
        <f aca="false">J125-H125</f>
        <v>-1225.41631578947</v>
      </c>
      <c r="L125" s="10" t="n">
        <f aca="false">IF(AND(H125=0,J125=0),0,IF(H125=0,"New",(J125-H125)/H125))</f>
        <v>-0.623859649122807</v>
      </c>
      <c r="M125" s="8" t="str">
        <f aca="false">IF(AND(OR(C125&lt;&gt;0,H125&lt;&gt;0),D125=0,I125=0),"DROP",IF(AND(OR(D125&lt;&gt;0,I125&lt;&gt;0),C125=0,H125=0),"NEW",""))</f>
        <v/>
      </c>
    </row>
    <row r="126" customFormat="false" ht="15" hidden="false" customHeight="true" outlineLevel="0" collapsed="false">
      <c r="A126" s="8" t="s">
        <v>95</v>
      </c>
      <c r="B126" s="8" t="str">
        <f aca="false">IFERROR(INDEX('Source NetSuite'!$B:$B,MATCH($A126,'Source NetSuite'!$A:$A,0)),"")</f>
        <v>קינזיולוגי טייפ</v>
      </c>
      <c r="C126" s="9" t="n">
        <f aca="false">SUMIF('Source NetSuite'!$A:$A,$A126,'Source NetSuite'!$C:$C)</f>
        <v>84</v>
      </c>
      <c r="D126" s="9" t="n">
        <f aca="false">SUMIF('Source NetSuite'!$A:$A,$A126,'Source NetSuite'!$E:$E)</f>
        <v>32</v>
      </c>
      <c r="E126" s="9" t="n">
        <f aca="false">D126*$J$5</f>
        <v>40.4210526315789</v>
      </c>
      <c r="F126" s="9" t="n">
        <f aca="false">E126-C126</f>
        <v>-43.5789473684211</v>
      </c>
      <c r="G126" s="10" t="n">
        <f aca="false">IF(AND(C126=0,E126=0),0,IF(C126=0,"New",(E126-C126)/C126))</f>
        <v>-0.518796992481203</v>
      </c>
      <c r="H126" s="9" t="n">
        <f aca="false">SUMIF('Source NetSuite'!$A:$A,$A126,'Source NetSuite'!$D:$D)</f>
        <v>2100</v>
      </c>
      <c r="I126" s="9" t="n">
        <f aca="false">SUMIF('Source NetSuite'!$A:$A,$A126,'Source NetSuite'!$F:$F)</f>
        <v>800</v>
      </c>
      <c r="J126" s="9" t="n">
        <f aca="false">I126*$J$5</f>
        <v>1010.52631578947</v>
      </c>
      <c r="K126" s="9" t="n">
        <f aca="false">J126-H126</f>
        <v>-1089.47368421053</v>
      </c>
      <c r="L126" s="10" t="n">
        <f aca="false">IF(AND(H126=0,J126=0),0,IF(H126=0,"New",(J126-H126)/H126))</f>
        <v>-0.518796992481203</v>
      </c>
      <c r="M126" s="8" t="str">
        <f aca="false">IF(AND(OR(C126&lt;&gt;0,H126&lt;&gt;0),D126=0,I126=0),"DROP",IF(AND(OR(D126&lt;&gt;0,I126&lt;&gt;0),C126=0,H126=0),"NEW",""))</f>
        <v/>
      </c>
    </row>
    <row r="127" customFormat="false" ht="15" hidden="false" customHeight="true" outlineLevel="0" collapsed="false">
      <c r="A127" s="8" t="s">
        <v>275</v>
      </c>
      <c r="B127" s="8" t="str">
        <f aca="false">IFERROR(INDEX('Source NetSuite'!$B:$B,MATCH($A127,'Source NetSuite'!$A:$A,0)),"")</f>
        <v>מכשיר להסרת עור</v>
      </c>
      <c r="C127" s="9" t="n">
        <f aca="false">SUMIF('Source NetSuite'!$A:$A,$A127,'Source NetSuite'!$C:$C)</f>
        <v>101</v>
      </c>
      <c r="D127" s="9" t="n">
        <f aca="false">SUMIF('Source NetSuite'!$A:$A,$A127,'Source NetSuite'!$E:$E)</f>
        <v>42</v>
      </c>
      <c r="E127" s="9" t="n">
        <f aca="false">D127*$J$5</f>
        <v>53.0526315789474</v>
      </c>
      <c r="F127" s="9" t="n">
        <f aca="false">E127-C127</f>
        <v>-47.9473684210526</v>
      </c>
      <c r="G127" s="10" t="n">
        <f aca="false">IF(AND(C127=0,E127=0),0,IF(C127=0,"New",(E127-C127)/C127))</f>
        <v>-0.474726420010422</v>
      </c>
      <c r="H127" s="9" t="n">
        <f aca="false">SUMIF('Source NetSuite'!$A:$A,$A127,'Source NetSuite'!$D:$D)</f>
        <v>2181.6</v>
      </c>
      <c r="I127" s="9" t="n">
        <f aca="false">SUMIF('Source NetSuite'!$A:$A,$A127,'Source NetSuite'!$F:$F)</f>
        <v>907.2</v>
      </c>
      <c r="J127" s="9" t="n">
        <f aca="false">I127*$J$5</f>
        <v>1145.93684210526</v>
      </c>
      <c r="K127" s="9" t="n">
        <f aca="false">J127-H127</f>
        <v>-1035.66315789474</v>
      </c>
      <c r="L127" s="10" t="n">
        <f aca="false">IF(AND(H127=0,J127=0),0,IF(H127=0,"New",(J127-H127)/H127))</f>
        <v>-0.474726420010422</v>
      </c>
      <c r="M127" s="8" t="str">
        <f aca="false">IF(AND(OR(C127&lt;&gt;0,H127&lt;&gt;0),D127=0,I127=0),"DROP",IF(AND(OR(D127&lt;&gt;0,I127&lt;&gt;0),C127=0,H127=0),"NEW",""))</f>
        <v/>
      </c>
    </row>
    <row r="128" customFormat="false" ht="15" hidden="false" customHeight="true" outlineLevel="0" collapsed="false">
      <c r="A128" s="8" t="s">
        <v>276</v>
      </c>
      <c r="B128" s="8" t="str">
        <f aca="false">IFERROR(INDEX('Source NetSuite'!$B:$B,MATCH($A128,'Source NetSuite'!$A:$A,0)),"")</f>
        <v>סד לילה לבוהן</v>
      </c>
      <c r="C128" s="9" t="n">
        <f aca="false">SUMIF('Source NetSuite'!$A:$A,$A128,'Source NetSuite'!$C:$C)</f>
        <v>38</v>
      </c>
      <c r="D128" s="9" t="n">
        <f aca="false">SUMIF('Source NetSuite'!$A:$A,$A128,'Source NetSuite'!$E:$E)</f>
        <v>8</v>
      </c>
      <c r="E128" s="9" t="n">
        <f aca="false">D128*$J$5</f>
        <v>10.1052631578947</v>
      </c>
      <c r="F128" s="9" t="n">
        <f aca="false">E128-C128</f>
        <v>-27.8947368421053</v>
      </c>
      <c r="G128" s="10" t="n">
        <f aca="false">IF(AND(C128=0,E128=0),0,IF(C128=0,"New",(E128-C128)/C128))</f>
        <v>-0.734072022160665</v>
      </c>
      <c r="H128" s="9" t="n">
        <f aca="false">SUMIF('Source NetSuite'!$A:$A,$A128,'Source NetSuite'!$D:$D)</f>
        <v>1596</v>
      </c>
      <c r="I128" s="9" t="n">
        <f aca="false">SUMIF('Source NetSuite'!$A:$A,$A128,'Source NetSuite'!$F:$F)</f>
        <v>336</v>
      </c>
      <c r="J128" s="9" t="n">
        <f aca="false">I128*$J$5</f>
        <v>424.421052631579</v>
      </c>
      <c r="K128" s="9" t="n">
        <f aca="false">J128-H128</f>
        <v>-1171.57894736842</v>
      </c>
      <c r="L128" s="10" t="n">
        <f aca="false">IF(AND(H128=0,J128=0),0,IF(H128=0,"New",(J128-H128)/H128))</f>
        <v>-0.734072022160665</v>
      </c>
      <c r="M128" s="8" t="str">
        <f aca="false">IF(AND(OR(C128&lt;&gt;0,H128&lt;&gt;0),D128=0,I128=0),"DROP",IF(AND(OR(D128&lt;&gt;0,I128&lt;&gt;0),C128=0,H128=0),"NEW",""))</f>
        <v/>
      </c>
    </row>
    <row r="129" customFormat="false" ht="15" hidden="false" customHeight="true" outlineLevel="0" collapsed="false">
      <c r="A129" s="8" t="s">
        <v>277</v>
      </c>
      <c r="B129" s="8" t="str">
        <f aca="false">IFERROR(INDEX('Source NetSuite'!$B:$B,MATCH($A129,'Source NetSuite'!$A:$A,0)),"")</f>
        <v>מישר כתפיים רחב+תמיכה לבית השח</v>
      </c>
      <c r="C129" s="9" t="n">
        <f aca="false">SUMIF('Source NetSuite'!$A:$A,$A129,'Source NetSuite'!$C:$C)</f>
        <v>19</v>
      </c>
      <c r="D129" s="9" t="n">
        <f aca="false">SUMIF('Source NetSuite'!$A:$A,$A129,'Source NetSuite'!$E:$E)</f>
        <v>10</v>
      </c>
      <c r="E129" s="9" t="n">
        <f aca="false">D129*$J$5</f>
        <v>12.6315789473684</v>
      </c>
      <c r="F129" s="9" t="n">
        <f aca="false">E129-C129</f>
        <v>-6.36842105263158</v>
      </c>
      <c r="G129" s="10" t="n">
        <f aca="false">IF(AND(C129=0,E129=0),0,IF(C129=0,"New",(E129-C129)/C129))</f>
        <v>-0.335180055401662</v>
      </c>
      <c r="H129" s="9" t="n">
        <f aca="false">SUMIF('Source NetSuite'!$A:$A,$A129,'Source NetSuite'!$D:$D)</f>
        <v>2589.7</v>
      </c>
      <c r="I129" s="9" t="n">
        <f aca="false">SUMIF('Source NetSuite'!$A:$A,$A129,'Source NetSuite'!$F:$F)</f>
        <v>1363</v>
      </c>
      <c r="J129" s="9" t="n">
        <f aca="false">I129*$J$5</f>
        <v>1721.68421052632</v>
      </c>
      <c r="K129" s="9" t="n">
        <f aca="false">J129-H129</f>
        <v>-868.015789473685</v>
      </c>
      <c r="L129" s="10" t="n">
        <f aca="false">IF(AND(H129=0,J129=0),0,IF(H129=0,"New",(J129-H129)/H129))</f>
        <v>-0.335180055401662</v>
      </c>
      <c r="M129" s="8" t="str">
        <f aca="false">IF(AND(OR(C129&lt;&gt;0,H129&lt;&gt;0),D129=0,I129=0),"DROP",IF(AND(OR(D129&lt;&gt;0,I129&lt;&gt;0),C129=0,H129=0),"NEW",""))</f>
        <v/>
      </c>
    </row>
    <row r="130" customFormat="false" ht="15" hidden="false" customHeight="true" outlineLevel="0" collapsed="false">
      <c r="A130" s="8" t="s">
        <v>278</v>
      </c>
      <c r="B130" s="8" t="str">
        <f aca="false">IFERROR(INDEX('Source NetSuite'!$B:$B,MATCH($A130,'Source NetSuite'!$A:$A,0)),"")</f>
        <v>מגן קרסול סגור</v>
      </c>
      <c r="C130" s="9" t="n">
        <f aca="false">SUMIF('Source NetSuite'!$A:$A,$A130,'Source NetSuite'!$C:$C)</f>
        <v>64</v>
      </c>
      <c r="D130" s="9" t="n">
        <f aca="false">SUMIF('Source NetSuite'!$A:$A,$A130,'Source NetSuite'!$E:$E)</f>
        <v>22</v>
      </c>
      <c r="E130" s="9" t="n">
        <f aca="false">D130*$J$5</f>
        <v>27.7894736842105</v>
      </c>
      <c r="F130" s="9" t="n">
        <f aca="false">E130-C130</f>
        <v>-36.2105263157895</v>
      </c>
      <c r="G130" s="10" t="n">
        <f aca="false">IF(AND(C130=0,E130=0),0,IF(C130=0,"New",(E130-C130)/C130))</f>
        <v>-0.565789473684211</v>
      </c>
      <c r="H130" s="9" t="n">
        <f aca="false">SUMIF('Source NetSuite'!$A:$A,$A130,'Source NetSuite'!$D:$D)</f>
        <v>1851.52</v>
      </c>
      <c r="I130" s="9" t="n">
        <f aca="false">SUMIF('Source NetSuite'!$A:$A,$A130,'Source NetSuite'!$F:$F)</f>
        <v>636.46</v>
      </c>
      <c r="J130" s="9" t="n">
        <f aca="false">I130*$J$5</f>
        <v>803.949473684211</v>
      </c>
      <c r="K130" s="9" t="n">
        <f aca="false">J130-H130</f>
        <v>-1047.57052631579</v>
      </c>
      <c r="L130" s="10" t="n">
        <f aca="false">IF(AND(H130=0,J130=0),0,IF(H130=0,"New",(J130-H130)/H130))</f>
        <v>-0.565789473684211</v>
      </c>
      <c r="M130" s="8" t="str">
        <f aca="false">IF(AND(OR(C130&lt;&gt;0,H130&lt;&gt;0),D130=0,I130=0),"DROP",IF(AND(OR(D130&lt;&gt;0,I130&lt;&gt;0),C130=0,H130=0),"NEW",""))</f>
        <v/>
      </c>
    </row>
    <row r="131" customFormat="false" ht="15" hidden="false" customHeight="true" outlineLevel="0" collapsed="false">
      <c r="A131" s="8" t="s">
        <v>279</v>
      </c>
      <c r="B131" s="8" t="str">
        <f aca="false">IFERROR(INDEX('Source NetSuite'!$B:$B,MATCH($A131,'Source NetSuite'!$A:$A,0)),"")</f>
        <v>רפידה בולמת זעזועים</v>
      </c>
      <c r="C131" s="9" t="n">
        <f aca="false">SUMIF('Source NetSuite'!$A:$A,$A131,'Source NetSuite'!$C:$C)</f>
        <v>170</v>
      </c>
      <c r="D131" s="9" t="n">
        <f aca="false">SUMIF('Source NetSuite'!$A:$A,$A131,'Source NetSuite'!$E:$E)</f>
        <v>48</v>
      </c>
      <c r="E131" s="9" t="n">
        <f aca="false">D131*$J$5</f>
        <v>60.6315789473684</v>
      </c>
      <c r="F131" s="9" t="n">
        <f aca="false">E131-C131</f>
        <v>-109.368421052632</v>
      </c>
      <c r="G131" s="10" t="n">
        <f aca="false">IF(AND(C131=0,E131=0),0,IF(C131=0,"New",(E131-C131)/C131))</f>
        <v>-0.643343653250774</v>
      </c>
      <c r="H131" s="9" t="n">
        <f aca="false">SUMIF('Source NetSuite'!$A:$A,$A131,'Source NetSuite'!$D:$D)</f>
        <v>1669.4</v>
      </c>
      <c r="I131" s="9" t="n">
        <f aca="false">SUMIF('Source NetSuite'!$A:$A,$A131,'Source NetSuite'!$F:$F)</f>
        <v>471.36</v>
      </c>
      <c r="J131" s="9" t="n">
        <f aca="false">I131*$J$5</f>
        <v>595.402105263158</v>
      </c>
      <c r="K131" s="9" t="n">
        <f aca="false">J131-H131</f>
        <v>-1073.99789473684</v>
      </c>
      <c r="L131" s="10" t="n">
        <f aca="false">IF(AND(H131=0,J131=0),0,IF(H131=0,"New",(J131-H131)/H131))</f>
        <v>-0.643343653250774</v>
      </c>
      <c r="M131" s="8" t="str">
        <f aca="false">IF(AND(OR(C131&lt;&gt;0,H131&lt;&gt;0),D131=0,I131=0),"DROP",IF(AND(OR(D131&lt;&gt;0,I131&lt;&gt;0),C131=0,H131=0),"NEW",""))</f>
        <v/>
      </c>
    </row>
    <row r="132" customFormat="false" ht="15" hidden="false" customHeight="true" outlineLevel="0" collapsed="false">
      <c r="A132" s="8" t="s">
        <v>280</v>
      </c>
      <c r="B132" s="8" t="str">
        <f aca="false">IFERROR(INDEX('Source NetSuite'!$B:$B,MATCH($A132,'Source NetSuite'!$A:$A,0)),"")</f>
        <v>חגורה למנותחי בית החזה</v>
      </c>
      <c r="C132" s="9" t="n">
        <f aca="false">SUMIF('Source NetSuite'!$A:$A,$A132,'Source NetSuite'!$C:$C)</f>
        <v>17</v>
      </c>
      <c r="D132" s="9" t="n">
        <f aca="false">SUMIF('Source NetSuite'!$A:$A,$A132,'Source NetSuite'!$E:$E)</f>
        <v>6</v>
      </c>
      <c r="E132" s="9" t="n">
        <f aca="false">D132*$J$5</f>
        <v>7.57894736842105</v>
      </c>
      <c r="F132" s="9" t="n">
        <f aca="false">E132-C132</f>
        <v>-9.42105263157895</v>
      </c>
      <c r="G132" s="10" t="n">
        <f aca="false">IF(AND(C132=0,E132=0),0,IF(C132=0,"New",(E132-C132)/C132))</f>
        <v>-0.554179566563468</v>
      </c>
      <c r="H132" s="9" t="n">
        <f aca="false">SUMIF('Source NetSuite'!$A:$A,$A132,'Source NetSuite'!$D:$D)</f>
        <v>1820.53</v>
      </c>
      <c r="I132" s="9" t="n">
        <f aca="false">SUMIF('Source NetSuite'!$A:$A,$A132,'Source NetSuite'!$F:$F)</f>
        <v>642.54</v>
      </c>
      <c r="J132" s="9" t="n">
        <f aca="false">I132*$J$5</f>
        <v>811.62947368421</v>
      </c>
      <c r="K132" s="9" t="n">
        <f aca="false">J132-H132</f>
        <v>-1008.90052631579</v>
      </c>
      <c r="L132" s="10" t="n">
        <f aca="false">IF(AND(H132=0,J132=0),0,IF(H132=0,"New",(J132-H132)/H132))</f>
        <v>-0.554179566563468</v>
      </c>
      <c r="M132" s="8" t="str">
        <f aca="false">IF(AND(OR(C132&lt;&gt;0,H132&lt;&gt;0),D132=0,I132=0),"DROP",IF(AND(OR(D132&lt;&gt;0,I132&lt;&gt;0),C132=0,H132=0),"NEW",""))</f>
        <v/>
      </c>
    </row>
    <row r="133" customFormat="false" ht="15" hidden="false" customHeight="true" outlineLevel="0" collapsed="false">
      <c r="A133" s="8" t="s">
        <v>281</v>
      </c>
      <c r="B133" s="8" t="str">
        <f aca="false">IFERROR(INDEX('Source NetSuite'!$B:$B,MATCH($A133,'Source NetSuite'!$A:$A,0)),"")</f>
        <v>מדבקה לשחרור לחץ</v>
      </c>
      <c r="C133" s="9" t="n">
        <f aca="false">SUMIF('Source NetSuite'!$A:$A,$A133,'Source NetSuite'!$C:$C)</f>
        <v>104</v>
      </c>
      <c r="D133" s="9" t="n">
        <f aca="false">SUMIF('Source NetSuite'!$A:$A,$A133,'Source NetSuite'!$E:$E)</f>
        <v>19</v>
      </c>
      <c r="E133" s="9" t="n">
        <f aca="false">D133*$J$5</f>
        <v>24</v>
      </c>
      <c r="F133" s="9" t="n">
        <f aca="false">E133-C133</f>
        <v>-80</v>
      </c>
      <c r="G133" s="10" t="n">
        <f aca="false">IF(AND(C133=0,E133=0),0,IF(C133=0,"New",(E133-C133)/C133))</f>
        <v>-0.769230769230769</v>
      </c>
      <c r="H133" s="9" t="n">
        <f aca="false">SUMIF('Source NetSuite'!$A:$A,$A133,'Source NetSuite'!$D:$D)</f>
        <v>1439.36</v>
      </c>
      <c r="I133" s="9" t="n">
        <f aca="false">SUMIF('Source NetSuite'!$A:$A,$A133,'Source NetSuite'!$F:$F)</f>
        <v>262.96</v>
      </c>
      <c r="J133" s="9" t="n">
        <f aca="false">I133*$J$5</f>
        <v>332.16</v>
      </c>
      <c r="K133" s="9" t="n">
        <f aca="false">J133-H133</f>
        <v>-1107.2</v>
      </c>
      <c r="L133" s="10" t="n">
        <f aca="false">IF(AND(H133=0,J133=0),0,IF(H133=0,"New",(J133-H133)/H133))</f>
        <v>-0.769230769230769</v>
      </c>
      <c r="M133" s="8" t="str">
        <f aca="false">IF(AND(OR(C133&lt;&gt;0,H133&lt;&gt;0),D133=0,I133=0),"DROP",IF(AND(OR(D133&lt;&gt;0,I133&lt;&gt;0),C133=0,H133=0),"NEW",""))</f>
        <v/>
      </c>
    </row>
    <row r="134" customFormat="false" ht="15" hidden="false" customHeight="true" outlineLevel="0" collapsed="false">
      <c r="A134" s="8" t="s">
        <v>282</v>
      </c>
      <c r="B134" s="8" t="str">
        <f aca="false">IFERROR(INDEX('Source NetSuite'!$B:$B,MATCH($A134,'Source NetSuite'!$A:$A,0)),"")</f>
        <v>חגורת שבר דו צדדית</v>
      </c>
      <c r="C134" s="9" t="n">
        <f aca="false">SUMIF('Source NetSuite'!$A:$A,$A134,'Source NetSuite'!$C:$C)</f>
        <v>5</v>
      </c>
      <c r="D134" s="9" t="n">
        <f aca="false">SUMIF('Source NetSuite'!$A:$A,$A134,'Source NetSuite'!$E:$E)</f>
        <v>-1</v>
      </c>
      <c r="E134" s="9" t="n">
        <f aca="false">D134*$J$5</f>
        <v>-1.26315789473684</v>
      </c>
      <c r="F134" s="9" t="n">
        <f aca="false">E134-C134</f>
        <v>-6.26315789473684</v>
      </c>
      <c r="G134" s="10" t="n">
        <f aca="false">IF(AND(C134=0,E134=0),0,IF(C134=0,"New",(E134-C134)/C134))</f>
        <v>-1.25263157894737</v>
      </c>
      <c r="H134" s="9" t="n">
        <f aca="false">SUMIF('Source NetSuite'!$A:$A,$A134,'Source NetSuite'!$D:$D)</f>
        <v>978.65</v>
      </c>
      <c r="I134" s="9" t="n">
        <f aca="false">SUMIF('Source NetSuite'!$A:$A,$A134,'Source NetSuite'!$F:$F)</f>
        <v>-195.73</v>
      </c>
      <c r="J134" s="9" t="n">
        <f aca="false">I134*$J$5</f>
        <v>-247.237894736842</v>
      </c>
      <c r="K134" s="9" t="n">
        <f aca="false">J134-H134</f>
        <v>-1225.88789473684</v>
      </c>
      <c r="L134" s="10" t="n">
        <f aca="false">IF(AND(H134=0,J134=0),0,IF(H134=0,"New",(J134-H134)/H134))</f>
        <v>-1.25263157894737</v>
      </c>
      <c r="M134" s="8" t="str">
        <f aca="false">IF(AND(OR(C134&lt;&gt;0,H134&lt;&gt;0),D134=0,I134=0),"DROP",IF(AND(OR(D134&lt;&gt;0,I134&lt;&gt;0),C134=0,H134=0),"NEW",""))</f>
        <v/>
      </c>
    </row>
    <row r="135" customFormat="false" ht="15" hidden="false" customHeight="true" outlineLevel="0" collapsed="false">
      <c r="A135" s="8" t="s">
        <v>283</v>
      </c>
      <c r="B135" s="8" t="str">
        <f aca="false">IFERROR(INDEX('Source NetSuite'!$B:$B,MATCH($A135,'Source NetSuite'!$A:$A,0)),"")</f>
        <v>חגורת היריון</v>
      </c>
      <c r="C135" s="9" t="n">
        <f aca="false">SUMIF('Source NetSuite'!$A:$A,$A135,'Source NetSuite'!$C:$C)</f>
        <v>24</v>
      </c>
      <c r="D135" s="9" t="n">
        <f aca="false">SUMIF('Source NetSuite'!$A:$A,$A135,'Source NetSuite'!$E:$E)</f>
        <v>9</v>
      </c>
      <c r="E135" s="9" t="n">
        <f aca="false">D135*$J$5</f>
        <v>11.3684210526316</v>
      </c>
      <c r="F135" s="9" t="n">
        <f aca="false">E135-C135</f>
        <v>-12.6315789473684</v>
      </c>
      <c r="G135" s="10" t="n">
        <f aca="false">IF(AND(C135=0,E135=0),0,IF(C135=0,"New",(E135-C135)/C135))</f>
        <v>-0.526315789473684</v>
      </c>
      <c r="H135" s="9" t="n">
        <f aca="false">SUMIF('Source NetSuite'!$A:$A,$A135,'Source NetSuite'!$D:$D)</f>
        <v>1867.2</v>
      </c>
      <c r="I135" s="9" t="n">
        <f aca="false">SUMIF('Source NetSuite'!$A:$A,$A135,'Source NetSuite'!$F:$F)</f>
        <v>700.2</v>
      </c>
      <c r="J135" s="9" t="n">
        <f aca="false">I135*$J$5</f>
        <v>884.463157894737</v>
      </c>
      <c r="K135" s="9" t="n">
        <f aca="false">J135-H135</f>
        <v>-982.736842105263</v>
      </c>
      <c r="L135" s="10" t="n">
        <f aca="false">IF(AND(H135=0,J135=0),0,IF(H135=0,"New",(J135-H135)/H135))</f>
        <v>-0.526315789473684</v>
      </c>
      <c r="M135" s="8" t="str">
        <f aca="false">IF(AND(OR(C135&lt;&gt;0,H135&lt;&gt;0),D135=0,I135=0),"DROP",IF(AND(OR(D135&lt;&gt;0,I135&lt;&gt;0),C135=0,H135=0),"NEW",""))</f>
        <v/>
      </c>
    </row>
    <row r="136" customFormat="false" ht="15" hidden="false" customHeight="true" outlineLevel="0" collapsed="false">
      <c r="A136" s="8" t="s">
        <v>284</v>
      </c>
      <c r="B136" s="8" t="str">
        <f aca="false">IFERROR(INDEX('Source NetSuite'!$B:$B,MATCH($A136,'Source NetSuite'!$A:$A,0)),"")</f>
        <v>מגן לכתף ימין/שמאל</v>
      </c>
      <c r="C136" s="9" t="n">
        <f aca="false">SUMIF('Source NetSuite'!$A:$A,$A136,'Source NetSuite'!$C:$C)</f>
        <v>10</v>
      </c>
      <c r="D136" s="9" t="n">
        <f aca="false">SUMIF('Source NetSuite'!$A:$A,$A136,'Source NetSuite'!$E:$E)</f>
        <v>1</v>
      </c>
      <c r="E136" s="9" t="n">
        <f aca="false">D136*$J$5</f>
        <v>1.26315789473684</v>
      </c>
      <c r="F136" s="9" t="n">
        <f aca="false">E136-C136</f>
        <v>-8.73684210526316</v>
      </c>
      <c r="G136" s="10" t="n">
        <f aca="false">IF(AND(C136=0,E136=0),0,IF(C136=0,"New",(E136-C136)/C136))</f>
        <v>-0.873684210526316</v>
      </c>
      <c r="H136" s="9" t="n">
        <f aca="false">SUMIF('Source NetSuite'!$A:$A,$A136,'Source NetSuite'!$D:$D)</f>
        <v>1287.1</v>
      </c>
      <c r="I136" s="9" t="n">
        <f aca="false">SUMIF('Source NetSuite'!$A:$A,$A136,'Source NetSuite'!$F:$F)</f>
        <v>128.71</v>
      </c>
      <c r="J136" s="9" t="n">
        <f aca="false">I136*$J$5</f>
        <v>162.581052631579</v>
      </c>
      <c r="K136" s="9" t="n">
        <f aca="false">J136-H136</f>
        <v>-1124.51894736842</v>
      </c>
      <c r="L136" s="10" t="n">
        <f aca="false">IF(AND(H136=0,J136=0),0,IF(H136=0,"New",(J136-H136)/H136))</f>
        <v>-0.873684210526316</v>
      </c>
      <c r="M136" s="8" t="str">
        <f aca="false">IF(AND(OR(C136&lt;&gt;0,H136&lt;&gt;0),D136=0,I136=0),"DROP",IF(AND(OR(D136&lt;&gt;0,I136&lt;&gt;0),C136=0,H136=0),"NEW",""))</f>
        <v/>
      </c>
    </row>
    <row r="137" customFormat="false" ht="15" hidden="false" customHeight="true" outlineLevel="0" collapsed="false">
      <c r="A137" s="8" t="s">
        <v>285</v>
      </c>
      <c r="B137" s="8" t="str">
        <f aca="false">IFERROR(INDEX('Source NetSuite'!$B:$B,MATCH($A137,'Source NetSuite'!$A:$A,0)),"")</f>
        <v>גרבי נוחות קיץ שחור</v>
      </c>
      <c r="C137" s="9" t="n">
        <f aca="false">SUMIF('Source NetSuite'!$A:$A,$A137,'Source NetSuite'!$C:$C)</f>
        <v>63</v>
      </c>
      <c r="D137" s="9" t="n">
        <f aca="false">SUMIF('Source NetSuite'!$A:$A,$A137,'Source NetSuite'!$E:$E)</f>
        <v>3</v>
      </c>
      <c r="E137" s="9" t="n">
        <f aca="false">D137*$J$5</f>
        <v>3.78947368421053</v>
      </c>
      <c r="F137" s="9" t="n">
        <f aca="false">E137-C137</f>
        <v>-59.2105263157895</v>
      </c>
      <c r="G137" s="10" t="n">
        <f aca="false">IF(AND(C137=0,E137=0),0,IF(C137=0,"New",(E137-C137)/C137))</f>
        <v>-0.93984962406015</v>
      </c>
      <c r="H137" s="9" t="n">
        <f aca="false">SUMIF('Source NetSuite'!$A:$A,$A137,'Source NetSuite'!$D:$D)</f>
        <v>1159.2</v>
      </c>
      <c r="I137" s="9" t="n">
        <f aca="false">SUMIF('Source NetSuite'!$A:$A,$A137,'Source NetSuite'!$F:$F)</f>
        <v>55.2</v>
      </c>
      <c r="J137" s="9" t="n">
        <f aca="false">I137*$J$5</f>
        <v>69.7263157894737</v>
      </c>
      <c r="K137" s="9" t="n">
        <f aca="false">J137-H137</f>
        <v>-1089.47368421053</v>
      </c>
      <c r="L137" s="10" t="n">
        <f aca="false">IF(AND(H137=0,J137=0),0,IF(H137=0,"New",(J137-H137)/H137))</f>
        <v>-0.93984962406015</v>
      </c>
      <c r="M137" s="8" t="str">
        <f aca="false">IF(AND(OR(C137&lt;&gt;0,H137&lt;&gt;0),D137=0,I137=0),"DROP",IF(AND(OR(D137&lt;&gt;0,I137&lt;&gt;0),C137=0,H137=0),"NEW",""))</f>
        <v/>
      </c>
    </row>
    <row r="138" customFormat="false" ht="15" hidden="false" customHeight="true" outlineLevel="0" collapsed="false">
      <c r="A138" s="8" t="s">
        <v>286</v>
      </c>
      <c r="B138" s="8" t="str">
        <f aca="false">IFERROR(INDEX('Source NetSuite'!$B:$B,MATCH($A138,'Source NetSuite'!$A:$A,0)),"")</f>
        <v>URIEL STRAP4U BLACK L-XL</v>
      </c>
      <c r="C138" s="9" t="n">
        <f aca="false">SUMIF('Source NetSuite'!$A:$A,$A138,'Source NetSuite'!$C:$C)</f>
        <v>96</v>
      </c>
      <c r="D138" s="9" t="n">
        <f aca="false">SUMIF('Source NetSuite'!$A:$A,$A138,'Source NetSuite'!$E:$E)</f>
        <v>-3</v>
      </c>
      <c r="E138" s="9" t="n">
        <f aca="false">D138*$J$5</f>
        <v>-3.78947368421053</v>
      </c>
      <c r="F138" s="9" t="n">
        <f aca="false">E138-C138</f>
        <v>-99.7894736842105</v>
      </c>
      <c r="G138" s="10" t="n">
        <f aca="false">IF(AND(C138=0,E138=0),0,IF(C138=0,"New",(E138-C138)/C138))</f>
        <v>-1.03947368421053</v>
      </c>
      <c r="H138" s="9" t="n">
        <f aca="false">SUMIF('Source NetSuite'!$A:$A,$A138,'Source NetSuite'!$D:$D)</f>
        <v>1056</v>
      </c>
      <c r="I138" s="9" t="n">
        <f aca="false">SUMIF('Source NetSuite'!$A:$A,$A138,'Source NetSuite'!$F:$F)</f>
        <v>-33</v>
      </c>
      <c r="J138" s="9" t="n">
        <f aca="false">I138*$J$5</f>
        <v>-41.6842105263158</v>
      </c>
      <c r="K138" s="9" t="n">
        <f aca="false">J138-H138</f>
        <v>-1097.68421052632</v>
      </c>
      <c r="L138" s="10" t="n">
        <f aca="false">IF(AND(H138=0,J138=0),0,IF(H138=0,"New",(J138-H138)/H138))</f>
        <v>-1.03947368421053</v>
      </c>
      <c r="M138" s="8" t="str">
        <f aca="false">IF(AND(OR(C138&lt;&gt;0,H138&lt;&gt;0),D138=0,I138=0),"DROP",IF(AND(OR(D138&lt;&gt;0,I138&lt;&gt;0),C138=0,H138=0),"NEW",""))</f>
        <v/>
      </c>
    </row>
    <row r="139" customFormat="false" ht="15" hidden="false" customHeight="true" outlineLevel="0" collapsed="false">
      <c r="A139" s="8" t="s">
        <v>287</v>
      </c>
      <c r="B139" s="8" t="str">
        <f aca="false">IFERROR(INDEX('Source NetSuite'!$B:$B,MATCH($A139,'Source NetSuite'!$A:$A,0)),"")</f>
        <v>מגן קרסול פתוח</v>
      </c>
      <c r="C139" s="9" t="n">
        <f aca="false">SUMIF('Source NetSuite'!$A:$A,$A139,'Source NetSuite'!$C:$C)</f>
        <v>77</v>
      </c>
      <c r="D139" s="9" t="n">
        <f aca="false">SUMIF('Source NetSuite'!$A:$A,$A139,'Source NetSuite'!$E:$E)</f>
        <v>13</v>
      </c>
      <c r="E139" s="9" t="n">
        <f aca="false">D139*$J$5</f>
        <v>16.4210526315789</v>
      </c>
      <c r="F139" s="9" t="n">
        <f aca="false">E139-C139</f>
        <v>-60.5789473684211</v>
      </c>
      <c r="G139" s="10" t="n">
        <f aca="false">IF(AND(C139=0,E139=0),0,IF(C139=0,"New",(E139-C139)/C139))</f>
        <v>-0.78673957621326</v>
      </c>
      <c r="H139" s="9" t="n">
        <f aca="false">SUMIF('Source NetSuite'!$A:$A,$A139,'Source NetSuite'!$D:$D)</f>
        <v>1309</v>
      </c>
      <c r="I139" s="9" t="n">
        <f aca="false">SUMIF('Source NetSuite'!$A:$A,$A139,'Source NetSuite'!$F:$F)</f>
        <v>221</v>
      </c>
      <c r="J139" s="9" t="n">
        <f aca="false">I139*$J$5</f>
        <v>279.157894736842</v>
      </c>
      <c r="K139" s="9" t="n">
        <f aca="false">J139-H139</f>
        <v>-1029.84210526316</v>
      </c>
      <c r="L139" s="10" t="n">
        <f aca="false">IF(AND(H139=0,J139=0),0,IF(H139=0,"New",(J139-H139)/H139))</f>
        <v>-0.78673957621326</v>
      </c>
      <c r="M139" s="8" t="str">
        <f aca="false">IF(AND(OR(C139&lt;&gt;0,H139&lt;&gt;0),D139=0,I139=0),"DROP",IF(AND(OR(D139&lt;&gt;0,I139&lt;&gt;0),C139=0,H139=0),"NEW",""))</f>
        <v/>
      </c>
    </row>
    <row r="140" customFormat="false" ht="15" hidden="false" customHeight="true" outlineLevel="0" collapsed="false">
      <c r="A140" s="8" t="s">
        <v>288</v>
      </c>
      <c r="B140" s="8" t="str">
        <f aca="false">IFERROR(INDEX('Source NetSuite'!$B:$B,MATCH($A140,'Source NetSuite'!$A:$A,0)),"")</f>
        <v>מגן זרת מסיליקון</v>
      </c>
      <c r="C140" s="9" t="n">
        <f aca="false">SUMIF('Source NetSuite'!$A:$A,$A140,'Source NetSuite'!$C:$C)</f>
        <v>75</v>
      </c>
      <c r="D140" s="9" t="n">
        <f aca="false">SUMIF('Source NetSuite'!$A:$A,$A140,'Source NetSuite'!$E:$E)</f>
        <v>23</v>
      </c>
      <c r="E140" s="9" t="n">
        <f aca="false">D140*$J$5</f>
        <v>29.0526315789474</v>
      </c>
      <c r="F140" s="9" t="n">
        <f aca="false">E140-C140</f>
        <v>-45.9473684210526</v>
      </c>
      <c r="G140" s="10" t="n">
        <f aca="false">IF(AND(C140=0,E140=0),0,IF(C140=0,"New",(E140-C140)/C140))</f>
        <v>-0.612631578947368</v>
      </c>
      <c r="H140" s="9" t="n">
        <f aca="false">SUMIF('Source NetSuite'!$A:$A,$A140,'Source NetSuite'!$D:$D)</f>
        <v>1518</v>
      </c>
      <c r="I140" s="9" t="n">
        <f aca="false">SUMIF('Source NetSuite'!$A:$A,$A140,'Source NetSuite'!$F:$F)</f>
        <v>465.52</v>
      </c>
      <c r="J140" s="9" t="n">
        <f aca="false">I140*$J$5</f>
        <v>588.025263157895</v>
      </c>
      <c r="K140" s="9" t="n">
        <f aca="false">J140-H140</f>
        <v>-929.974736842105</v>
      </c>
      <c r="L140" s="10" t="n">
        <f aca="false">IF(AND(H140=0,J140=0),0,IF(H140=0,"New",(J140-H140)/H140))</f>
        <v>-0.612631578947369</v>
      </c>
      <c r="M140" s="8" t="str">
        <f aca="false">IF(AND(OR(C140&lt;&gt;0,H140&lt;&gt;0),D140=0,I140=0),"DROP",IF(AND(OR(D140&lt;&gt;0,I140&lt;&gt;0),C140=0,H140=0),"NEW",""))</f>
        <v/>
      </c>
    </row>
    <row r="141" customFormat="false" ht="15" hidden="false" customHeight="true" outlineLevel="0" collapsed="false">
      <c r="A141" s="8" t="s">
        <v>289</v>
      </c>
      <c r="B141" s="8" t="str">
        <f aca="false">IFERROR(INDEX('Source NetSuite'!$B:$B,MATCH($A141,'Source NetSuite'!$A:$A,0)),"")</f>
        <v>URIEL STRAP4U BLACK S-M</v>
      </c>
      <c r="C141" s="9" t="n">
        <f aca="false">SUMIF('Source NetSuite'!$A:$A,$A141,'Source NetSuite'!$C:$C)</f>
        <v>90</v>
      </c>
      <c r="D141" s="9" t="n">
        <f aca="false">SUMIF('Source NetSuite'!$A:$A,$A141,'Source NetSuite'!$E:$E)</f>
        <v>0</v>
      </c>
      <c r="E141" s="9" t="n">
        <f aca="false">D141*$J$5</f>
        <v>0</v>
      </c>
      <c r="F141" s="9" t="n">
        <f aca="false">E141-C141</f>
        <v>-90</v>
      </c>
      <c r="G141" s="10" t="n">
        <f aca="false">IF(AND(C141=0,E141=0),0,IF(C141=0,"New",(E141-C141)/C141))</f>
        <v>-1</v>
      </c>
      <c r="H141" s="9" t="n">
        <f aca="false">SUMIF('Source NetSuite'!$A:$A,$A141,'Source NetSuite'!$D:$D)</f>
        <v>990</v>
      </c>
      <c r="I141" s="9" t="n">
        <f aca="false">SUMIF('Source NetSuite'!$A:$A,$A141,'Source NetSuite'!$F:$F)</f>
        <v>0</v>
      </c>
      <c r="J141" s="9" t="n">
        <f aca="false">I141*$J$5</f>
        <v>0</v>
      </c>
      <c r="K141" s="9" t="n">
        <f aca="false">J141-H141</f>
        <v>-990</v>
      </c>
      <c r="L141" s="10" t="n">
        <f aca="false">IF(AND(H141=0,J141=0),0,IF(H141=0,"New",(J141-H141)/H141))</f>
        <v>-1</v>
      </c>
      <c r="M141" s="8" t="str">
        <f aca="false">IF(AND(OR(C141&lt;&gt;0,H141&lt;&gt;0),D141=0,I141=0),"DROP",IF(AND(OR(D141&lt;&gt;0,I141&lt;&gt;0),C141=0,H141=0),"NEW",""))</f>
        <v>DROP</v>
      </c>
    </row>
    <row r="142" customFormat="false" ht="15" hidden="false" customHeight="true" outlineLevel="0" collapsed="false">
      <c r="A142" s="8" t="s">
        <v>290</v>
      </c>
      <c r="B142" s="8" t="str">
        <f aca="false">IFERROR(INDEX('Source NetSuite'!$B:$B,MATCH($A142,'Source NetSuite'!$A:$A,0)),"")</f>
        <v>חגורת גב אפורה</v>
      </c>
      <c r="C142" s="9" t="n">
        <f aca="false">SUMIF('Source NetSuite'!$A:$A,$A142,'Source NetSuite'!$C:$C)</f>
        <v>26</v>
      </c>
      <c r="D142" s="9" t="n">
        <f aca="false">SUMIF('Source NetSuite'!$A:$A,$A142,'Source NetSuite'!$E:$E)</f>
        <v>8</v>
      </c>
      <c r="E142" s="9" t="n">
        <f aca="false">D142*$J$5</f>
        <v>10.1052631578947</v>
      </c>
      <c r="F142" s="9" t="n">
        <f aca="false">E142-C142</f>
        <v>-15.8947368421053</v>
      </c>
      <c r="G142" s="10" t="n">
        <f aca="false">IF(AND(C142=0,E142=0),0,IF(C142=0,"New",(E142-C142)/C142))</f>
        <v>-0.611336032388664</v>
      </c>
      <c r="H142" s="9" t="n">
        <f aca="false">SUMIF('Source NetSuite'!$A:$A,$A142,'Source NetSuite'!$D:$D)</f>
        <v>1690</v>
      </c>
      <c r="I142" s="9" t="n">
        <f aca="false">SUMIF('Source NetSuite'!$A:$A,$A142,'Source NetSuite'!$F:$F)</f>
        <v>702.36</v>
      </c>
      <c r="J142" s="9" t="n">
        <f aca="false">I142*$J$5</f>
        <v>887.191578947368</v>
      </c>
      <c r="K142" s="9" t="n">
        <f aca="false">J142-H142</f>
        <v>-802.808421052632</v>
      </c>
      <c r="L142" s="10" t="n">
        <f aca="false">IF(AND(H142=0,J142=0),0,IF(H142=0,"New",(J142-H142)/H142))</f>
        <v>-0.475034568670196</v>
      </c>
      <c r="M142" s="8" t="str">
        <f aca="false">IF(AND(OR(C142&lt;&gt;0,H142&lt;&gt;0),D142=0,I142=0),"DROP",IF(AND(OR(D142&lt;&gt;0,I142&lt;&gt;0),C142=0,H142=0),"NEW",""))</f>
        <v/>
      </c>
    </row>
    <row r="143" customFormat="false" ht="15" hidden="false" customHeight="true" outlineLevel="0" collapsed="false">
      <c r="A143" s="8" t="s">
        <v>291</v>
      </c>
      <c r="B143" s="8" t="str">
        <f aca="false">IFERROR(INDEX('Source NetSuite'!$B:$B,MATCH($A143,'Source NetSuite'!$A:$A,0)),"")</f>
        <v>חגורת בטן עממית</v>
      </c>
      <c r="C143" s="9" t="n">
        <f aca="false">SUMIF('Source NetSuite'!$A:$A,$A143,'Source NetSuite'!$C:$C)</f>
        <v>16</v>
      </c>
      <c r="D143" s="9" t="n">
        <f aca="false">SUMIF('Source NetSuite'!$A:$A,$A143,'Source NetSuite'!$E:$E)</f>
        <v>1</v>
      </c>
      <c r="E143" s="9" t="n">
        <f aca="false">D143*$J$5</f>
        <v>1.26315789473684</v>
      </c>
      <c r="F143" s="9" t="n">
        <f aca="false">E143-C143</f>
        <v>-14.7368421052632</v>
      </c>
      <c r="G143" s="10" t="n">
        <f aca="false">IF(AND(C143=0,E143=0),0,IF(C143=0,"New",(E143-C143)/C143))</f>
        <v>-0.921052631578947</v>
      </c>
      <c r="H143" s="9" t="n">
        <f aca="false">SUMIF('Source NetSuite'!$A:$A,$A143,'Source NetSuite'!$D:$D)</f>
        <v>1038.24</v>
      </c>
      <c r="I143" s="9" t="n">
        <f aca="false">SUMIF('Source NetSuite'!$A:$A,$A143,'Source NetSuite'!$F:$F)</f>
        <v>64.89</v>
      </c>
      <c r="J143" s="9" t="n">
        <f aca="false">I143*$J$5</f>
        <v>81.9663157894737</v>
      </c>
      <c r="K143" s="9" t="n">
        <f aca="false">J143-H143</f>
        <v>-956.273684210526</v>
      </c>
      <c r="L143" s="10" t="n">
        <f aca="false">IF(AND(H143=0,J143=0),0,IF(H143=0,"New",(J143-H143)/H143))</f>
        <v>-0.921052631578947</v>
      </c>
      <c r="M143" s="8" t="str">
        <f aca="false">IF(AND(OR(C143&lt;&gt;0,H143&lt;&gt;0),D143=0,I143=0),"DROP",IF(AND(OR(D143&lt;&gt;0,I143&lt;&gt;0),C143=0,H143=0),"NEW",""))</f>
        <v/>
      </c>
    </row>
    <row r="144" customFormat="false" ht="15" hidden="false" customHeight="true" outlineLevel="0" collapsed="false">
      <c r="A144" s="8" t="s">
        <v>292</v>
      </c>
      <c r="B144" s="8" t="str">
        <f aca="false">IFERROR(INDEX('Source NetSuite'!$B:$B,MATCH($A144,'Source NetSuite'!$A:$A,0)),"")</f>
        <v>מגן קרסול פתוח</v>
      </c>
      <c r="C144" s="9" t="n">
        <f aca="false">SUMIF('Source NetSuite'!$A:$A,$A144,'Source NetSuite'!$C:$C)</f>
        <v>95</v>
      </c>
      <c r="D144" s="9" t="n">
        <f aca="false">SUMIF('Source NetSuite'!$A:$A,$A144,'Source NetSuite'!$E:$E)</f>
        <v>38</v>
      </c>
      <c r="E144" s="9" t="n">
        <f aca="false">D144*$J$5</f>
        <v>48</v>
      </c>
      <c r="F144" s="9" t="n">
        <f aca="false">E144-C144</f>
        <v>-47</v>
      </c>
      <c r="G144" s="10" t="n">
        <f aca="false">IF(AND(C144=0,E144=0),0,IF(C144=0,"New",(E144-C144)/C144))</f>
        <v>-0.494736842105263</v>
      </c>
      <c r="H144" s="9" t="n">
        <f aca="false">SUMIF('Source NetSuite'!$A:$A,$A144,'Source NetSuite'!$D:$D)</f>
        <v>1615</v>
      </c>
      <c r="I144" s="9" t="n">
        <f aca="false">SUMIF('Source NetSuite'!$A:$A,$A144,'Source NetSuite'!$F:$F)</f>
        <v>646</v>
      </c>
      <c r="J144" s="9" t="n">
        <f aca="false">I144*$J$5</f>
        <v>816</v>
      </c>
      <c r="K144" s="9" t="n">
        <f aca="false">J144-H144</f>
        <v>-799</v>
      </c>
      <c r="L144" s="10" t="n">
        <f aca="false">IF(AND(H144=0,J144=0),0,IF(H144=0,"New",(J144-H144)/H144))</f>
        <v>-0.494736842105263</v>
      </c>
      <c r="M144" s="8" t="str">
        <f aca="false">IF(AND(OR(C144&lt;&gt;0,H144&lt;&gt;0),D144=0,I144=0),"DROP",IF(AND(OR(D144&lt;&gt;0,I144&lt;&gt;0),C144=0,H144=0),"NEW",""))</f>
        <v/>
      </c>
    </row>
    <row r="145" customFormat="false" ht="15" hidden="false" customHeight="true" outlineLevel="0" collapsed="false">
      <c r="A145" s="8" t="s">
        <v>293</v>
      </c>
      <c r="B145" s="8" t="str">
        <f aca="false">IFERROR(INDEX('Source NetSuite'!$B:$B,MATCH($A145,'Source NetSuite'!$A:$A,0)),"")</f>
        <v>חגורה לשבר טבור</v>
      </c>
      <c r="C145" s="9" t="n">
        <f aca="false">SUMIF('Source NetSuite'!$A:$A,$A145,'Source NetSuite'!$C:$C)</f>
        <v>7</v>
      </c>
      <c r="D145" s="9" t="n">
        <f aca="false">SUMIF('Source NetSuite'!$A:$A,$A145,'Source NetSuite'!$E:$E)</f>
        <v>-2</v>
      </c>
      <c r="E145" s="9" t="n">
        <f aca="false">D145*$J$5</f>
        <v>-2.52631578947368</v>
      </c>
      <c r="F145" s="9" t="n">
        <f aca="false">E145-C145</f>
        <v>-9.52631578947369</v>
      </c>
      <c r="G145" s="10" t="n">
        <f aca="false">IF(AND(C145=0,E145=0),0,IF(C145=0,"New",(E145-C145)/C145))</f>
        <v>-1.3609022556391</v>
      </c>
      <c r="H145" s="9" t="n">
        <f aca="false">SUMIF('Source NetSuite'!$A:$A,$A145,'Source NetSuite'!$D:$D)</f>
        <v>749.63</v>
      </c>
      <c r="I145" s="9" t="n">
        <f aca="false">SUMIF('Source NetSuite'!$A:$A,$A145,'Source NetSuite'!$F:$F)</f>
        <v>-214.18</v>
      </c>
      <c r="J145" s="9" t="n">
        <f aca="false">I145*$J$5</f>
        <v>-270.543157894737</v>
      </c>
      <c r="K145" s="9" t="n">
        <f aca="false">J145-H145</f>
        <v>-1020.17315789474</v>
      </c>
      <c r="L145" s="10" t="n">
        <f aca="false">IF(AND(H145=0,J145=0),0,IF(H145=0,"New",(J145-H145)/H145))</f>
        <v>-1.3609022556391</v>
      </c>
      <c r="M145" s="8" t="str">
        <f aca="false">IF(AND(OR(C145&lt;&gt;0,H145&lt;&gt;0),D145=0,I145=0),"DROP",IF(AND(OR(D145&lt;&gt;0,I145&lt;&gt;0),C145=0,H145=0),"NEW",""))</f>
        <v/>
      </c>
    </row>
    <row r="146" customFormat="false" ht="15" hidden="false" customHeight="true" outlineLevel="0" collapsed="false">
      <c r="A146" s="8" t="s">
        <v>294</v>
      </c>
      <c r="B146" s="8" t="str">
        <f aca="false">IFERROR(INDEX('Source NetSuite'!$B:$B,MATCH($A146,'Source NetSuite'!$A:$A,0)),"")</f>
        <v>ריפוד סיליקון לכרית כף הרגל</v>
      </c>
      <c r="C146" s="9" t="n">
        <f aca="false">SUMIF('Source NetSuite'!$A:$A,$A146,'Source NetSuite'!$C:$C)</f>
        <v>69</v>
      </c>
      <c r="D146" s="9" t="n">
        <f aca="false">SUMIF('Source NetSuite'!$A:$A,$A146,'Source NetSuite'!$E:$E)</f>
        <v>3</v>
      </c>
      <c r="E146" s="9" t="n">
        <f aca="false">D146*$J$5</f>
        <v>3.78947368421053</v>
      </c>
      <c r="F146" s="9" t="n">
        <f aca="false">E146-C146</f>
        <v>-65.2105263157895</v>
      </c>
      <c r="G146" s="10" t="n">
        <f aca="false">IF(AND(C146=0,E146=0),0,IF(C146=0,"New",(E146-C146)/C146))</f>
        <v>-0.945080091533181</v>
      </c>
      <c r="H146" s="9" t="n">
        <f aca="false">SUMIF('Source NetSuite'!$A:$A,$A146,'Source NetSuite'!$D:$D)</f>
        <v>997.05</v>
      </c>
      <c r="I146" s="9" t="n">
        <f aca="false">SUMIF('Source NetSuite'!$A:$A,$A146,'Source NetSuite'!$F:$F)</f>
        <v>43.35</v>
      </c>
      <c r="J146" s="9" t="n">
        <f aca="false">I146*$J$5</f>
        <v>54.7578947368421</v>
      </c>
      <c r="K146" s="9" t="n">
        <f aca="false">J146-H146</f>
        <v>-942.292105263158</v>
      </c>
      <c r="L146" s="10" t="n">
        <f aca="false">IF(AND(H146=0,J146=0),0,IF(H146=0,"New",(J146-H146)/H146))</f>
        <v>-0.945080091533181</v>
      </c>
      <c r="M146" s="8" t="str">
        <f aca="false">IF(AND(OR(C146&lt;&gt;0,H146&lt;&gt;0),D146=0,I146=0),"DROP",IF(AND(OR(D146&lt;&gt;0,I146&lt;&gt;0),C146=0,H146=0),"NEW",""))</f>
        <v/>
      </c>
    </row>
    <row r="147" customFormat="false" ht="15" hidden="false" customHeight="true" outlineLevel="0" collapsed="false">
      <c r="A147" s="8" t="s">
        <v>295</v>
      </c>
      <c r="B147" s="8" t="str">
        <f aca="false">IFERROR(INDEX('Source NetSuite'!$B:$B,MATCH($A147,'Source NetSuite'!$A:$A,0)),"")</f>
        <v>(Unassigned / adjustment row - no item code in source)</v>
      </c>
      <c r="C147" s="9" t="n">
        <f aca="false">SUMIF('Source NetSuite'!$A:$A,$A147,'Source NetSuite'!$C:$C)</f>
        <v>0</v>
      </c>
      <c r="D147" s="9" t="n">
        <f aca="false">SUMIF('Source NetSuite'!$A:$A,$A147,'Source NetSuite'!$E:$E)</f>
        <v>0</v>
      </c>
      <c r="E147" s="9" t="n">
        <f aca="false">D147*$J$5</f>
        <v>0</v>
      </c>
      <c r="F147" s="9" t="n">
        <f aca="false">E147-C147</f>
        <v>0</v>
      </c>
      <c r="G147" s="10" t="n">
        <f aca="false">IF(AND(C147=0,E147=0),0,IF(C147=0,"New",(E147-C147)/C147))</f>
        <v>0</v>
      </c>
      <c r="H147" s="9" t="n">
        <f aca="false">SUMIF('Source NetSuite'!$A:$A,$A147,'Source NetSuite'!$D:$D)</f>
        <v>-921.56</v>
      </c>
      <c r="I147" s="9" t="n">
        <f aca="false">SUMIF('Source NetSuite'!$A:$A,$A147,'Source NetSuite'!$F:$F)</f>
        <v>0</v>
      </c>
      <c r="J147" s="9" t="n">
        <f aca="false">I147*$J$5</f>
        <v>0</v>
      </c>
      <c r="K147" s="9" t="n">
        <f aca="false">J147-H147</f>
        <v>921.56</v>
      </c>
      <c r="L147" s="10" t="n">
        <f aca="false">IF(AND(H147=0,J147=0),0,IF(H147=0,"New",(J147-H147)/H147))</f>
        <v>-1</v>
      </c>
      <c r="M147" s="8" t="str">
        <f aca="false">IF(AND(OR(C147&lt;&gt;0,H147&lt;&gt;0),D147=0,I147=0),"DROP",IF(AND(OR(D147&lt;&gt;0,I147&lt;&gt;0),C147=0,H147=0),"NEW",""))</f>
        <v>DROP</v>
      </c>
    </row>
    <row r="148" customFormat="false" ht="15" hidden="false" customHeight="true" outlineLevel="0" collapsed="false">
      <c r="A148" s="8" t="s">
        <v>296</v>
      </c>
      <c r="B148" s="8" t="str">
        <f aca="false">IFERROR(INDEX('Source NetSuite'!$B:$B,MATCH($A148,'Source NetSuite'!$A:$A,0)),"")</f>
        <v>מיצב כתפיים</v>
      </c>
      <c r="C148" s="9" t="n">
        <f aca="false">SUMIF('Source NetSuite'!$A:$A,$A148,'Source NetSuite'!$C:$C)</f>
        <v>8</v>
      </c>
      <c r="D148" s="9" t="n">
        <f aca="false">SUMIF('Source NetSuite'!$A:$A,$A148,'Source NetSuite'!$E:$E)</f>
        <v>1</v>
      </c>
      <c r="E148" s="9" t="n">
        <f aca="false">D148*$J$5</f>
        <v>1.26315789473684</v>
      </c>
      <c r="F148" s="9" t="n">
        <f aca="false">E148-C148</f>
        <v>-6.73684210526316</v>
      </c>
      <c r="G148" s="10" t="n">
        <f aca="false">IF(AND(C148=0,E148=0),0,IF(C148=0,"New",(E148-C148)/C148))</f>
        <v>-0.842105263157895</v>
      </c>
      <c r="H148" s="9" t="n">
        <f aca="false">SUMIF('Source NetSuite'!$A:$A,$A148,'Source NetSuite'!$D:$D)</f>
        <v>1038.48</v>
      </c>
      <c r="I148" s="9" t="n">
        <f aca="false">SUMIF('Source NetSuite'!$A:$A,$A148,'Source NetSuite'!$F:$F)</f>
        <v>129.81</v>
      </c>
      <c r="J148" s="9" t="n">
        <f aca="false">I148*$J$5</f>
        <v>163.970526315789</v>
      </c>
      <c r="K148" s="9" t="n">
        <f aca="false">J148-H148</f>
        <v>-874.509473684211</v>
      </c>
      <c r="L148" s="10" t="n">
        <f aca="false">IF(AND(H148=0,J148=0),0,IF(H148=0,"New",(J148-H148)/H148))</f>
        <v>-0.842105263157895</v>
      </c>
      <c r="M148" s="8" t="str">
        <f aca="false">IF(AND(OR(C148&lt;&gt;0,H148&lt;&gt;0),D148=0,I148=0),"DROP",IF(AND(OR(D148&lt;&gt;0,I148&lt;&gt;0),C148=0,H148=0),"NEW",""))</f>
        <v/>
      </c>
    </row>
    <row r="149" customFormat="false" ht="15" hidden="false" customHeight="true" outlineLevel="0" collapsed="false">
      <c r="A149" s="8" t="s">
        <v>297</v>
      </c>
      <c r="B149" s="8" t="str">
        <f aca="false">IFERROR(INDEX('Source NetSuite'!$B:$B,MATCH($A149,'Source NetSuite'!$A:$A,0)),"")</f>
        <v>חגורת שבר לצד ימין</v>
      </c>
      <c r="C149" s="9" t="n">
        <f aca="false">SUMIF('Source NetSuite'!$A:$A,$A149,'Source NetSuite'!$C:$C)</f>
        <v>7</v>
      </c>
      <c r="D149" s="9" t="n">
        <f aca="false">SUMIF('Source NetSuite'!$A:$A,$A149,'Source NetSuite'!$E:$E)</f>
        <v>0</v>
      </c>
      <c r="E149" s="9" t="n">
        <f aca="false">D149*$J$5</f>
        <v>0</v>
      </c>
      <c r="F149" s="9" t="n">
        <f aca="false">E149-C149</f>
        <v>-7</v>
      </c>
      <c r="G149" s="10" t="n">
        <f aca="false">IF(AND(C149=0,E149=0),0,IF(C149=0,"New",(E149-C149)/C149))</f>
        <v>-1</v>
      </c>
      <c r="H149" s="9" t="n">
        <f aca="false">SUMIF('Source NetSuite'!$A:$A,$A149,'Source NetSuite'!$D:$D)</f>
        <v>885.99</v>
      </c>
      <c r="I149" s="9" t="n">
        <f aca="false">SUMIF('Source NetSuite'!$A:$A,$A149,'Source NetSuite'!$F:$F)</f>
        <v>0</v>
      </c>
      <c r="J149" s="9" t="n">
        <f aca="false">I149*$J$5</f>
        <v>0</v>
      </c>
      <c r="K149" s="9" t="n">
        <f aca="false">J149-H149</f>
        <v>-885.99</v>
      </c>
      <c r="L149" s="10" t="n">
        <f aca="false">IF(AND(H149=0,J149=0),0,IF(H149=0,"New",(J149-H149)/H149))</f>
        <v>-1</v>
      </c>
      <c r="M149" s="8" t="str">
        <f aca="false">IF(AND(OR(C149&lt;&gt;0,H149&lt;&gt;0),D149=0,I149=0),"DROP",IF(AND(OR(D149&lt;&gt;0,I149&lt;&gt;0),C149=0,H149=0),"NEW",""))</f>
        <v>DROP</v>
      </c>
    </row>
    <row r="150" customFormat="false" ht="15" hidden="false" customHeight="true" outlineLevel="0" collapsed="false">
      <c r="A150" s="8" t="s">
        <v>298</v>
      </c>
      <c r="B150" s="8" t="str">
        <f aca="false">IFERROR(INDEX('Source NetSuite'!$B:$B,MATCH($A150,'Source NetSuite'!$A:$A,0)),"")</f>
        <v>חגורה למנותחי בית החזה</v>
      </c>
      <c r="C150" s="9" t="n">
        <f aca="false">SUMIF('Source NetSuite'!$A:$A,$A150,'Source NetSuite'!$C:$C)</f>
        <v>8</v>
      </c>
      <c r="D150" s="9" t="n">
        <f aca="false">SUMIF('Source NetSuite'!$A:$A,$A150,'Source NetSuite'!$E:$E)</f>
        <v>0</v>
      </c>
      <c r="E150" s="9" t="n">
        <f aca="false">D150*$J$5</f>
        <v>0</v>
      </c>
      <c r="F150" s="9" t="n">
        <f aca="false">E150-C150</f>
        <v>-8</v>
      </c>
      <c r="G150" s="10" t="n">
        <f aca="false">IF(AND(C150=0,E150=0),0,IF(C150=0,"New",(E150-C150)/C150))</f>
        <v>-1</v>
      </c>
      <c r="H150" s="9" t="n">
        <f aca="false">SUMIF('Source NetSuite'!$A:$A,$A150,'Source NetSuite'!$D:$D)</f>
        <v>856.72</v>
      </c>
      <c r="I150" s="9" t="n">
        <f aca="false">SUMIF('Source NetSuite'!$A:$A,$A150,'Source NetSuite'!$F:$F)</f>
        <v>0</v>
      </c>
      <c r="J150" s="9" t="n">
        <f aca="false">I150*$J$5</f>
        <v>0</v>
      </c>
      <c r="K150" s="9" t="n">
        <f aca="false">J150-H150</f>
        <v>-856.72</v>
      </c>
      <c r="L150" s="10" t="n">
        <f aca="false">IF(AND(H150=0,J150=0),0,IF(H150=0,"New",(J150-H150)/H150))</f>
        <v>-1</v>
      </c>
      <c r="M150" s="8" t="str">
        <f aca="false">IF(AND(OR(C150&lt;&gt;0,H150&lt;&gt;0),D150=0,I150=0),"DROP",IF(AND(OR(D150&lt;&gt;0,I150&lt;&gt;0),C150=0,H150=0),"NEW",""))</f>
        <v>DROP</v>
      </c>
    </row>
    <row r="151" customFormat="false" ht="15" hidden="false" customHeight="true" outlineLevel="0" collapsed="false">
      <c r="A151" s="8" t="s">
        <v>299</v>
      </c>
      <c r="B151" s="8" t="str">
        <f aca="false">IFERROR(INDEX('Source NetSuite'!$B:$B,MATCH($A151,'Source NetSuite'!$A:$A,0)),"")</f>
        <v>מכשיר ליצוב הבוהן</v>
      </c>
      <c r="C151" s="9" t="n">
        <f aca="false">SUMIF('Source NetSuite'!$A:$A,$A151,'Source NetSuite'!$C:$C)</f>
        <v>17</v>
      </c>
      <c r="D151" s="9" t="n">
        <f aca="false">SUMIF('Source NetSuite'!$A:$A,$A151,'Source NetSuite'!$E:$E)</f>
        <v>1</v>
      </c>
      <c r="E151" s="9" t="n">
        <f aca="false">D151*$J$5</f>
        <v>1.26315789473684</v>
      </c>
      <c r="F151" s="9" t="n">
        <f aca="false">E151-C151</f>
        <v>-15.7368421052632</v>
      </c>
      <c r="G151" s="10" t="n">
        <f aca="false">IF(AND(C151=0,E151=0),0,IF(C151=0,"New",(E151-C151)/C151))</f>
        <v>-0.925696594427245</v>
      </c>
      <c r="H151" s="9" t="n">
        <f aca="false">SUMIF('Source NetSuite'!$A:$A,$A151,'Source NetSuite'!$D:$D)</f>
        <v>910.01</v>
      </c>
      <c r="I151" s="9" t="n">
        <f aca="false">SUMIF('Source NetSuite'!$A:$A,$A151,'Source NetSuite'!$F:$F)</f>
        <v>53.53</v>
      </c>
      <c r="J151" s="9" t="n">
        <f aca="false">I151*$J$5</f>
        <v>67.6168421052632</v>
      </c>
      <c r="K151" s="9" t="n">
        <f aca="false">J151-H151</f>
        <v>-842.393157894737</v>
      </c>
      <c r="L151" s="10" t="n">
        <f aca="false">IF(AND(H151=0,J151=0),0,IF(H151=0,"New",(J151-H151)/H151))</f>
        <v>-0.925696594427245</v>
      </c>
      <c r="M151" s="8" t="str">
        <f aca="false">IF(AND(OR(C151&lt;&gt;0,H151&lt;&gt;0),D151=0,I151=0),"DROP",IF(AND(OR(D151&lt;&gt;0,I151&lt;&gt;0),C151=0,H151=0),"NEW",""))</f>
        <v/>
      </c>
    </row>
    <row r="152" customFormat="false" ht="15" hidden="false" customHeight="true" outlineLevel="0" collapsed="false">
      <c r="A152" s="8" t="s">
        <v>300</v>
      </c>
      <c r="B152" s="8" t="str">
        <f aca="false">IFERROR(INDEX('Source NetSuite'!$B:$B,MATCH($A152,'Source NetSuite'!$A:$A,0)),"")</f>
        <v>מגן מרפק</v>
      </c>
      <c r="C152" s="9" t="n">
        <f aca="false">SUMIF('Source NetSuite'!$A:$A,$A152,'Source NetSuite'!$C:$C)</f>
        <v>85</v>
      </c>
      <c r="D152" s="9" t="n">
        <f aca="false">SUMIF('Source NetSuite'!$A:$A,$A152,'Source NetSuite'!$E:$E)</f>
        <v>35</v>
      </c>
      <c r="E152" s="9" t="n">
        <f aca="false">D152*$J$5</f>
        <v>44.2105263157895</v>
      </c>
      <c r="F152" s="9" t="n">
        <f aca="false">E152-C152</f>
        <v>-40.7894736842105</v>
      </c>
      <c r="G152" s="10" t="n">
        <f aca="false">IF(AND(C152=0,E152=0),0,IF(C152=0,"New",(E152-C152)/C152))</f>
        <v>-0.479876160990712</v>
      </c>
      <c r="H152" s="9" t="n">
        <f aca="false">SUMIF('Source NetSuite'!$A:$A,$A152,'Source NetSuite'!$D:$D)</f>
        <v>1445</v>
      </c>
      <c r="I152" s="9" t="n">
        <f aca="false">SUMIF('Source NetSuite'!$A:$A,$A152,'Source NetSuite'!$F:$F)</f>
        <v>595</v>
      </c>
      <c r="J152" s="9" t="n">
        <f aca="false">I152*$J$5</f>
        <v>751.578947368421</v>
      </c>
      <c r="K152" s="9" t="n">
        <f aca="false">J152-H152</f>
        <v>-693.421052631579</v>
      </c>
      <c r="L152" s="10" t="n">
        <f aca="false">IF(AND(H152=0,J152=0),0,IF(H152=0,"New",(J152-H152)/H152))</f>
        <v>-0.479876160990712</v>
      </c>
      <c r="M152" s="8" t="str">
        <f aca="false">IF(AND(OR(C152&lt;&gt;0,H152&lt;&gt;0),D152=0,I152=0),"DROP",IF(AND(OR(D152&lt;&gt;0,I152&lt;&gt;0),C152=0,H152=0),"NEW",""))</f>
        <v/>
      </c>
    </row>
    <row r="153" customFormat="false" ht="15" hidden="false" customHeight="true" outlineLevel="0" collapsed="false">
      <c r="A153" s="8" t="s">
        <v>301</v>
      </c>
      <c r="B153" s="8" t="str">
        <f aca="false">IFERROR(INDEX('Source NetSuite'!$B:$B,MATCH($A153,'Source NetSuite'!$A:$A,0)),"")</f>
        <v>סד לקרסול</v>
      </c>
      <c r="C153" s="9" t="n">
        <f aca="false">SUMIF('Source NetSuite'!$A:$A,$A153,'Source NetSuite'!$C:$C)</f>
        <v>10</v>
      </c>
      <c r="D153" s="9" t="n">
        <f aca="false">SUMIF('Source NetSuite'!$A:$A,$A153,'Source NetSuite'!$E:$E)</f>
        <v>1</v>
      </c>
      <c r="E153" s="9" t="n">
        <f aca="false">D153*$J$5</f>
        <v>1.26315789473684</v>
      </c>
      <c r="F153" s="9" t="n">
        <f aca="false">E153-C153</f>
        <v>-8.73684210526316</v>
      </c>
      <c r="G153" s="10" t="n">
        <f aca="false">IF(AND(C153=0,E153=0),0,IF(C153=0,"New",(E153-C153)/C153))</f>
        <v>-0.873684210526316</v>
      </c>
      <c r="H153" s="9" t="n">
        <f aca="false">SUMIF('Source NetSuite'!$A:$A,$A153,'Source NetSuite'!$D:$D)</f>
        <v>941</v>
      </c>
      <c r="I153" s="9" t="n">
        <f aca="false">SUMIF('Source NetSuite'!$A:$A,$A153,'Source NetSuite'!$F:$F)</f>
        <v>94.1</v>
      </c>
      <c r="J153" s="9" t="n">
        <f aca="false">I153*$J$5</f>
        <v>118.863157894737</v>
      </c>
      <c r="K153" s="9" t="n">
        <f aca="false">J153-H153</f>
        <v>-822.136842105263</v>
      </c>
      <c r="L153" s="10" t="n">
        <f aca="false">IF(AND(H153=0,J153=0),0,IF(H153=0,"New",(J153-H153)/H153))</f>
        <v>-0.873684210526316</v>
      </c>
      <c r="M153" s="8" t="str">
        <f aca="false">IF(AND(OR(C153&lt;&gt;0,H153&lt;&gt;0),D153=0,I153=0),"DROP",IF(AND(OR(D153&lt;&gt;0,I153&lt;&gt;0),C153=0,H153=0),"NEW",""))</f>
        <v/>
      </c>
    </row>
    <row r="154" customFormat="false" ht="15" hidden="false" customHeight="true" outlineLevel="0" collapsed="false">
      <c r="A154" s="8" t="s">
        <v>302</v>
      </c>
      <c r="B154" s="8" t="str">
        <f aca="false">IFERROR(INDEX('Source NetSuite'!$B:$B,MATCH($A154,'Source NetSuite'!$A:$A,0)),"")</f>
        <v>מגן ברך ארוך</v>
      </c>
      <c r="C154" s="9" t="n">
        <f aca="false">SUMIF('Source NetSuite'!$A:$A,$A154,'Source NetSuite'!$C:$C)</f>
        <v>80</v>
      </c>
      <c r="D154" s="9" t="n">
        <f aca="false">SUMIF('Source NetSuite'!$A:$A,$A154,'Source NetSuite'!$E:$E)</f>
        <v>39</v>
      </c>
      <c r="E154" s="9" t="n">
        <f aca="false">D154*$J$5</f>
        <v>49.2631578947368</v>
      </c>
      <c r="F154" s="9" t="n">
        <f aca="false">E154-C154</f>
        <v>-30.7368421052632</v>
      </c>
      <c r="G154" s="10" t="n">
        <f aca="false">IF(AND(C154=0,E154=0),0,IF(C154=0,"New",(E154-C154)/C154))</f>
        <v>-0.384210526315789</v>
      </c>
      <c r="H154" s="9" t="n">
        <f aca="false">SUMIF('Source NetSuite'!$A:$A,$A154,'Source NetSuite'!$D:$D)</f>
        <v>1640</v>
      </c>
      <c r="I154" s="9" t="n">
        <f aca="false">SUMIF('Source NetSuite'!$A:$A,$A154,'Source NetSuite'!$F:$F)</f>
        <v>799.5</v>
      </c>
      <c r="J154" s="9" t="n">
        <f aca="false">I154*$J$5</f>
        <v>1009.89473684211</v>
      </c>
      <c r="K154" s="9" t="n">
        <f aca="false">J154-H154</f>
        <v>-630.105263157895</v>
      </c>
      <c r="L154" s="10" t="n">
        <f aca="false">IF(AND(H154=0,J154=0),0,IF(H154=0,"New",(J154-H154)/H154))</f>
        <v>-0.38421052631579</v>
      </c>
      <c r="M154" s="8" t="str">
        <f aca="false">IF(AND(OR(C154&lt;&gt;0,H154&lt;&gt;0),D154=0,I154=0),"DROP",IF(AND(OR(D154&lt;&gt;0,I154&lt;&gt;0),C154=0,H154=0),"NEW",""))</f>
        <v/>
      </c>
    </row>
    <row r="155" customFormat="false" ht="15" hidden="false" customHeight="true" outlineLevel="0" collapsed="false">
      <c r="A155" s="8" t="s">
        <v>303</v>
      </c>
      <c r="B155" s="8" t="str">
        <f aca="false">IFERROR(INDEX('Source NetSuite'!$B:$B,MATCH($A155,'Source NetSuite'!$A:$A,0)),"")</f>
        <v>קינזיולוגי טייפ</v>
      </c>
      <c r="C155" s="9" t="n">
        <f aca="false">SUMIF('Source NetSuite'!$A:$A,$A155,'Source NetSuite'!$C:$C)</f>
        <v>13</v>
      </c>
      <c r="D155" s="9" t="n">
        <f aca="false">SUMIF('Source NetSuite'!$A:$A,$A155,'Source NetSuite'!$E:$E)</f>
        <v>0</v>
      </c>
      <c r="E155" s="9" t="n">
        <f aca="false">D155*$J$5</f>
        <v>0</v>
      </c>
      <c r="F155" s="9" t="n">
        <f aca="false">E155-C155</f>
        <v>-13</v>
      </c>
      <c r="G155" s="10" t="n">
        <f aca="false">IF(AND(C155=0,E155=0),0,IF(C155=0,"New",(E155-C155)/C155))</f>
        <v>-1</v>
      </c>
      <c r="H155" s="9" t="n">
        <f aca="false">SUMIF('Source NetSuite'!$A:$A,$A155,'Source NetSuite'!$D:$D)</f>
        <v>818.61</v>
      </c>
      <c r="I155" s="9" t="n">
        <f aca="false">SUMIF('Source NetSuite'!$A:$A,$A155,'Source NetSuite'!$F:$F)</f>
        <v>0</v>
      </c>
      <c r="J155" s="9" t="n">
        <f aca="false">I155*$J$5</f>
        <v>0</v>
      </c>
      <c r="K155" s="9" t="n">
        <f aca="false">J155-H155</f>
        <v>-818.61</v>
      </c>
      <c r="L155" s="10" t="n">
        <f aca="false">IF(AND(H155=0,J155=0),0,IF(H155=0,"New",(J155-H155)/H155))</f>
        <v>-1</v>
      </c>
      <c r="M155" s="8" t="str">
        <f aca="false">IF(AND(OR(C155&lt;&gt;0,H155&lt;&gt;0),D155=0,I155=0),"DROP",IF(AND(OR(D155&lt;&gt;0,I155&lt;&gt;0),C155=0,H155=0),"NEW",""))</f>
        <v>DROP</v>
      </c>
    </row>
    <row r="156" customFormat="false" ht="15" hidden="false" customHeight="true" outlineLevel="0" collapsed="false">
      <c r="A156" s="8" t="s">
        <v>304</v>
      </c>
      <c r="B156" s="8" t="str">
        <f aca="false">IFERROR(INDEX('Source NetSuite'!$B:$B,MATCH($A156,'Source NetSuite'!$A:$A,0)),"")</f>
        <v>חגורה אחרי ניתוח</v>
      </c>
      <c r="C156" s="9" t="n">
        <f aca="false">SUMIF('Source NetSuite'!$A:$A,$A156,'Source NetSuite'!$C:$C)</f>
        <v>7</v>
      </c>
      <c r="D156" s="9" t="n">
        <f aca="false">SUMIF('Source NetSuite'!$A:$A,$A156,'Source NetSuite'!$E:$E)</f>
        <v>0</v>
      </c>
      <c r="E156" s="9" t="n">
        <f aca="false">D156*$J$5</f>
        <v>0</v>
      </c>
      <c r="F156" s="9" t="n">
        <f aca="false">E156-C156</f>
        <v>-7</v>
      </c>
      <c r="G156" s="10" t="n">
        <f aca="false">IF(AND(C156=0,E156=0),0,IF(C156=0,"New",(E156-C156)/C156))</f>
        <v>-1</v>
      </c>
      <c r="H156" s="9" t="n">
        <f aca="false">SUMIF('Source NetSuite'!$A:$A,$A156,'Source NetSuite'!$D:$D)</f>
        <v>795.06</v>
      </c>
      <c r="I156" s="9" t="n">
        <f aca="false">SUMIF('Source NetSuite'!$A:$A,$A156,'Source NetSuite'!$F:$F)</f>
        <v>0</v>
      </c>
      <c r="J156" s="9" t="n">
        <f aca="false">I156*$J$5</f>
        <v>0</v>
      </c>
      <c r="K156" s="9" t="n">
        <f aca="false">J156-H156</f>
        <v>-795.06</v>
      </c>
      <c r="L156" s="10" t="n">
        <f aca="false">IF(AND(H156=0,J156=0),0,IF(H156=0,"New",(J156-H156)/H156))</f>
        <v>-1</v>
      </c>
      <c r="M156" s="8" t="str">
        <f aca="false">IF(AND(OR(C156&lt;&gt;0,H156&lt;&gt;0),D156=0,I156=0),"DROP",IF(AND(OR(D156&lt;&gt;0,I156&lt;&gt;0),C156=0,H156=0),"NEW",""))</f>
        <v>DROP</v>
      </c>
    </row>
    <row r="157" customFormat="false" ht="15" hidden="false" customHeight="true" outlineLevel="0" collapsed="false">
      <c r="A157" s="8" t="s">
        <v>305</v>
      </c>
      <c r="B157" s="8" t="str">
        <f aca="false">IFERROR(INDEX('Source NetSuite'!$B:$B,MATCH($A157,'Source NetSuite'!$A:$A,0)),"")</f>
        <v>חגורה אחרי ניתוח</v>
      </c>
      <c r="C157" s="9" t="n">
        <f aca="false">SUMIF('Source NetSuite'!$A:$A,$A157,'Source NetSuite'!$C:$C)</f>
        <v>7</v>
      </c>
      <c r="D157" s="9" t="n">
        <f aca="false">SUMIF('Source NetSuite'!$A:$A,$A157,'Source NetSuite'!$E:$E)</f>
        <v>0</v>
      </c>
      <c r="E157" s="9" t="n">
        <f aca="false">D157*$J$5</f>
        <v>0</v>
      </c>
      <c r="F157" s="9" t="n">
        <f aca="false">E157-C157</f>
        <v>-7</v>
      </c>
      <c r="G157" s="10" t="n">
        <f aca="false">IF(AND(C157=0,E157=0),0,IF(C157=0,"New",(E157-C157)/C157))</f>
        <v>-1</v>
      </c>
      <c r="H157" s="9" t="n">
        <f aca="false">SUMIF('Source NetSuite'!$A:$A,$A157,'Source NetSuite'!$D:$D)</f>
        <v>795.06</v>
      </c>
      <c r="I157" s="9" t="n">
        <f aca="false">SUMIF('Source NetSuite'!$A:$A,$A157,'Source NetSuite'!$F:$F)</f>
        <v>0</v>
      </c>
      <c r="J157" s="9" t="n">
        <f aca="false">I157*$J$5</f>
        <v>0</v>
      </c>
      <c r="K157" s="9" t="n">
        <f aca="false">J157-H157</f>
        <v>-795.06</v>
      </c>
      <c r="L157" s="10" t="n">
        <f aca="false">IF(AND(H157=0,J157=0),0,IF(H157=0,"New",(J157-H157)/H157))</f>
        <v>-1</v>
      </c>
      <c r="M157" s="8" t="str">
        <f aca="false">IF(AND(OR(C157&lt;&gt;0,H157&lt;&gt;0),D157=0,I157=0),"DROP",IF(AND(OR(D157&lt;&gt;0,I157&lt;&gt;0),C157=0,H157=0),"NEW",""))</f>
        <v>DROP</v>
      </c>
    </row>
    <row r="158" customFormat="false" ht="15" hidden="false" customHeight="true" outlineLevel="0" collapsed="false">
      <c r="A158" s="8" t="s">
        <v>306</v>
      </c>
      <c r="B158" s="8" t="str">
        <f aca="false">IFERROR(INDEX('Source NetSuite'!$B:$B,MATCH($A158,'Source NetSuite'!$A:$A,0)),"")</f>
        <v>חגורת שבר דו צדדית</v>
      </c>
      <c r="C158" s="9" t="n">
        <f aca="false">SUMIF('Source NetSuite'!$A:$A,$A158,'Source NetSuite'!$C:$C)</f>
        <v>5</v>
      </c>
      <c r="D158" s="9" t="n">
        <f aca="false">SUMIF('Source NetSuite'!$A:$A,$A158,'Source NetSuite'!$E:$E)</f>
        <v>1</v>
      </c>
      <c r="E158" s="9" t="n">
        <f aca="false">D158*$J$5</f>
        <v>1.26315789473684</v>
      </c>
      <c r="F158" s="9" t="n">
        <f aca="false">E158-C158</f>
        <v>-3.73684210526316</v>
      </c>
      <c r="G158" s="10" t="n">
        <f aca="false">IF(AND(C158=0,E158=0),0,IF(C158=0,"New",(E158-C158)/C158))</f>
        <v>-0.747368421052632</v>
      </c>
      <c r="H158" s="9" t="n">
        <f aca="false">SUMIF('Source NetSuite'!$A:$A,$A158,'Source NetSuite'!$D:$D)</f>
        <v>978.65</v>
      </c>
      <c r="I158" s="9" t="n">
        <f aca="false">SUMIF('Source NetSuite'!$A:$A,$A158,'Source NetSuite'!$F:$F)</f>
        <v>195.73</v>
      </c>
      <c r="J158" s="9" t="n">
        <f aca="false">I158*$J$5</f>
        <v>247.237894736842</v>
      </c>
      <c r="K158" s="9" t="n">
        <f aca="false">J158-H158</f>
        <v>-731.412105263158</v>
      </c>
      <c r="L158" s="10" t="n">
        <f aca="false">IF(AND(H158=0,J158=0),0,IF(H158=0,"New",(J158-H158)/H158))</f>
        <v>-0.747368421052632</v>
      </c>
      <c r="M158" s="8" t="str">
        <f aca="false">IF(AND(OR(C158&lt;&gt;0,H158&lt;&gt;0),D158=0,I158=0),"DROP",IF(AND(OR(D158&lt;&gt;0,I158&lt;&gt;0),C158=0,H158=0),"NEW",""))</f>
        <v/>
      </c>
    </row>
    <row r="159" customFormat="false" ht="15" hidden="false" customHeight="true" outlineLevel="0" collapsed="false">
      <c r="A159" s="8" t="s">
        <v>307</v>
      </c>
      <c r="B159" s="8" t="str">
        <f aca="false">IFERROR(INDEX('Source NetSuite'!$B:$B,MATCH($A159,'Source NetSuite'!$A:$A,0)),"")</f>
        <v>מדבקה גדולה מסיליקון</v>
      </c>
      <c r="C159" s="9" t="n">
        <f aca="false">SUMIF('Source NetSuite'!$A:$A,$A159,'Source NetSuite'!$C:$C)</f>
        <v>69</v>
      </c>
      <c r="D159" s="9" t="n">
        <f aca="false">SUMIF('Source NetSuite'!$A:$A,$A159,'Source NetSuite'!$E:$E)</f>
        <v>15</v>
      </c>
      <c r="E159" s="9" t="n">
        <f aca="false">D159*$J$5</f>
        <v>18.9473684210526</v>
      </c>
      <c r="F159" s="9" t="n">
        <f aca="false">E159-C159</f>
        <v>-50.0526315789474</v>
      </c>
      <c r="G159" s="10" t="n">
        <f aca="false">IF(AND(C159=0,E159=0),0,IF(C159=0,"New",(E159-C159)/C159))</f>
        <v>-0.725400457665904</v>
      </c>
      <c r="H159" s="9" t="n">
        <f aca="false">SUMIF('Source NetSuite'!$A:$A,$A159,'Source NetSuite'!$D:$D)</f>
        <v>985.32</v>
      </c>
      <c r="I159" s="9" t="n">
        <f aca="false">SUMIF('Source NetSuite'!$A:$A,$A159,'Source NetSuite'!$F:$F)</f>
        <v>214.2</v>
      </c>
      <c r="J159" s="9" t="n">
        <f aca="false">I159*$J$5</f>
        <v>270.568421052632</v>
      </c>
      <c r="K159" s="9" t="n">
        <f aca="false">J159-H159</f>
        <v>-714.751578947368</v>
      </c>
      <c r="L159" s="10" t="n">
        <f aca="false">IF(AND(H159=0,J159=0),0,IF(H159=0,"New",(J159-H159)/H159))</f>
        <v>-0.725400457665904</v>
      </c>
      <c r="M159" s="8" t="str">
        <f aca="false">IF(AND(OR(C159&lt;&gt;0,H159&lt;&gt;0),D159=0,I159=0),"DROP",IF(AND(OR(D159&lt;&gt;0,I159&lt;&gt;0),C159=0,H159=0),"NEW",""))</f>
        <v/>
      </c>
    </row>
    <row r="160" customFormat="false" ht="15" hidden="false" customHeight="true" outlineLevel="0" collapsed="false">
      <c r="A160" s="8" t="s">
        <v>308</v>
      </c>
      <c r="B160" s="8" t="str">
        <f aca="false">IFERROR(INDEX('Source NetSuite'!$B:$B,MATCH($A160,'Source NetSuite'!$A:$A,0)),"")</f>
        <v>טבעת אלסטית מסיליקון</v>
      </c>
      <c r="C160" s="9" t="n">
        <f aca="false">SUMIF('Source NetSuite'!$A:$A,$A160,'Source NetSuite'!$C:$C)</f>
        <v>158</v>
      </c>
      <c r="D160" s="9" t="n">
        <f aca="false">SUMIF('Source NetSuite'!$A:$A,$A160,'Source NetSuite'!$E:$E)</f>
        <v>63</v>
      </c>
      <c r="E160" s="9" t="n">
        <f aca="false">D160*$J$5</f>
        <v>79.5789473684211</v>
      </c>
      <c r="F160" s="9" t="n">
        <f aca="false">E160-C160</f>
        <v>-78.421052631579</v>
      </c>
      <c r="G160" s="10" t="n">
        <f aca="false">IF(AND(C160=0,E160=0),0,IF(C160=0,"New",(E160-C160)/C160))</f>
        <v>-0.496335776149234</v>
      </c>
      <c r="H160" s="9" t="n">
        <f aca="false">SUMIF('Source NetSuite'!$A:$A,$A160,'Source NetSuite'!$D:$D)</f>
        <v>1276.64</v>
      </c>
      <c r="I160" s="9" t="n">
        <f aca="false">SUMIF('Source NetSuite'!$A:$A,$A160,'Source NetSuite'!$F:$F)</f>
        <v>509.04</v>
      </c>
      <c r="J160" s="9" t="n">
        <f aca="false">I160*$J$5</f>
        <v>642.997894736842</v>
      </c>
      <c r="K160" s="9" t="n">
        <f aca="false">J160-H160</f>
        <v>-633.642105263158</v>
      </c>
      <c r="L160" s="10" t="n">
        <f aca="false">IF(AND(H160=0,J160=0),0,IF(H160=0,"New",(J160-H160)/H160))</f>
        <v>-0.496335776149234</v>
      </c>
      <c r="M160" s="8" t="str">
        <f aca="false">IF(AND(OR(C160&lt;&gt;0,H160&lt;&gt;0),D160=0,I160=0),"DROP",IF(AND(OR(D160&lt;&gt;0,I160&lt;&gt;0),C160=0,H160=0),"NEW",""))</f>
        <v/>
      </c>
    </row>
    <row r="161" customFormat="false" ht="15" hidden="false" customHeight="true" outlineLevel="0" collapsed="false">
      <c r="A161" s="8" t="s">
        <v>309</v>
      </c>
      <c r="B161" s="8" t="str">
        <f aca="false">IFERROR(INDEX('Source NetSuite'!$B:$B,MATCH($A161,'Source NetSuite'!$A:$A,0)),"")</f>
        <v>מגן קרסול+ עקב סגור+רצועות</v>
      </c>
      <c r="C161" s="9" t="n">
        <f aca="false">SUMIF('Source NetSuite'!$A:$A,$A161,'Source NetSuite'!$C:$C)</f>
        <v>22</v>
      </c>
      <c r="D161" s="9" t="n">
        <f aca="false">SUMIF('Source NetSuite'!$A:$A,$A161,'Source NetSuite'!$E:$E)</f>
        <v>4</v>
      </c>
      <c r="E161" s="9" t="n">
        <f aca="false">D161*$J$5</f>
        <v>5.05263157894737</v>
      </c>
      <c r="F161" s="9" t="n">
        <f aca="false">E161-C161</f>
        <v>-16.9473684210526</v>
      </c>
      <c r="G161" s="10" t="n">
        <f aca="false">IF(AND(C161=0,E161=0),0,IF(C161=0,"New",(E161-C161)/C161))</f>
        <v>-0.770334928229665</v>
      </c>
      <c r="H161" s="9" t="n">
        <f aca="false">SUMIF('Source NetSuite'!$A:$A,$A161,'Source NetSuite'!$D:$D)</f>
        <v>927.74</v>
      </c>
      <c r="I161" s="9" t="n">
        <f aca="false">SUMIF('Source NetSuite'!$A:$A,$A161,'Source NetSuite'!$F:$F)</f>
        <v>168.68</v>
      </c>
      <c r="J161" s="9" t="n">
        <f aca="false">I161*$J$5</f>
        <v>213.069473684211</v>
      </c>
      <c r="K161" s="9" t="n">
        <f aca="false">J161-H161</f>
        <v>-714.67052631579</v>
      </c>
      <c r="L161" s="10" t="n">
        <f aca="false">IF(AND(H161=0,J161=0),0,IF(H161=0,"New",(J161-H161)/H161))</f>
        <v>-0.770334928229665</v>
      </c>
      <c r="M161" s="8" t="str">
        <f aca="false">IF(AND(OR(C161&lt;&gt;0,H161&lt;&gt;0),D161=0,I161=0),"DROP",IF(AND(OR(D161&lt;&gt;0,I161&lt;&gt;0),C161=0,H161=0),"NEW",""))</f>
        <v/>
      </c>
    </row>
    <row r="162" customFormat="false" ht="15" hidden="false" customHeight="true" outlineLevel="0" collapsed="false">
      <c r="A162" s="8" t="s">
        <v>310</v>
      </c>
      <c r="B162" s="8" t="str">
        <f aca="false">IFERROR(INDEX('Source NetSuite'!$B:$B,MATCH($A162,'Source NetSuite'!$A:$A,0)),"")</f>
        <v>סד לקרסול</v>
      </c>
      <c r="C162" s="9" t="n">
        <f aca="false">SUMIF('Source NetSuite'!$A:$A,$A162,'Source NetSuite'!$C:$C)</f>
        <v>10</v>
      </c>
      <c r="D162" s="9" t="n">
        <f aca="false">SUMIF('Source NetSuite'!$A:$A,$A162,'Source NetSuite'!$E:$E)</f>
        <v>2</v>
      </c>
      <c r="E162" s="9" t="n">
        <f aca="false">D162*$J$5</f>
        <v>2.52631578947368</v>
      </c>
      <c r="F162" s="9" t="n">
        <f aca="false">E162-C162</f>
        <v>-7.47368421052632</v>
      </c>
      <c r="G162" s="10" t="n">
        <f aca="false">IF(AND(C162=0,E162=0),0,IF(C162=0,"New",(E162-C162)/C162))</f>
        <v>-0.747368421052632</v>
      </c>
      <c r="H162" s="9" t="n">
        <f aca="false">SUMIF('Source NetSuite'!$A:$A,$A162,'Source NetSuite'!$D:$D)</f>
        <v>941</v>
      </c>
      <c r="I162" s="9" t="n">
        <f aca="false">SUMIF('Source NetSuite'!$A:$A,$A162,'Source NetSuite'!$F:$F)</f>
        <v>188.2</v>
      </c>
      <c r="J162" s="9" t="n">
        <f aca="false">I162*$J$5</f>
        <v>237.726315789474</v>
      </c>
      <c r="K162" s="9" t="n">
        <f aca="false">J162-H162</f>
        <v>-703.273684210526</v>
      </c>
      <c r="L162" s="10" t="n">
        <f aca="false">IF(AND(H162=0,J162=0),0,IF(H162=0,"New",(J162-H162)/H162))</f>
        <v>-0.747368421052632</v>
      </c>
      <c r="M162" s="8" t="str">
        <f aca="false">IF(AND(OR(C162&lt;&gt;0,H162&lt;&gt;0),D162=0,I162=0),"DROP",IF(AND(OR(D162&lt;&gt;0,I162&lt;&gt;0),C162=0,H162=0),"NEW",""))</f>
        <v/>
      </c>
    </row>
    <row r="163" customFormat="false" ht="15" hidden="false" customHeight="true" outlineLevel="0" collapsed="false">
      <c r="A163" s="8" t="s">
        <v>311</v>
      </c>
      <c r="B163" s="8" t="str">
        <f aca="false">IFERROR(INDEX('Source NetSuite'!$B:$B,MATCH($A163,'Source NetSuite'!$A:$A,0)),"")</f>
        <v>חגורה למנותחי בית החזה</v>
      </c>
      <c r="C163" s="9" t="n">
        <f aca="false">SUMIF('Source NetSuite'!$A:$A,$A163,'Source NetSuite'!$C:$C)</f>
        <v>9</v>
      </c>
      <c r="D163" s="9" t="n">
        <f aca="false">SUMIF('Source NetSuite'!$A:$A,$A163,'Source NetSuite'!$E:$E)</f>
        <v>2</v>
      </c>
      <c r="E163" s="9" t="n">
        <f aca="false">D163*$J$5</f>
        <v>2.52631578947368</v>
      </c>
      <c r="F163" s="9" t="n">
        <f aca="false">E163-C163</f>
        <v>-6.47368421052632</v>
      </c>
      <c r="G163" s="10" t="n">
        <f aca="false">IF(AND(C163=0,E163=0),0,IF(C163=0,"New",(E163-C163)/C163))</f>
        <v>-0.719298245614035</v>
      </c>
      <c r="H163" s="9" t="n">
        <f aca="false">SUMIF('Source NetSuite'!$A:$A,$A163,'Source NetSuite'!$D:$D)</f>
        <v>963.81</v>
      </c>
      <c r="I163" s="9" t="n">
        <f aca="false">SUMIF('Source NetSuite'!$A:$A,$A163,'Source NetSuite'!$F:$F)</f>
        <v>214.18</v>
      </c>
      <c r="J163" s="9" t="n">
        <f aca="false">I163*$J$5</f>
        <v>270.543157894737</v>
      </c>
      <c r="K163" s="9" t="n">
        <f aca="false">J163-H163</f>
        <v>-693.266842105263</v>
      </c>
      <c r="L163" s="10" t="n">
        <f aca="false">IF(AND(H163=0,J163=0),0,IF(H163=0,"New",(J163-H163)/H163))</f>
        <v>-0.719298245614035</v>
      </c>
      <c r="M163" s="8" t="str">
        <f aca="false">IF(AND(OR(C163&lt;&gt;0,H163&lt;&gt;0),D163=0,I163=0),"DROP",IF(AND(OR(D163&lt;&gt;0,I163&lt;&gt;0),C163=0,H163=0),"NEW",""))</f>
        <v/>
      </c>
    </row>
    <row r="164" customFormat="false" ht="15" hidden="false" customHeight="true" outlineLevel="0" collapsed="false">
      <c r="A164" s="8" t="s">
        <v>312</v>
      </c>
      <c r="B164" s="8" t="str">
        <f aca="false">IFERROR(INDEX('Source NetSuite'!$B:$B,MATCH($A164,'Source NetSuite'!$A:$A,0)),"")</f>
        <v>מגן ירך</v>
      </c>
      <c r="C164" s="9" t="n">
        <f aca="false">SUMIF('Source NetSuite'!$A:$A,$A164,'Source NetSuite'!$C:$C)</f>
        <v>36</v>
      </c>
      <c r="D164" s="9" t="n">
        <f aca="false">SUMIF('Source NetSuite'!$A:$A,$A164,'Source NetSuite'!$E:$E)</f>
        <v>0</v>
      </c>
      <c r="E164" s="9" t="n">
        <f aca="false">D164*$J$5</f>
        <v>0</v>
      </c>
      <c r="F164" s="9" t="n">
        <f aca="false">E164-C164</f>
        <v>-36</v>
      </c>
      <c r="G164" s="10" t="n">
        <f aca="false">IF(AND(C164=0,E164=0),0,IF(C164=0,"New",(E164-C164)/C164))</f>
        <v>-1</v>
      </c>
      <c r="H164" s="9" t="n">
        <f aca="false">SUMIF('Source NetSuite'!$A:$A,$A164,'Source NetSuite'!$D:$D)</f>
        <v>738</v>
      </c>
      <c r="I164" s="9" t="n">
        <f aca="false">SUMIF('Source NetSuite'!$A:$A,$A164,'Source NetSuite'!$F:$F)</f>
        <v>0</v>
      </c>
      <c r="J164" s="9" t="n">
        <f aca="false">I164*$J$5</f>
        <v>0</v>
      </c>
      <c r="K164" s="9" t="n">
        <f aca="false">J164-H164</f>
        <v>-738</v>
      </c>
      <c r="L164" s="10" t="n">
        <f aca="false">IF(AND(H164=0,J164=0),0,IF(H164=0,"New",(J164-H164)/H164))</f>
        <v>-1</v>
      </c>
      <c r="M164" s="8" t="str">
        <f aca="false">IF(AND(OR(C164&lt;&gt;0,H164&lt;&gt;0),D164=0,I164=0),"DROP",IF(AND(OR(D164&lt;&gt;0,I164&lt;&gt;0),C164=0,H164=0),"NEW",""))</f>
        <v>DROP</v>
      </c>
    </row>
    <row r="165" customFormat="false" ht="15" hidden="false" customHeight="true" outlineLevel="0" collapsed="false">
      <c r="A165" s="8" t="s">
        <v>313</v>
      </c>
      <c r="B165" s="8" t="str">
        <f aca="false">IFERROR(INDEX('Source NetSuite'!$B:$B,MATCH($A165,'Source NetSuite'!$A:$A,0)),"")</f>
        <v>גרבי נוחות קיץ אפור</v>
      </c>
      <c r="C165" s="9" t="n">
        <f aca="false">SUMIF('Source NetSuite'!$A:$A,$A165,'Source NetSuite'!$C:$C)</f>
        <v>39</v>
      </c>
      <c r="D165" s="9" t="n">
        <f aca="false">SUMIF('Source NetSuite'!$A:$A,$A165,'Source NetSuite'!$E:$E)</f>
        <v>0</v>
      </c>
      <c r="E165" s="9" t="n">
        <f aca="false">D165*$J$5</f>
        <v>0</v>
      </c>
      <c r="F165" s="9" t="n">
        <f aca="false">E165-C165</f>
        <v>-39</v>
      </c>
      <c r="G165" s="10" t="n">
        <f aca="false">IF(AND(C165=0,E165=0),0,IF(C165=0,"New",(E165-C165)/C165))</f>
        <v>-1</v>
      </c>
      <c r="H165" s="9" t="n">
        <f aca="false">SUMIF('Source NetSuite'!$A:$A,$A165,'Source NetSuite'!$D:$D)</f>
        <v>717.6</v>
      </c>
      <c r="I165" s="9" t="n">
        <f aca="false">SUMIF('Source NetSuite'!$A:$A,$A165,'Source NetSuite'!$F:$F)</f>
        <v>0</v>
      </c>
      <c r="J165" s="9" t="n">
        <f aca="false">I165*$J$5</f>
        <v>0</v>
      </c>
      <c r="K165" s="9" t="n">
        <f aca="false">J165-H165</f>
        <v>-717.6</v>
      </c>
      <c r="L165" s="10" t="n">
        <f aca="false">IF(AND(H165=0,J165=0),0,IF(H165=0,"New",(J165-H165)/H165))</f>
        <v>-1</v>
      </c>
      <c r="M165" s="8" t="str">
        <f aca="false">IF(AND(OR(C165&lt;&gt;0,H165&lt;&gt;0),D165=0,I165=0),"DROP",IF(AND(OR(D165&lt;&gt;0,I165&lt;&gt;0),C165=0,H165=0),"NEW",""))</f>
        <v>DROP</v>
      </c>
    </row>
    <row r="166" customFormat="false" ht="15" hidden="false" customHeight="true" outlineLevel="0" collapsed="false">
      <c r="A166" s="8" t="s">
        <v>314</v>
      </c>
      <c r="B166" s="8" t="str">
        <f aca="false">IFERROR(INDEX('Source NetSuite'!$B:$B,MATCH($A166,'Source NetSuite'!$A:$A,0)),"")</f>
        <v>מגן קרסול+ עקב סגור+רצועות</v>
      </c>
      <c r="C166" s="9" t="n">
        <f aca="false">SUMIF('Source NetSuite'!$A:$A,$A166,'Source NetSuite'!$C:$C)</f>
        <v>31</v>
      </c>
      <c r="D166" s="9" t="n">
        <f aca="false">SUMIF('Source NetSuite'!$A:$A,$A166,'Source NetSuite'!$E:$E)</f>
        <v>14</v>
      </c>
      <c r="E166" s="9" t="n">
        <f aca="false">D166*$J$5</f>
        <v>17.6842105263158</v>
      </c>
      <c r="F166" s="9" t="n">
        <f aca="false">E166-C166</f>
        <v>-13.3157894736842</v>
      </c>
      <c r="G166" s="10" t="n">
        <f aca="false">IF(AND(C166=0,E166=0),0,IF(C166=0,"New",(E166-C166)/C166))</f>
        <v>-0.429541595925297</v>
      </c>
      <c r="H166" s="9" t="n">
        <f aca="false">SUMIF('Source NetSuite'!$A:$A,$A166,'Source NetSuite'!$D:$D)</f>
        <v>1307.27</v>
      </c>
      <c r="I166" s="9" t="n">
        <f aca="false">SUMIF('Source NetSuite'!$A:$A,$A166,'Source NetSuite'!$F:$F)</f>
        <v>590.38</v>
      </c>
      <c r="J166" s="9" t="n">
        <f aca="false">I166*$J$5</f>
        <v>745.743157894737</v>
      </c>
      <c r="K166" s="9" t="n">
        <f aca="false">J166-H166</f>
        <v>-561.526842105263</v>
      </c>
      <c r="L166" s="10" t="n">
        <f aca="false">IF(AND(H166=0,J166=0),0,IF(H166=0,"New",(J166-H166)/H166))</f>
        <v>-0.429541595925297</v>
      </c>
      <c r="M166" s="8" t="str">
        <f aca="false">IF(AND(OR(C166&lt;&gt;0,H166&lt;&gt;0),D166=0,I166=0),"DROP",IF(AND(OR(D166&lt;&gt;0,I166&lt;&gt;0),C166=0,H166=0),"NEW",""))</f>
        <v/>
      </c>
    </row>
    <row r="167" customFormat="false" ht="15" hidden="false" customHeight="true" outlineLevel="0" collapsed="false">
      <c r="A167" s="8" t="s">
        <v>315</v>
      </c>
      <c r="B167" s="8" t="str">
        <f aca="false">IFERROR(INDEX('Source NetSuite'!$B:$B,MATCH($A167,'Source NetSuite'!$A:$A,0)),"")</f>
        <v>ריפוד סיליקון לעקב תחתון</v>
      </c>
      <c r="C167" s="9" t="n">
        <f aca="false">SUMIF('Source NetSuite'!$A:$A,$A167,'Source NetSuite'!$C:$C)</f>
        <v>55</v>
      </c>
      <c r="D167" s="9" t="n">
        <f aca="false">SUMIF('Source NetSuite'!$A:$A,$A167,'Source NetSuite'!$E:$E)</f>
        <v>11</v>
      </c>
      <c r="E167" s="9" t="n">
        <f aca="false">D167*$J$5</f>
        <v>13.8947368421053</v>
      </c>
      <c r="F167" s="9" t="n">
        <f aca="false">E167-C167</f>
        <v>-41.1052631578947</v>
      </c>
      <c r="G167" s="10" t="n">
        <f aca="false">IF(AND(C167=0,E167=0),0,IF(C167=0,"New",(E167-C167)/C167))</f>
        <v>-0.747368421052632</v>
      </c>
      <c r="H167" s="9" t="n">
        <f aca="false">SUMIF('Source NetSuite'!$A:$A,$A167,'Source NetSuite'!$D:$D)</f>
        <v>875.05</v>
      </c>
      <c r="I167" s="9" t="n">
        <f aca="false">SUMIF('Source NetSuite'!$A:$A,$A167,'Source NetSuite'!$F:$F)</f>
        <v>175.01</v>
      </c>
      <c r="J167" s="9" t="n">
        <f aca="false">I167*$J$5</f>
        <v>221.065263157895</v>
      </c>
      <c r="K167" s="9" t="n">
        <f aca="false">J167-H167</f>
        <v>-653.984736842105</v>
      </c>
      <c r="L167" s="10" t="n">
        <f aca="false">IF(AND(H167=0,J167=0),0,IF(H167=0,"New",(J167-H167)/H167))</f>
        <v>-0.747368421052632</v>
      </c>
      <c r="M167" s="8" t="str">
        <f aca="false">IF(AND(OR(C167&lt;&gt;0,H167&lt;&gt;0),D167=0,I167=0),"DROP",IF(AND(OR(D167&lt;&gt;0,I167&lt;&gt;0),C167=0,H167=0),"NEW",""))</f>
        <v/>
      </c>
    </row>
    <row r="168" customFormat="false" ht="15" hidden="false" customHeight="true" outlineLevel="0" collapsed="false">
      <c r="A168" s="8" t="s">
        <v>316</v>
      </c>
      <c r="B168" s="8" t="str">
        <f aca="false">IFERROR(INDEX('Source NetSuite'!$B:$B,MATCH($A168,'Source NetSuite'!$A:$A,0)),"")</f>
        <v>גרבי נוחות קיץ אפור</v>
      </c>
      <c r="C168" s="9" t="n">
        <f aca="false">SUMIF('Source NetSuite'!$A:$A,$A168,'Source NetSuite'!$C:$C)</f>
        <v>45</v>
      </c>
      <c r="D168" s="9" t="n">
        <f aca="false">SUMIF('Source NetSuite'!$A:$A,$A168,'Source NetSuite'!$E:$E)</f>
        <v>7</v>
      </c>
      <c r="E168" s="9" t="n">
        <f aca="false">D168*$J$5</f>
        <v>8.84210526315789</v>
      </c>
      <c r="F168" s="9" t="n">
        <f aca="false">E168-C168</f>
        <v>-36.1578947368421</v>
      </c>
      <c r="G168" s="10" t="n">
        <f aca="false">IF(AND(C168=0,E168=0),0,IF(C168=0,"New",(E168-C168)/C168))</f>
        <v>-0.803508771929825</v>
      </c>
      <c r="H168" s="9" t="n">
        <f aca="false">SUMIF('Source NetSuite'!$A:$A,$A168,'Source NetSuite'!$D:$D)</f>
        <v>828</v>
      </c>
      <c r="I168" s="9" t="n">
        <f aca="false">SUMIF('Source NetSuite'!$A:$A,$A168,'Source NetSuite'!$F:$F)</f>
        <v>128.8</v>
      </c>
      <c r="J168" s="9" t="n">
        <f aca="false">I168*$J$5</f>
        <v>162.694736842105</v>
      </c>
      <c r="K168" s="9" t="n">
        <f aca="false">J168-H168</f>
        <v>-665.305263157895</v>
      </c>
      <c r="L168" s="10" t="n">
        <f aca="false">IF(AND(H168=0,J168=0),0,IF(H168=0,"New",(J168-H168)/H168))</f>
        <v>-0.803508771929825</v>
      </c>
      <c r="M168" s="8" t="str">
        <f aca="false">IF(AND(OR(C168&lt;&gt;0,H168&lt;&gt;0),D168=0,I168=0),"DROP",IF(AND(OR(D168&lt;&gt;0,I168&lt;&gt;0),C168=0,H168=0),"NEW",""))</f>
        <v/>
      </c>
    </row>
    <row r="169" customFormat="false" ht="15" hidden="false" customHeight="true" outlineLevel="0" collapsed="false">
      <c r="A169" s="8" t="s">
        <v>317</v>
      </c>
      <c r="B169" s="8" t="str">
        <f aca="false">IFERROR(INDEX('Source NetSuite'!$B:$B,MATCH($A169,'Source NetSuite'!$A:$A,0)),"")</f>
        <v>סד לילה לבוהן</v>
      </c>
      <c r="C169" s="9" t="n">
        <f aca="false">SUMIF('Source NetSuite'!$A:$A,$A169,'Source NetSuite'!$C:$C)</f>
        <v>14</v>
      </c>
      <c r="D169" s="9" t="n">
        <f aca="false">SUMIF('Source NetSuite'!$A:$A,$A169,'Source NetSuite'!$E:$E)</f>
        <v>0</v>
      </c>
      <c r="E169" s="9" t="n">
        <f aca="false">D169*$J$5</f>
        <v>0</v>
      </c>
      <c r="F169" s="9" t="n">
        <f aca="false">E169-C169</f>
        <v>-14</v>
      </c>
      <c r="G169" s="10" t="n">
        <f aca="false">IF(AND(C169=0,E169=0),0,IF(C169=0,"New",(E169-C169)/C169))</f>
        <v>-1</v>
      </c>
      <c r="H169" s="9" t="n">
        <f aca="false">SUMIF('Source NetSuite'!$A:$A,$A169,'Source NetSuite'!$D:$D)</f>
        <v>690.2</v>
      </c>
      <c r="I169" s="9" t="n">
        <f aca="false">SUMIF('Source NetSuite'!$A:$A,$A169,'Source NetSuite'!$F:$F)</f>
        <v>0</v>
      </c>
      <c r="J169" s="9" t="n">
        <f aca="false">I169*$J$5</f>
        <v>0</v>
      </c>
      <c r="K169" s="9" t="n">
        <f aca="false">J169-H169</f>
        <v>-690.2</v>
      </c>
      <c r="L169" s="10" t="n">
        <f aca="false">IF(AND(H169=0,J169=0),0,IF(H169=0,"New",(J169-H169)/H169))</f>
        <v>-1</v>
      </c>
      <c r="M169" s="8" t="str">
        <f aca="false">IF(AND(OR(C169&lt;&gt;0,H169&lt;&gt;0),D169=0,I169=0),"DROP",IF(AND(OR(D169&lt;&gt;0,I169&lt;&gt;0),C169=0,H169=0),"NEW",""))</f>
        <v>DROP</v>
      </c>
    </row>
    <row r="170" customFormat="false" ht="15" hidden="false" customHeight="true" outlineLevel="0" collapsed="false">
      <c r="A170" s="8" t="s">
        <v>318</v>
      </c>
      <c r="B170" s="8" t="str">
        <f aca="false">IFERROR(INDEX('Source NetSuite'!$B:$B,MATCH($A170,'Source NetSuite'!$A:$A,0)),"")</f>
        <v>גרבי נוחות חורף לבן</v>
      </c>
      <c r="C170" s="9" t="n">
        <f aca="false">SUMIF('Source NetSuite'!$A:$A,$A170,'Source NetSuite'!$C:$C)</f>
        <v>39</v>
      </c>
      <c r="D170" s="9" t="n">
        <f aca="false">SUMIF('Source NetSuite'!$A:$A,$A170,'Source NetSuite'!$E:$E)</f>
        <v>10</v>
      </c>
      <c r="E170" s="9" t="n">
        <f aca="false">D170*$J$5</f>
        <v>12.6315789473684</v>
      </c>
      <c r="F170" s="9" t="n">
        <f aca="false">E170-C170</f>
        <v>-26.3684210526316</v>
      </c>
      <c r="G170" s="10" t="n">
        <f aca="false">IF(AND(C170=0,E170=0),0,IF(C170=0,"New",(E170-C170)/C170))</f>
        <v>-0.676113360323887</v>
      </c>
      <c r="H170" s="9" t="n">
        <f aca="false">SUMIF('Source NetSuite'!$A:$A,$A170,'Source NetSuite'!$D:$D)</f>
        <v>920.4</v>
      </c>
      <c r="I170" s="9" t="n">
        <f aca="false">SUMIF('Source NetSuite'!$A:$A,$A170,'Source NetSuite'!$F:$F)</f>
        <v>236</v>
      </c>
      <c r="J170" s="9" t="n">
        <f aca="false">I170*$J$5</f>
        <v>298.105263157895</v>
      </c>
      <c r="K170" s="9" t="n">
        <f aca="false">J170-H170</f>
        <v>-622.294736842105</v>
      </c>
      <c r="L170" s="10" t="n">
        <f aca="false">IF(AND(H170=0,J170=0),0,IF(H170=0,"New",(J170-H170)/H170))</f>
        <v>-0.676113360323887</v>
      </c>
      <c r="M170" s="8" t="str">
        <f aca="false">IF(AND(OR(C170&lt;&gt;0,H170&lt;&gt;0),D170=0,I170=0),"DROP",IF(AND(OR(D170&lt;&gt;0,I170&lt;&gt;0),C170=0,H170=0),"NEW",""))</f>
        <v/>
      </c>
    </row>
    <row r="171" customFormat="false" ht="15" hidden="false" customHeight="true" outlineLevel="0" collapsed="false">
      <c r="A171" s="8" t="s">
        <v>319</v>
      </c>
      <c r="B171" s="8" t="str">
        <f aca="false">IFERROR(INDEX('Source NetSuite'!$B:$B,MATCH($A171,'Source NetSuite'!$A:$A,0)),"")</f>
        <v>חגורה אחרי ניתוח</v>
      </c>
      <c r="C171" s="9" t="n">
        <f aca="false">SUMIF('Source NetSuite'!$A:$A,$A171,'Source NetSuite'!$C:$C)</f>
        <v>8</v>
      </c>
      <c r="D171" s="9" t="n">
        <f aca="false">SUMIF('Source NetSuite'!$A:$A,$A171,'Source NetSuite'!$E:$E)</f>
        <v>2</v>
      </c>
      <c r="E171" s="9" t="n">
        <f aca="false">D171*$J$5</f>
        <v>2.52631578947368</v>
      </c>
      <c r="F171" s="9" t="n">
        <f aca="false">E171-C171</f>
        <v>-5.47368421052632</v>
      </c>
      <c r="G171" s="10" t="n">
        <f aca="false">IF(AND(C171=0,E171=0),0,IF(C171=0,"New",(E171-C171)/C171))</f>
        <v>-0.68421052631579</v>
      </c>
      <c r="H171" s="9" t="n">
        <f aca="false">SUMIF('Source NetSuite'!$A:$A,$A171,'Source NetSuite'!$D:$D)</f>
        <v>908.64</v>
      </c>
      <c r="I171" s="9" t="n">
        <f aca="false">SUMIF('Source NetSuite'!$A:$A,$A171,'Source NetSuite'!$F:$F)</f>
        <v>227.16</v>
      </c>
      <c r="J171" s="9" t="n">
        <f aca="false">I171*$J$5</f>
        <v>286.938947368421</v>
      </c>
      <c r="K171" s="9" t="n">
        <f aca="false">J171-H171</f>
        <v>-621.701052631579</v>
      </c>
      <c r="L171" s="10" t="n">
        <f aca="false">IF(AND(H171=0,J171=0),0,IF(H171=0,"New",(J171-H171)/H171))</f>
        <v>-0.68421052631579</v>
      </c>
      <c r="M171" s="8" t="str">
        <f aca="false">IF(AND(OR(C171&lt;&gt;0,H171&lt;&gt;0),D171=0,I171=0),"DROP",IF(AND(OR(D171&lt;&gt;0,I171&lt;&gt;0),C171=0,H171=0),"NEW",""))</f>
        <v/>
      </c>
    </row>
    <row r="172" customFormat="false" ht="15" hidden="false" customHeight="true" outlineLevel="0" collapsed="false">
      <c r="A172" s="8" t="s">
        <v>320</v>
      </c>
      <c r="B172" s="8" t="str">
        <f aca="false">IFERROR(INDEX('Source NetSuite'!$B:$B,MATCH($A172,'Source NetSuite'!$A:$A,0)),"")</f>
        <v>מגן קרסול סגור</v>
      </c>
      <c r="C172" s="9" t="n">
        <f aca="false">SUMIF('Source NetSuite'!$A:$A,$A172,'Source NetSuite'!$C:$C)</f>
        <v>25</v>
      </c>
      <c r="D172" s="9" t="n">
        <f aca="false">SUMIF('Source NetSuite'!$A:$A,$A172,'Source NetSuite'!$E:$E)</f>
        <v>2</v>
      </c>
      <c r="E172" s="9" t="n">
        <f aca="false">D172*$J$5</f>
        <v>2.52631578947368</v>
      </c>
      <c r="F172" s="9" t="n">
        <f aca="false">E172-C172</f>
        <v>-22.4736842105263</v>
      </c>
      <c r="G172" s="10" t="n">
        <f aca="false">IF(AND(C172=0,E172=0),0,IF(C172=0,"New",(E172-C172)/C172))</f>
        <v>-0.898947368421053</v>
      </c>
      <c r="H172" s="9" t="n">
        <f aca="false">SUMIF('Source NetSuite'!$A:$A,$A172,'Source NetSuite'!$D:$D)</f>
        <v>723.25</v>
      </c>
      <c r="I172" s="9" t="n">
        <f aca="false">SUMIF('Source NetSuite'!$A:$A,$A172,'Source NetSuite'!$F:$F)</f>
        <v>57.86</v>
      </c>
      <c r="J172" s="9" t="n">
        <f aca="false">I172*$J$5</f>
        <v>73.0863157894737</v>
      </c>
      <c r="K172" s="9" t="n">
        <f aca="false">J172-H172</f>
        <v>-650.163684210526</v>
      </c>
      <c r="L172" s="10" t="n">
        <f aca="false">IF(AND(H172=0,J172=0),0,IF(H172=0,"New",(J172-H172)/H172))</f>
        <v>-0.898947368421053</v>
      </c>
      <c r="M172" s="8" t="str">
        <f aca="false">IF(AND(OR(C172&lt;&gt;0,H172&lt;&gt;0),D172=0,I172=0),"DROP",IF(AND(OR(D172&lt;&gt;0,I172&lt;&gt;0),C172=0,H172=0),"NEW",""))</f>
        <v/>
      </c>
    </row>
    <row r="173" customFormat="false" ht="15" hidden="false" customHeight="true" outlineLevel="0" collapsed="false">
      <c r="A173" s="8" t="s">
        <v>321</v>
      </c>
      <c r="B173" s="8" t="str">
        <f aca="false">IFERROR(INDEX('Source NetSuite'!$B:$B,MATCH($A173,'Source NetSuite'!$A:$A,0)),"")</f>
        <v>גרבי נוחות חורף לבן</v>
      </c>
      <c r="C173" s="9" t="n">
        <f aca="false">SUMIF('Source NetSuite'!$A:$A,$A173,'Source NetSuite'!$C:$C)</f>
        <v>31</v>
      </c>
      <c r="D173" s="9" t="n">
        <f aca="false">SUMIF('Source NetSuite'!$A:$A,$A173,'Source NetSuite'!$E:$E)</f>
        <v>3</v>
      </c>
      <c r="E173" s="9" t="n">
        <f aca="false">D173*$J$5</f>
        <v>3.78947368421053</v>
      </c>
      <c r="F173" s="9" t="n">
        <f aca="false">E173-C173</f>
        <v>-27.2105263157895</v>
      </c>
      <c r="G173" s="10" t="n">
        <f aca="false">IF(AND(C173=0,E173=0),0,IF(C173=0,"New",(E173-C173)/C173))</f>
        <v>-0.877758913412564</v>
      </c>
      <c r="H173" s="9" t="n">
        <f aca="false">SUMIF('Source NetSuite'!$A:$A,$A173,'Source NetSuite'!$D:$D)</f>
        <v>731.6</v>
      </c>
      <c r="I173" s="9" t="n">
        <f aca="false">SUMIF('Source NetSuite'!$A:$A,$A173,'Source NetSuite'!$F:$F)</f>
        <v>70.8</v>
      </c>
      <c r="J173" s="9" t="n">
        <f aca="false">I173*$J$5</f>
        <v>89.4315789473684</v>
      </c>
      <c r="K173" s="9" t="n">
        <f aca="false">J173-H173</f>
        <v>-642.168421052632</v>
      </c>
      <c r="L173" s="10" t="n">
        <f aca="false">IF(AND(H173=0,J173=0),0,IF(H173=0,"New",(J173-H173)/H173))</f>
        <v>-0.877758913412564</v>
      </c>
      <c r="M173" s="8" t="str">
        <f aca="false">IF(AND(OR(C173&lt;&gt;0,H173&lt;&gt;0),D173=0,I173=0),"DROP",IF(AND(OR(D173&lt;&gt;0,I173&lt;&gt;0),C173=0,H173=0),"NEW",""))</f>
        <v/>
      </c>
    </row>
    <row r="174" customFormat="false" ht="15" hidden="false" customHeight="true" outlineLevel="0" collapsed="false">
      <c r="A174" s="8" t="s">
        <v>322</v>
      </c>
      <c r="B174" s="8" t="str">
        <f aca="false">IFERROR(INDEX('Source NetSuite'!$B:$B,MATCH($A174,'Source NetSuite'!$A:$A,0)),"")</f>
        <v>גרבי נוחות קיץ לבן</v>
      </c>
      <c r="C174" s="9" t="n">
        <f aca="false">SUMIF('Source NetSuite'!$A:$A,$A174,'Source NetSuite'!$C:$C)</f>
        <v>49</v>
      </c>
      <c r="D174" s="9" t="n">
        <f aca="false">SUMIF('Source NetSuite'!$A:$A,$A174,'Source NetSuite'!$E:$E)</f>
        <v>14</v>
      </c>
      <c r="E174" s="9" t="n">
        <f aca="false">D174*$J$5</f>
        <v>17.6842105263158</v>
      </c>
      <c r="F174" s="9" t="n">
        <f aca="false">E174-C174</f>
        <v>-31.3157894736842</v>
      </c>
      <c r="G174" s="10" t="n">
        <f aca="false">IF(AND(C174=0,E174=0),0,IF(C174=0,"New",(E174-C174)/C174))</f>
        <v>-0.639097744360902</v>
      </c>
      <c r="H174" s="9" t="n">
        <f aca="false">SUMIF('Source NetSuite'!$A:$A,$A174,'Source NetSuite'!$D:$D)</f>
        <v>901.6</v>
      </c>
      <c r="I174" s="9" t="n">
        <f aca="false">SUMIF('Source NetSuite'!$A:$A,$A174,'Source NetSuite'!$F:$F)</f>
        <v>257.6</v>
      </c>
      <c r="J174" s="9" t="n">
        <f aca="false">I174*$J$5</f>
        <v>325.389473684211</v>
      </c>
      <c r="K174" s="9" t="n">
        <f aca="false">J174-H174</f>
        <v>-576.21052631579</v>
      </c>
      <c r="L174" s="10" t="n">
        <f aca="false">IF(AND(H174=0,J174=0),0,IF(H174=0,"New",(J174-H174)/H174))</f>
        <v>-0.639097744360902</v>
      </c>
      <c r="M174" s="8" t="str">
        <f aca="false">IF(AND(OR(C174&lt;&gt;0,H174&lt;&gt;0),D174=0,I174=0),"DROP",IF(AND(OR(D174&lt;&gt;0,I174&lt;&gt;0),C174=0,H174=0),"NEW",""))</f>
        <v/>
      </c>
    </row>
    <row r="175" customFormat="false" ht="15" hidden="false" customHeight="true" outlineLevel="0" collapsed="false">
      <c r="A175" s="8" t="s">
        <v>323</v>
      </c>
      <c r="B175" s="8" t="str">
        <f aca="false">IFERROR(INDEX('Source NetSuite'!$B:$B,MATCH($A175,'Source NetSuite'!$A:$A,0)),"")</f>
        <v>ריפוד סיליקון לעקב אחורי</v>
      </c>
      <c r="C175" s="9" t="n">
        <f aca="false">SUMIF('Source NetSuite'!$A:$A,$A175,'Source NetSuite'!$C:$C)</f>
        <v>59</v>
      </c>
      <c r="D175" s="9" t="n">
        <f aca="false">SUMIF('Source NetSuite'!$A:$A,$A175,'Source NetSuite'!$E:$E)</f>
        <v>19</v>
      </c>
      <c r="E175" s="9" t="n">
        <f aca="false">D175*$J$5</f>
        <v>24</v>
      </c>
      <c r="F175" s="9" t="n">
        <f aca="false">E175-C175</f>
        <v>-35</v>
      </c>
      <c r="G175" s="10" t="n">
        <f aca="false">IF(AND(C175=0,E175=0),0,IF(C175=0,"New",(E175-C175)/C175))</f>
        <v>-0.593220338983051</v>
      </c>
      <c r="H175" s="9" t="n">
        <f aca="false">SUMIF('Source NetSuite'!$A:$A,$A175,'Source NetSuite'!$D:$D)</f>
        <v>938.69</v>
      </c>
      <c r="I175" s="9" t="n">
        <f aca="false">SUMIF('Source NetSuite'!$A:$A,$A175,'Source NetSuite'!$F:$F)</f>
        <v>302.29</v>
      </c>
      <c r="J175" s="9" t="n">
        <f aca="false">I175*$J$5</f>
        <v>381.84</v>
      </c>
      <c r="K175" s="9" t="n">
        <f aca="false">J175-H175</f>
        <v>-556.85</v>
      </c>
      <c r="L175" s="10" t="n">
        <f aca="false">IF(AND(H175=0,J175=0),0,IF(H175=0,"New",(J175-H175)/H175))</f>
        <v>-0.593220338983051</v>
      </c>
      <c r="M175" s="8" t="str">
        <f aca="false">IF(AND(OR(C175&lt;&gt;0,H175&lt;&gt;0),D175=0,I175=0),"DROP",IF(AND(OR(D175&lt;&gt;0,I175&lt;&gt;0),C175=0,H175=0),"NEW",""))</f>
        <v/>
      </c>
    </row>
    <row r="176" customFormat="false" ht="15" hidden="false" customHeight="true" outlineLevel="0" collapsed="false">
      <c r="A176" s="8" t="s">
        <v>324</v>
      </c>
      <c r="B176" s="8" t="str">
        <f aca="false">IFERROR(INDEX('Source NetSuite'!$B:$B,MATCH($A176,'Source NetSuite'!$A:$A,0)),"")</f>
        <v>URIEL STRAP4U PINK S-M</v>
      </c>
      <c r="C176" s="9" t="n">
        <f aca="false">SUMIF('Source NetSuite'!$A:$A,$A176,'Source NetSuite'!$C:$C)</f>
        <v>54</v>
      </c>
      <c r="D176" s="9" t="n">
        <f aca="false">SUMIF('Source NetSuite'!$A:$A,$A176,'Source NetSuite'!$E:$E)</f>
        <v>-3</v>
      </c>
      <c r="E176" s="9" t="n">
        <f aca="false">D176*$J$5</f>
        <v>-3.78947368421053</v>
      </c>
      <c r="F176" s="9" t="n">
        <f aca="false">E176-C176</f>
        <v>-57.7894736842105</v>
      </c>
      <c r="G176" s="10" t="n">
        <f aca="false">IF(AND(C176=0,E176=0),0,IF(C176=0,"New",(E176-C176)/C176))</f>
        <v>-1.07017543859649</v>
      </c>
      <c r="H176" s="9" t="n">
        <f aca="false">SUMIF('Source NetSuite'!$A:$A,$A176,'Source NetSuite'!$D:$D)</f>
        <v>594</v>
      </c>
      <c r="I176" s="9" t="n">
        <f aca="false">SUMIF('Source NetSuite'!$A:$A,$A176,'Source NetSuite'!$F:$F)</f>
        <v>-33</v>
      </c>
      <c r="J176" s="9" t="n">
        <f aca="false">I176*$J$5</f>
        <v>-41.6842105263158</v>
      </c>
      <c r="K176" s="9" t="n">
        <f aca="false">J176-H176</f>
        <v>-635.684210526316</v>
      </c>
      <c r="L176" s="10" t="n">
        <f aca="false">IF(AND(H176=0,J176=0),0,IF(H176=0,"New",(J176-H176)/H176))</f>
        <v>-1.07017543859649</v>
      </c>
      <c r="M176" s="8" t="str">
        <f aca="false">IF(AND(OR(C176&lt;&gt;0,H176&lt;&gt;0),D176=0,I176=0),"DROP",IF(AND(OR(D176&lt;&gt;0,I176&lt;&gt;0),C176=0,H176=0),"NEW",""))</f>
        <v/>
      </c>
    </row>
    <row r="177" customFormat="false" ht="15" hidden="false" customHeight="true" outlineLevel="0" collapsed="false">
      <c r="A177" s="8" t="s">
        <v>325</v>
      </c>
      <c r="B177" s="8" t="str">
        <f aca="false">IFERROR(INDEX('Source NetSuite'!$B:$B,MATCH($A177,'Source NetSuite'!$A:$A,0)),"")</f>
        <v>גרבי נוחות קיץ לבן</v>
      </c>
      <c r="C177" s="9" t="n">
        <f aca="false">SUMIF('Source NetSuite'!$A:$A,$A177,'Source NetSuite'!$C:$C)</f>
        <v>50</v>
      </c>
      <c r="D177" s="9" t="n">
        <f aca="false">SUMIF('Source NetSuite'!$A:$A,$A177,'Source NetSuite'!$E:$E)</f>
        <v>20</v>
      </c>
      <c r="E177" s="9" t="n">
        <f aca="false">D177*$J$5</f>
        <v>25.2631578947368</v>
      </c>
      <c r="F177" s="9" t="n">
        <f aca="false">E177-C177</f>
        <v>-24.7368421052632</v>
      </c>
      <c r="G177" s="10" t="n">
        <f aca="false">IF(AND(C177=0,E177=0),0,IF(C177=0,"New",(E177-C177)/C177))</f>
        <v>-0.494736842105263</v>
      </c>
      <c r="H177" s="9" t="n">
        <f aca="false">SUMIF('Source NetSuite'!$A:$A,$A177,'Source NetSuite'!$D:$D)</f>
        <v>920</v>
      </c>
      <c r="I177" s="9" t="n">
        <f aca="false">SUMIF('Source NetSuite'!$A:$A,$A177,'Source NetSuite'!$F:$F)</f>
        <v>368</v>
      </c>
      <c r="J177" s="9" t="n">
        <f aca="false">I177*$J$5</f>
        <v>464.842105263158</v>
      </c>
      <c r="K177" s="9" t="n">
        <f aca="false">J177-H177</f>
        <v>-455.157894736842</v>
      </c>
      <c r="L177" s="10" t="n">
        <f aca="false">IF(AND(H177=0,J177=0),0,IF(H177=0,"New",(J177-H177)/H177))</f>
        <v>-0.494736842105263</v>
      </c>
      <c r="M177" s="8" t="str">
        <f aca="false">IF(AND(OR(C177&lt;&gt;0,H177&lt;&gt;0),D177=0,I177=0),"DROP",IF(AND(OR(D177&lt;&gt;0,I177&lt;&gt;0),C177=0,H177=0),"NEW",""))</f>
        <v/>
      </c>
    </row>
    <row r="178" customFormat="false" ht="15" hidden="false" customHeight="true" outlineLevel="0" collapsed="false">
      <c r="A178" s="8" t="s">
        <v>326</v>
      </c>
      <c r="B178" s="8" t="str">
        <f aca="false">IFERROR(INDEX('Source NetSuite'!$B:$B,MATCH($A178,'Source NetSuite'!$A:$A,0)),"")</f>
        <v>גרבי נוחות חורף שחור</v>
      </c>
      <c r="C178" s="9" t="n">
        <f aca="false">SUMIF('Source NetSuite'!$A:$A,$A178,'Source NetSuite'!$C:$C)</f>
        <v>40</v>
      </c>
      <c r="D178" s="9" t="n">
        <f aca="false">SUMIF('Source NetSuite'!$A:$A,$A178,'Source NetSuite'!$E:$E)</f>
        <v>17</v>
      </c>
      <c r="E178" s="9" t="n">
        <f aca="false">D178*$J$5</f>
        <v>21.4736842105263</v>
      </c>
      <c r="F178" s="9" t="n">
        <f aca="false">E178-C178</f>
        <v>-18.5263157894737</v>
      </c>
      <c r="G178" s="10" t="n">
        <f aca="false">IF(AND(C178=0,E178=0),0,IF(C178=0,"New",(E178-C178)/C178))</f>
        <v>-0.463157894736842</v>
      </c>
      <c r="H178" s="9" t="n">
        <f aca="false">SUMIF('Source NetSuite'!$A:$A,$A178,'Source NetSuite'!$D:$D)</f>
        <v>944</v>
      </c>
      <c r="I178" s="9" t="n">
        <f aca="false">SUMIF('Source NetSuite'!$A:$A,$A178,'Source NetSuite'!$F:$F)</f>
        <v>401.2</v>
      </c>
      <c r="J178" s="9" t="n">
        <f aca="false">I178*$J$5</f>
        <v>506.778947368421</v>
      </c>
      <c r="K178" s="9" t="n">
        <f aca="false">J178-H178</f>
        <v>-437.221052631579</v>
      </c>
      <c r="L178" s="10" t="n">
        <f aca="false">IF(AND(H178=0,J178=0),0,IF(H178=0,"New",(J178-H178)/H178))</f>
        <v>-0.463157894736842</v>
      </c>
      <c r="M178" s="8" t="str">
        <f aca="false">IF(AND(OR(C178&lt;&gt;0,H178&lt;&gt;0),D178=0,I178=0),"DROP",IF(AND(OR(D178&lt;&gt;0,I178&lt;&gt;0),C178=0,H178=0),"NEW",""))</f>
        <v/>
      </c>
    </row>
    <row r="179" customFormat="false" ht="15" hidden="false" customHeight="true" outlineLevel="0" collapsed="false">
      <c r="A179" s="8" t="s">
        <v>327</v>
      </c>
      <c r="B179" s="8" t="str">
        <f aca="false">IFERROR(INDEX('Source NetSuite'!$B:$B,MATCH($A179,'Source NetSuite'!$A:$A,0)),"")</f>
        <v>חגורה למנותחי בית החזה</v>
      </c>
      <c r="C179" s="9" t="n">
        <f aca="false">SUMIF('Source NetSuite'!$A:$A,$A179,'Source NetSuite'!$C:$C)</f>
        <v>0</v>
      </c>
      <c r="D179" s="9" t="n">
        <f aca="false">SUMIF('Source NetSuite'!$A:$A,$A179,'Source NetSuite'!$E:$E)</f>
        <v>5</v>
      </c>
      <c r="E179" s="9" t="n">
        <f aca="false">D179*$J$5</f>
        <v>6.31578947368421</v>
      </c>
      <c r="F179" s="9" t="n">
        <f aca="false">E179-C179</f>
        <v>6.31578947368421</v>
      </c>
      <c r="G179" s="10" t="str">
        <f aca="false">IF(AND(C179=0,E179=0),0,IF(C179=0,"New",(E179-C179)/C179))</f>
        <v>New</v>
      </c>
      <c r="H179" s="9" t="n">
        <f aca="false">SUMIF('Source NetSuite'!$A:$A,$A179,'Source NetSuite'!$D:$D)</f>
        <v>0</v>
      </c>
      <c r="I179" s="9" t="n">
        <f aca="false">SUMIF('Source NetSuite'!$A:$A,$A179,'Source NetSuite'!$F:$F)</f>
        <v>535.45</v>
      </c>
      <c r="J179" s="9" t="n">
        <f aca="false">I179*$J$5</f>
        <v>676.357894736842</v>
      </c>
      <c r="K179" s="9" t="n">
        <f aca="false">J179-H179</f>
        <v>676.357894736842</v>
      </c>
      <c r="L179" s="10" t="str">
        <f aca="false">IF(AND(H179=0,J179=0),0,IF(H179=0,"New",(J179-H179)/H179))</f>
        <v>New</v>
      </c>
      <c r="M179" s="8" t="str">
        <f aca="false">IF(AND(OR(C179&lt;&gt;0,H179&lt;&gt;0),D179=0,I179=0),"DROP",IF(AND(OR(D179&lt;&gt;0,I179&lt;&gt;0),C179=0,H179=0),"NEW",""))</f>
        <v>NEW</v>
      </c>
    </row>
    <row r="180" customFormat="false" ht="15" hidden="false" customHeight="true" outlineLevel="0" collapsed="false">
      <c r="A180" s="8" t="s">
        <v>328</v>
      </c>
      <c r="B180" s="8" t="str">
        <f aca="false">IFERROR(INDEX('Source NetSuite'!$B:$B,MATCH($A180,'Source NetSuite'!$A:$A,0)),"")</f>
        <v>מגן מרפק</v>
      </c>
      <c r="C180" s="9" t="n">
        <f aca="false">SUMIF('Source NetSuite'!$A:$A,$A180,'Source NetSuite'!$C:$C)</f>
        <v>40</v>
      </c>
      <c r="D180" s="9" t="n">
        <f aca="false">SUMIF('Source NetSuite'!$A:$A,$A180,'Source NetSuite'!$E:$E)</f>
        <v>9</v>
      </c>
      <c r="E180" s="9" t="n">
        <f aca="false">D180*$J$5</f>
        <v>11.3684210526316</v>
      </c>
      <c r="F180" s="9" t="n">
        <f aca="false">E180-C180</f>
        <v>-28.6315789473684</v>
      </c>
      <c r="G180" s="10" t="n">
        <f aca="false">IF(AND(C180=0,E180=0),0,IF(C180=0,"New",(E180-C180)/C180))</f>
        <v>-0.715789473684211</v>
      </c>
      <c r="H180" s="9" t="n">
        <f aca="false">SUMIF('Source NetSuite'!$A:$A,$A180,'Source NetSuite'!$D:$D)</f>
        <v>680</v>
      </c>
      <c r="I180" s="9" t="n">
        <f aca="false">SUMIF('Source NetSuite'!$A:$A,$A180,'Source NetSuite'!$F:$F)</f>
        <v>153</v>
      </c>
      <c r="J180" s="9" t="n">
        <f aca="false">I180*$J$5</f>
        <v>193.263157894737</v>
      </c>
      <c r="K180" s="9" t="n">
        <f aca="false">J180-H180</f>
        <v>-486.736842105263</v>
      </c>
      <c r="L180" s="10" t="n">
        <f aca="false">IF(AND(H180=0,J180=0),0,IF(H180=0,"New",(J180-H180)/H180))</f>
        <v>-0.715789473684211</v>
      </c>
      <c r="M180" s="8" t="str">
        <f aca="false">IF(AND(OR(C180&lt;&gt;0,H180&lt;&gt;0),D180=0,I180=0),"DROP",IF(AND(OR(D180&lt;&gt;0,I180&lt;&gt;0),C180=0,H180=0),"NEW",""))</f>
        <v/>
      </c>
    </row>
    <row r="181" customFormat="false" ht="15" hidden="false" customHeight="true" outlineLevel="0" collapsed="false">
      <c r="A181" s="8" t="s">
        <v>329</v>
      </c>
      <c r="B181" s="8" t="str">
        <f aca="false">IFERROR(INDEX('Source NetSuite'!$B:$B,MATCH($A181,'Source NetSuite'!$A:$A,0)),"")</f>
        <v>חגורה אוורירית איטלקית</v>
      </c>
      <c r="C181" s="9" t="n">
        <f aca="false">SUMIF('Source NetSuite'!$A:$A,$A181,'Source NetSuite'!$C:$C)</f>
        <v>6</v>
      </c>
      <c r="D181" s="9" t="n">
        <f aca="false">SUMIF('Source NetSuite'!$A:$A,$A181,'Source NetSuite'!$E:$E)</f>
        <v>3</v>
      </c>
      <c r="E181" s="9" t="n">
        <f aca="false">D181*$J$5</f>
        <v>3.78947368421053</v>
      </c>
      <c r="F181" s="9" t="n">
        <f aca="false">E181-C181</f>
        <v>-2.21052631578947</v>
      </c>
      <c r="G181" s="10" t="n">
        <f aca="false">IF(AND(C181=0,E181=0),0,IF(C181=0,"New",(E181-C181)/C181))</f>
        <v>-0.368421052631579</v>
      </c>
      <c r="H181" s="9" t="n">
        <f aca="false">SUMIF('Source NetSuite'!$A:$A,$A181,'Source NetSuite'!$D:$D)</f>
        <v>1053</v>
      </c>
      <c r="I181" s="9" t="n">
        <f aca="false">SUMIF('Source NetSuite'!$A:$A,$A181,'Source NetSuite'!$F:$F)</f>
        <v>526.5</v>
      </c>
      <c r="J181" s="9" t="n">
        <f aca="false">I181*$J$5</f>
        <v>665.052631578947</v>
      </c>
      <c r="K181" s="9" t="n">
        <f aca="false">J181-H181</f>
        <v>-387.947368421053</v>
      </c>
      <c r="L181" s="10" t="n">
        <f aca="false">IF(AND(H181=0,J181=0),0,IF(H181=0,"New",(J181-H181)/H181))</f>
        <v>-0.368421052631579</v>
      </c>
      <c r="M181" s="8" t="str">
        <f aca="false">IF(AND(OR(C181&lt;&gt;0,H181&lt;&gt;0),D181=0,I181=0),"DROP",IF(AND(OR(D181&lt;&gt;0,I181&lt;&gt;0),C181=0,H181=0),"NEW",""))</f>
        <v/>
      </c>
    </row>
    <row r="182" customFormat="false" ht="15" hidden="false" customHeight="true" outlineLevel="0" collapsed="false">
      <c r="A182" s="8" t="s">
        <v>330</v>
      </c>
      <c r="B182" s="8" t="str">
        <f aca="false">IFERROR(INDEX('Source NetSuite'!$B:$B,MATCH($A182,'Source NetSuite'!$A:$A,0)),"")</f>
        <v>מיצב כתפיים</v>
      </c>
      <c r="C182" s="9" t="n">
        <f aca="false">SUMIF('Source NetSuite'!$A:$A,$A182,'Source NetSuite'!$C:$C)</f>
        <v>4</v>
      </c>
      <c r="D182" s="9" t="n">
        <f aca="false">SUMIF('Source NetSuite'!$A:$A,$A182,'Source NetSuite'!$E:$E)</f>
        <v>0</v>
      </c>
      <c r="E182" s="9" t="n">
        <f aca="false">D182*$J$5</f>
        <v>0</v>
      </c>
      <c r="F182" s="9" t="n">
        <f aca="false">E182-C182</f>
        <v>-4</v>
      </c>
      <c r="G182" s="10" t="n">
        <f aca="false">IF(AND(C182=0,E182=0),0,IF(C182=0,"New",(E182-C182)/C182))</f>
        <v>-1</v>
      </c>
      <c r="H182" s="9" t="n">
        <f aca="false">SUMIF('Source NetSuite'!$A:$A,$A182,'Source NetSuite'!$D:$D)</f>
        <v>519.24</v>
      </c>
      <c r="I182" s="9" t="n">
        <f aca="false">SUMIF('Source NetSuite'!$A:$A,$A182,'Source NetSuite'!$F:$F)</f>
        <v>0</v>
      </c>
      <c r="J182" s="9" t="n">
        <f aca="false">I182*$J$5</f>
        <v>0</v>
      </c>
      <c r="K182" s="9" t="n">
        <f aca="false">J182-H182</f>
        <v>-519.24</v>
      </c>
      <c r="L182" s="10" t="n">
        <f aca="false">IF(AND(H182=0,J182=0),0,IF(H182=0,"New",(J182-H182)/H182))</f>
        <v>-1</v>
      </c>
      <c r="M182" s="8" t="str">
        <f aca="false">IF(AND(OR(C182&lt;&gt;0,H182&lt;&gt;0),D182=0,I182=0),"DROP",IF(AND(OR(D182&lt;&gt;0,I182&lt;&gt;0),C182=0,H182=0),"NEW",""))</f>
        <v>DROP</v>
      </c>
    </row>
    <row r="183" customFormat="false" ht="15" hidden="false" customHeight="true" outlineLevel="0" collapsed="false">
      <c r="A183" s="8" t="s">
        <v>331</v>
      </c>
      <c r="B183" s="8" t="str">
        <f aca="false">IFERROR(INDEX('Source NetSuite'!$B:$B,MATCH($A183,'Source NetSuite'!$A:$A,0)),"")</f>
        <v>גרבי נוחות חורף אפור</v>
      </c>
      <c r="C183" s="9" t="n">
        <f aca="false">SUMIF('Source NetSuite'!$A:$A,$A183,'Source NetSuite'!$C:$C)</f>
        <v>31</v>
      </c>
      <c r="D183" s="9" t="n">
        <f aca="false">SUMIF('Source NetSuite'!$A:$A,$A183,'Source NetSuite'!$E:$E)</f>
        <v>9</v>
      </c>
      <c r="E183" s="9" t="n">
        <f aca="false">D183*$J$5</f>
        <v>11.3684210526316</v>
      </c>
      <c r="F183" s="9" t="n">
        <f aca="false">E183-C183</f>
        <v>-19.6315789473684</v>
      </c>
      <c r="G183" s="10" t="n">
        <f aca="false">IF(AND(C183=0,E183=0),0,IF(C183=0,"New",(E183-C183)/C183))</f>
        <v>-0.633276740237691</v>
      </c>
      <c r="H183" s="9" t="n">
        <f aca="false">SUMIF('Source NetSuite'!$A:$A,$A183,'Source NetSuite'!$D:$D)</f>
        <v>731.6</v>
      </c>
      <c r="I183" s="9" t="n">
        <f aca="false">SUMIF('Source NetSuite'!$A:$A,$A183,'Source NetSuite'!$F:$F)</f>
        <v>212.4</v>
      </c>
      <c r="J183" s="9" t="n">
        <f aca="false">I183*$J$5</f>
        <v>268.294736842105</v>
      </c>
      <c r="K183" s="9" t="n">
        <f aca="false">J183-H183</f>
        <v>-463.305263157895</v>
      </c>
      <c r="L183" s="10" t="n">
        <f aca="false">IF(AND(H183=0,J183=0),0,IF(H183=0,"New",(J183-H183)/H183))</f>
        <v>-0.633276740237691</v>
      </c>
      <c r="M183" s="8" t="str">
        <f aca="false">IF(AND(OR(C183&lt;&gt;0,H183&lt;&gt;0),D183=0,I183=0),"DROP",IF(AND(OR(D183&lt;&gt;0,I183&lt;&gt;0),C183=0,H183=0),"NEW",""))</f>
        <v/>
      </c>
    </row>
    <row r="184" customFormat="false" ht="15" hidden="false" customHeight="true" outlineLevel="0" collapsed="false">
      <c r="A184" s="8" t="s">
        <v>332</v>
      </c>
      <c r="B184" s="8" t="str">
        <f aca="false">IFERROR(INDEX('Source NetSuite'!$B:$B,MATCH($A184,'Source NetSuite'!$A:$A,0)),"")</f>
        <v>חגורת שבר לצד שמאל</v>
      </c>
      <c r="C184" s="9" t="n">
        <f aca="false">SUMIF('Source NetSuite'!$A:$A,$A184,'Source NetSuite'!$C:$C)</f>
        <v>4</v>
      </c>
      <c r="D184" s="9" t="n">
        <f aca="false">SUMIF('Source NetSuite'!$A:$A,$A184,'Source NetSuite'!$E:$E)</f>
        <v>0</v>
      </c>
      <c r="E184" s="9" t="n">
        <f aca="false">D184*$J$5</f>
        <v>0</v>
      </c>
      <c r="F184" s="9" t="n">
        <f aca="false">E184-C184</f>
        <v>-4</v>
      </c>
      <c r="G184" s="10" t="n">
        <f aca="false">IF(AND(C184=0,E184=0),0,IF(C184=0,"New",(E184-C184)/C184))</f>
        <v>-1</v>
      </c>
      <c r="H184" s="9" t="n">
        <f aca="false">SUMIF('Source NetSuite'!$A:$A,$A184,'Source NetSuite'!$D:$D)</f>
        <v>506.28</v>
      </c>
      <c r="I184" s="9" t="n">
        <f aca="false">SUMIF('Source NetSuite'!$A:$A,$A184,'Source NetSuite'!$F:$F)</f>
        <v>0</v>
      </c>
      <c r="J184" s="9" t="n">
        <f aca="false">I184*$J$5</f>
        <v>0</v>
      </c>
      <c r="K184" s="9" t="n">
        <f aca="false">J184-H184</f>
        <v>-506.28</v>
      </c>
      <c r="L184" s="10" t="n">
        <f aca="false">IF(AND(H184=0,J184=0),0,IF(H184=0,"New",(J184-H184)/H184))</f>
        <v>-1</v>
      </c>
      <c r="M184" s="8" t="str">
        <f aca="false">IF(AND(OR(C184&lt;&gt;0,H184&lt;&gt;0),D184=0,I184=0),"DROP",IF(AND(OR(D184&lt;&gt;0,I184&lt;&gt;0),C184=0,H184=0),"NEW",""))</f>
        <v>DROP</v>
      </c>
    </row>
    <row r="185" customFormat="false" ht="15" hidden="false" customHeight="true" outlineLevel="0" collapsed="false">
      <c r="A185" s="8" t="s">
        <v>333</v>
      </c>
      <c r="B185" s="8" t="str">
        <f aca="false">IFERROR(INDEX('Source NetSuite'!$B:$B,MATCH($A185,'Source NetSuite'!$A:$A,0)),"")</f>
        <v>חגורה אחרי ניתוח</v>
      </c>
      <c r="C185" s="9" t="n">
        <f aca="false">SUMIF('Source NetSuite'!$A:$A,$A185,'Source NetSuite'!$C:$C)</f>
        <v>3</v>
      </c>
      <c r="D185" s="9" t="n">
        <f aca="false">SUMIF('Source NetSuite'!$A:$A,$A185,'Source NetSuite'!$E:$E)</f>
        <v>-1</v>
      </c>
      <c r="E185" s="9" t="n">
        <f aca="false">D185*$J$5</f>
        <v>-1.26315789473684</v>
      </c>
      <c r="F185" s="9" t="n">
        <f aca="false">E185-C185</f>
        <v>-4.26315789473684</v>
      </c>
      <c r="G185" s="10" t="n">
        <f aca="false">IF(AND(C185=0,E185=0),0,IF(C185=0,"New",(E185-C185)/C185))</f>
        <v>-1.42105263157895</v>
      </c>
      <c r="H185" s="9" t="n">
        <f aca="false">SUMIF('Source NetSuite'!$A:$A,$A185,'Source NetSuite'!$D:$D)</f>
        <v>340.74</v>
      </c>
      <c r="I185" s="9" t="n">
        <f aca="false">SUMIF('Source NetSuite'!$A:$A,$A185,'Source NetSuite'!$F:$F)</f>
        <v>-113.58</v>
      </c>
      <c r="J185" s="9" t="n">
        <f aca="false">I185*$J$5</f>
        <v>-143.469473684211</v>
      </c>
      <c r="K185" s="9" t="n">
        <f aca="false">J185-H185</f>
        <v>-484.209473684211</v>
      </c>
      <c r="L185" s="10" t="n">
        <f aca="false">IF(AND(H185=0,J185=0),0,IF(H185=0,"New",(J185-H185)/H185))</f>
        <v>-1.42105263157895</v>
      </c>
      <c r="M185" s="8" t="str">
        <f aca="false">IF(AND(OR(C185&lt;&gt;0,H185&lt;&gt;0),D185=0,I185=0),"DROP",IF(AND(OR(D185&lt;&gt;0,I185&lt;&gt;0),C185=0,H185=0),"NEW",""))</f>
        <v/>
      </c>
    </row>
    <row r="186" customFormat="false" ht="15" hidden="false" customHeight="true" outlineLevel="0" collapsed="false">
      <c r="A186" s="8" t="s">
        <v>334</v>
      </c>
      <c r="B186" s="8" t="str">
        <f aca="false">IFERROR(INDEX('Source NetSuite'!$B:$B,MATCH($A186,'Source NetSuite'!$A:$A,0)),"")</f>
        <v>מדרס מטטרזלי</v>
      </c>
      <c r="C186" s="9" t="n">
        <f aca="false">SUMIF('Source NetSuite'!$A:$A,$A186,'Source NetSuite'!$C:$C)</f>
        <v>38</v>
      </c>
      <c r="D186" s="9" t="n">
        <f aca="false">SUMIF('Source NetSuite'!$A:$A,$A186,'Source NetSuite'!$E:$E)</f>
        <v>10</v>
      </c>
      <c r="E186" s="9" t="n">
        <f aca="false">D186*$J$5</f>
        <v>12.6315789473684</v>
      </c>
      <c r="F186" s="9" t="n">
        <f aca="false">E186-C186</f>
        <v>-25.3684210526316</v>
      </c>
      <c r="G186" s="10" t="n">
        <f aca="false">IF(AND(C186=0,E186=0),0,IF(C186=0,"New",(E186-C186)/C186))</f>
        <v>-0.667590027700831</v>
      </c>
      <c r="H186" s="9" t="n">
        <f aca="false">SUMIF('Source NetSuite'!$A:$A,$A186,'Source NetSuite'!$D:$D)</f>
        <v>615.6</v>
      </c>
      <c r="I186" s="9" t="n">
        <f aca="false">SUMIF('Source NetSuite'!$A:$A,$A186,'Source NetSuite'!$F:$F)</f>
        <v>162</v>
      </c>
      <c r="J186" s="9" t="n">
        <f aca="false">I186*$J$5</f>
        <v>204.631578947368</v>
      </c>
      <c r="K186" s="9" t="n">
        <f aca="false">J186-H186</f>
        <v>-410.968421052632</v>
      </c>
      <c r="L186" s="10" t="n">
        <f aca="false">IF(AND(H186=0,J186=0),0,IF(H186=0,"New",(J186-H186)/H186))</f>
        <v>-0.667590027700831</v>
      </c>
      <c r="M186" s="8" t="str">
        <f aca="false">IF(AND(OR(C186&lt;&gt;0,H186&lt;&gt;0),D186=0,I186=0),"DROP",IF(AND(OR(D186&lt;&gt;0,I186&lt;&gt;0),C186=0,H186=0),"NEW",""))</f>
        <v/>
      </c>
    </row>
    <row r="187" customFormat="false" ht="15" hidden="false" customHeight="true" outlineLevel="0" collapsed="false">
      <c r="A187" s="8" t="s">
        <v>335</v>
      </c>
      <c r="B187" s="8" t="str">
        <f aca="false">IFERROR(INDEX('Source NetSuite'!$B:$B,MATCH($A187,'Source NetSuite'!$A:$A,0)),"")</f>
        <v>גרבי נוחות קיץ אפור</v>
      </c>
      <c r="C187" s="9" t="n">
        <f aca="false">SUMIF('Source NetSuite'!$A:$A,$A187,'Source NetSuite'!$C:$C)</f>
        <v>28</v>
      </c>
      <c r="D187" s="9" t="n">
        <f aca="false">SUMIF('Source NetSuite'!$A:$A,$A187,'Source NetSuite'!$E:$E)</f>
        <v>4</v>
      </c>
      <c r="E187" s="9" t="n">
        <f aca="false">D187*$J$5</f>
        <v>5.05263157894737</v>
      </c>
      <c r="F187" s="9" t="n">
        <f aca="false">E187-C187</f>
        <v>-22.9473684210526</v>
      </c>
      <c r="G187" s="10" t="n">
        <f aca="false">IF(AND(C187=0,E187=0),0,IF(C187=0,"New",(E187-C187)/C187))</f>
        <v>-0.819548872180451</v>
      </c>
      <c r="H187" s="9" t="n">
        <f aca="false">SUMIF('Source NetSuite'!$A:$A,$A187,'Source NetSuite'!$D:$D)</f>
        <v>515.2</v>
      </c>
      <c r="I187" s="9" t="n">
        <f aca="false">SUMIF('Source NetSuite'!$A:$A,$A187,'Source NetSuite'!$F:$F)</f>
        <v>73.6</v>
      </c>
      <c r="J187" s="9" t="n">
        <f aca="false">I187*$J$5</f>
        <v>92.9684210526316</v>
      </c>
      <c r="K187" s="9" t="n">
        <f aca="false">J187-H187</f>
        <v>-422.231578947368</v>
      </c>
      <c r="L187" s="10" t="n">
        <f aca="false">IF(AND(H187=0,J187=0),0,IF(H187=0,"New",(J187-H187)/H187))</f>
        <v>-0.819548872180451</v>
      </c>
      <c r="M187" s="8" t="str">
        <f aca="false">IF(AND(OR(C187&lt;&gt;0,H187&lt;&gt;0),D187=0,I187=0),"DROP",IF(AND(OR(D187&lt;&gt;0,I187&lt;&gt;0),C187=0,H187=0),"NEW",""))</f>
        <v/>
      </c>
    </row>
    <row r="188" customFormat="false" ht="15" hidden="false" customHeight="true" outlineLevel="0" collapsed="false">
      <c r="A188" s="8" t="s">
        <v>336</v>
      </c>
      <c r="B188" s="8" t="str">
        <f aca="false">IFERROR(INDEX('Source NetSuite'!$B:$B,MATCH($A188,'Source NetSuite'!$A:$A,0)),"")</f>
        <v>מ.ברך ארוך+כ. סיל.+ציר D</v>
      </c>
      <c r="C188" s="9" t="n">
        <f aca="false">SUMIF('Source NetSuite'!$A:$A,$A188,'Source NetSuite'!$C:$C)</f>
        <v>-1</v>
      </c>
      <c r="D188" s="9" t="n">
        <f aca="false">SUMIF('Source NetSuite'!$A:$A,$A188,'Source NetSuite'!$E:$E)</f>
        <v>0</v>
      </c>
      <c r="E188" s="9" t="n">
        <f aca="false">D188*$J$5</f>
        <v>0</v>
      </c>
      <c r="F188" s="9" t="n">
        <f aca="false">E188-C188</f>
        <v>1</v>
      </c>
      <c r="G188" s="10" t="n">
        <f aca="false">IF(AND(C188=0,E188=0),0,IF(C188=0,"New",(E188-C188)/C188))</f>
        <v>-1</v>
      </c>
      <c r="H188" s="9" t="n">
        <f aca="false">SUMIF('Source NetSuite'!$A:$A,$A188,'Source NetSuite'!$D:$D)</f>
        <v>-441.17</v>
      </c>
      <c r="I188" s="9" t="n">
        <f aca="false">SUMIF('Source NetSuite'!$A:$A,$A188,'Source NetSuite'!$F:$F)</f>
        <v>0</v>
      </c>
      <c r="J188" s="9" t="n">
        <f aca="false">I188*$J$5</f>
        <v>0</v>
      </c>
      <c r="K188" s="9" t="n">
        <f aca="false">J188-H188</f>
        <v>441.17</v>
      </c>
      <c r="L188" s="10" t="n">
        <f aca="false">IF(AND(H188=0,J188=0),0,IF(H188=0,"New",(J188-H188)/H188))</f>
        <v>-1</v>
      </c>
      <c r="M188" s="8" t="str">
        <f aca="false">IF(AND(OR(C188&lt;&gt;0,H188&lt;&gt;0),D188=0,I188=0),"DROP",IF(AND(OR(D188&lt;&gt;0,I188&lt;&gt;0),C188=0,H188=0),"NEW",""))</f>
        <v>DROP</v>
      </c>
    </row>
    <row r="189" customFormat="false" ht="15" hidden="false" customHeight="true" outlineLevel="0" collapsed="false">
      <c r="A189" s="8" t="s">
        <v>337</v>
      </c>
      <c r="B189" s="8" t="str">
        <f aca="false">IFERROR(INDEX('Source NetSuite'!$B:$B,MATCH($A189,'Source NetSuite'!$A:$A,0)),"")</f>
        <v>URIEL STRAP4U TR L-XL</v>
      </c>
      <c r="C189" s="9" t="n">
        <f aca="false">SUMIF('Source NetSuite'!$A:$A,$A189,'Source NetSuite'!$C:$C)</f>
        <v>36</v>
      </c>
      <c r="D189" s="9" t="n">
        <f aca="false">SUMIF('Source NetSuite'!$A:$A,$A189,'Source NetSuite'!$E:$E)</f>
        <v>-3</v>
      </c>
      <c r="E189" s="9" t="n">
        <f aca="false">D189*$J$5</f>
        <v>-3.78947368421053</v>
      </c>
      <c r="F189" s="9" t="n">
        <f aca="false">E189-C189</f>
        <v>-39.7894736842105</v>
      </c>
      <c r="G189" s="10" t="n">
        <f aca="false">IF(AND(C189=0,E189=0),0,IF(C189=0,"New",(E189-C189)/C189))</f>
        <v>-1.10526315789474</v>
      </c>
      <c r="H189" s="9" t="n">
        <f aca="false">SUMIF('Source NetSuite'!$A:$A,$A189,'Source NetSuite'!$D:$D)</f>
        <v>396</v>
      </c>
      <c r="I189" s="9" t="n">
        <f aca="false">SUMIF('Source NetSuite'!$A:$A,$A189,'Source NetSuite'!$F:$F)</f>
        <v>-33</v>
      </c>
      <c r="J189" s="9" t="n">
        <f aca="false">I189*$J$5</f>
        <v>-41.6842105263158</v>
      </c>
      <c r="K189" s="9" t="n">
        <f aca="false">J189-H189</f>
        <v>-437.684210526316</v>
      </c>
      <c r="L189" s="10" t="n">
        <f aca="false">IF(AND(H189=0,J189=0),0,IF(H189=0,"New",(J189-H189)/H189))</f>
        <v>-1.10526315789474</v>
      </c>
      <c r="M189" s="8" t="str">
        <f aca="false">IF(AND(OR(C189&lt;&gt;0,H189&lt;&gt;0),D189=0,I189=0),"DROP",IF(AND(OR(D189&lt;&gt;0,I189&lt;&gt;0),C189=0,H189=0),"NEW",""))</f>
        <v/>
      </c>
    </row>
    <row r="190" customFormat="false" ht="15" hidden="false" customHeight="true" outlineLevel="0" collapsed="false">
      <c r="A190" s="8" t="s">
        <v>338</v>
      </c>
      <c r="B190" s="8" t="str">
        <f aca="false">IFERROR(INDEX('Source NetSuite'!$B:$B,MATCH($A190,'Source NetSuite'!$A:$A,0)),"")</f>
        <v>גרבי נוחות חורף שחור</v>
      </c>
      <c r="C190" s="9" t="n">
        <f aca="false">SUMIF('Source NetSuite'!$A:$A,$A190,'Source NetSuite'!$C:$C)</f>
        <v>43</v>
      </c>
      <c r="D190" s="9" t="n">
        <f aca="false">SUMIF('Source NetSuite'!$A:$A,$A190,'Source NetSuite'!$E:$E)</f>
        <v>60</v>
      </c>
      <c r="E190" s="9" t="n">
        <f aca="false">D190*$J$5</f>
        <v>75.7894736842105</v>
      </c>
      <c r="F190" s="9" t="n">
        <f aca="false">E190-C190</f>
        <v>32.7894736842105</v>
      </c>
      <c r="G190" s="10" t="n">
        <f aca="false">IF(AND(C190=0,E190=0),0,IF(C190=0,"New",(E190-C190)/C190))</f>
        <v>0.762545899632803</v>
      </c>
      <c r="H190" s="9" t="n">
        <f aca="false">SUMIF('Source NetSuite'!$A:$A,$A190,'Source NetSuite'!$D:$D)</f>
        <v>1014.8</v>
      </c>
      <c r="I190" s="9" t="n">
        <f aca="false">SUMIF('Source NetSuite'!$A:$A,$A190,'Source NetSuite'!$F:$F)</f>
        <v>1416</v>
      </c>
      <c r="J190" s="9" t="n">
        <f aca="false">I190*$J$5</f>
        <v>1788.63157894737</v>
      </c>
      <c r="K190" s="9" t="n">
        <f aca="false">J190-H190</f>
        <v>773.831578947368</v>
      </c>
      <c r="L190" s="10" t="n">
        <f aca="false">IF(AND(H190=0,J190=0),0,IF(H190=0,"New",(J190-H190)/H190))</f>
        <v>0.762545899632803</v>
      </c>
      <c r="M190" s="8" t="str">
        <f aca="false">IF(AND(OR(C190&lt;&gt;0,H190&lt;&gt;0),D190=0,I190=0),"DROP",IF(AND(OR(D190&lt;&gt;0,I190&lt;&gt;0),C190=0,H190=0),"NEW",""))</f>
        <v/>
      </c>
    </row>
    <row r="191" customFormat="false" ht="15" hidden="false" customHeight="true" outlineLevel="0" collapsed="false">
      <c r="A191" s="8" t="s">
        <v>339</v>
      </c>
      <c r="B191" s="8" t="str">
        <f aca="false">IFERROR(INDEX('Source NetSuite'!$B:$B,MATCH($A191,'Source NetSuite'!$A:$A,0)),"")</f>
        <v>חגורת בטן עממית</v>
      </c>
      <c r="C191" s="9" t="n">
        <f aca="false">SUMIF('Source NetSuite'!$A:$A,$A191,'Source NetSuite'!$C:$C)</f>
        <v>6</v>
      </c>
      <c r="D191" s="9" t="n">
        <f aca="false">SUMIF('Source NetSuite'!$A:$A,$A191,'Source NetSuite'!$E:$E)</f>
        <v>0</v>
      </c>
      <c r="E191" s="9" t="n">
        <f aca="false">D191*$J$5</f>
        <v>0</v>
      </c>
      <c r="F191" s="9" t="n">
        <f aca="false">E191-C191</f>
        <v>-6</v>
      </c>
      <c r="G191" s="10" t="n">
        <f aca="false">IF(AND(C191=0,E191=0),0,IF(C191=0,"New",(E191-C191)/C191))</f>
        <v>-1</v>
      </c>
      <c r="H191" s="9" t="n">
        <f aca="false">SUMIF('Source NetSuite'!$A:$A,$A191,'Source NetSuite'!$D:$D)</f>
        <v>389.34</v>
      </c>
      <c r="I191" s="9" t="n">
        <f aca="false">SUMIF('Source NetSuite'!$A:$A,$A191,'Source NetSuite'!$F:$F)</f>
        <v>0</v>
      </c>
      <c r="J191" s="9" t="n">
        <f aca="false">I191*$J$5</f>
        <v>0</v>
      </c>
      <c r="K191" s="9" t="n">
        <f aca="false">J191-H191</f>
        <v>-389.34</v>
      </c>
      <c r="L191" s="10" t="n">
        <f aca="false">IF(AND(H191=0,J191=0),0,IF(H191=0,"New",(J191-H191)/H191))</f>
        <v>-1</v>
      </c>
      <c r="M191" s="8" t="str">
        <f aca="false">IF(AND(OR(C191&lt;&gt;0,H191&lt;&gt;0),D191=0,I191=0),"DROP",IF(AND(OR(D191&lt;&gt;0,I191&lt;&gt;0),C191=0,H191=0),"NEW",""))</f>
        <v>DROP</v>
      </c>
    </row>
    <row r="192" customFormat="false" ht="15" hidden="false" customHeight="true" outlineLevel="0" collapsed="false">
      <c r="A192" s="8" t="s">
        <v>340</v>
      </c>
      <c r="B192" s="8" t="str">
        <f aca="false">IFERROR(INDEX('Source NetSuite'!$B:$B,MATCH($A192,'Source NetSuite'!$A:$A,0)),"")</f>
        <v>מגן לכתף ימין/שמאל</v>
      </c>
      <c r="C192" s="9" t="n">
        <f aca="false">SUMIF('Source NetSuite'!$A:$A,$A192,'Source NetSuite'!$C:$C)</f>
        <v>9</v>
      </c>
      <c r="D192" s="9" t="n">
        <f aca="false">SUMIF('Source NetSuite'!$A:$A,$A192,'Source NetSuite'!$E:$E)</f>
        <v>6</v>
      </c>
      <c r="E192" s="9" t="n">
        <f aca="false">D192*$J$5</f>
        <v>7.57894736842105</v>
      </c>
      <c r="F192" s="9" t="n">
        <f aca="false">E192-C192</f>
        <v>-1.42105263157895</v>
      </c>
      <c r="G192" s="10" t="n">
        <f aca="false">IF(AND(C192=0,E192=0),0,IF(C192=0,"New",(E192-C192)/C192))</f>
        <v>-0.157894736842105</v>
      </c>
      <c r="H192" s="9" t="n">
        <f aca="false">SUMIF('Source NetSuite'!$A:$A,$A192,'Source NetSuite'!$D:$D)</f>
        <v>1158.39</v>
      </c>
      <c r="I192" s="9" t="n">
        <f aca="false">SUMIF('Source NetSuite'!$A:$A,$A192,'Source NetSuite'!$F:$F)</f>
        <v>772.26</v>
      </c>
      <c r="J192" s="9" t="n">
        <f aca="false">I192*$J$5</f>
        <v>975.486315789474</v>
      </c>
      <c r="K192" s="9" t="n">
        <f aca="false">J192-H192</f>
        <v>-182.903684210527</v>
      </c>
      <c r="L192" s="10" t="n">
        <f aca="false">IF(AND(H192=0,J192=0),0,IF(H192=0,"New",(J192-H192)/H192))</f>
        <v>-0.157894736842105</v>
      </c>
      <c r="M192" s="8" t="str">
        <f aca="false">IF(AND(OR(C192&lt;&gt;0,H192&lt;&gt;0),D192=0,I192=0),"DROP",IF(AND(OR(D192&lt;&gt;0,I192&lt;&gt;0),C192=0,H192=0),"NEW",""))</f>
        <v/>
      </c>
    </row>
    <row r="193" customFormat="false" ht="15" hidden="false" customHeight="true" outlineLevel="0" collapsed="false">
      <c r="A193" s="8" t="s">
        <v>341</v>
      </c>
      <c r="B193" s="8" t="str">
        <f aca="false">IFERROR(INDEX('Source NetSuite'!$B:$B,MATCH($A193,'Source NetSuite'!$A:$A,0)),"")</f>
        <v>חגורת שבר לצד ימין</v>
      </c>
      <c r="C193" s="9" t="n">
        <f aca="false">SUMIF('Source NetSuite'!$A:$A,$A193,'Source NetSuite'!$C:$C)</f>
        <v>2</v>
      </c>
      <c r="D193" s="9" t="n">
        <f aca="false">SUMIF('Source NetSuite'!$A:$A,$A193,'Source NetSuite'!$E:$E)</f>
        <v>-1</v>
      </c>
      <c r="E193" s="9" t="n">
        <f aca="false">D193*$J$5</f>
        <v>-1.26315789473684</v>
      </c>
      <c r="F193" s="9" t="n">
        <f aca="false">E193-C193</f>
        <v>-3.26315789473684</v>
      </c>
      <c r="G193" s="10" t="n">
        <f aca="false">IF(AND(C193=0,E193=0),0,IF(C193=0,"New",(E193-C193)/C193))</f>
        <v>-1.63157894736842</v>
      </c>
      <c r="H193" s="9" t="n">
        <f aca="false">SUMIF('Source NetSuite'!$A:$A,$A193,'Source NetSuite'!$D:$D)</f>
        <v>253.14</v>
      </c>
      <c r="I193" s="9" t="n">
        <f aca="false">SUMIF('Source NetSuite'!$A:$A,$A193,'Source NetSuite'!$F:$F)</f>
        <v>-126.57</v>
      </c>
      <c r="J193" s="9" t="n">
        <f aca="false">I193*$J$5</f>
        <v>-159.877894736842</v>
      </c>
      <c r="K193" s="9" t="n">
        <f aca="false">J193-H193</f>
        <v>-413.017894736842</v>
      </c>
      <c r="L193" s="10" t="n">
        <f aca="false">IF(AND(H193=0,J193=0),0,IF(H193=0,"New",(J193-H193)/H193))</f>
        <v>-1.63157894736842</v>
      </c>
      <c r="M193" s="8" t="str">
        <f aca="false">IF(AND(OR(C193&lt;&gt;0,H193&lt;&gt;0),D193=0,I193=0),"DROP",IF(AND(OR(D193&lt;&gt;0,I193&lt;&gt;0),C193=0,H193=0),"NEW",""))</f>
        <v/>
      </c>
    </row>
    <row r="194" customFormat="false" ht="15" hidden="false" customHeight="true" outlineLevel="0" collapsed="false">
      <c r="A194" s="8" t="s">
        <v>342</v>
      </c>
      <c r="B194" s="8" t="str">
        <f aca="false">IFERROR(INDEX('Source NetSuite'!$B:$B,MATCH($A194,'Source NetSuite'!$A:$A,0)),"")</f>
        <v>גרבי נוחות חורף אפור</v>
      </c>
      <c r="C194" s="9" t="n">
        <f aca="false">SUMIF('Source NetSuite'!$A:$A,$A194,'Source NetSuite'!$C:$C)</f>
        <v>25</v>
      </c>
      <c r="D194" s="9" t="n">
        <f aca="false">SUMIF('Source NetSuite'!$A:$A,$A194,'Source NetSuite'!$E:$E)</f>
        <v>9</v>
      </c>
      <c r="E194" s="9" t="n">
        <f aca="false">D194*$J$5</f>
        <v>11.3684210526316</v>
      </c>
      <c r="F194" s="9" t="n">
        <f aca="false">E194-C194</f>
        <v>-13.6315789473684</v>
      </c>
      <c r="G194" s="10" t="n">
        <f aca="false">IF(AND(C194=0,E194=0),0,IF(C194=0,"New",(E194-C194)/C194))</f>
        <v>-0.545263157894737</v>
      </c>
      <c r="H194" s="9" t="n">
        <f aca="false">SUMIF('Source NetSuite'!$A:$A,$A194,'Source NetSuite'!$D:$D)</f>
        <v>590</v>
      </c>
      <c r="I194" s="9" t="n">
        <f aca="false">SUMIF('Source NetSuite'!$A:$A,$A194,'Source NetSuite'!$F:$F)</f>
        <v>212.4</v>
      </c>
      <c r="J194" s="9" t="n">
        <f aca="false">I194*$J$5</f>
        <v>268.294736842105</v>
      </c>
      <c r="K194" s="9" t="n">
        <f aca="false">J194-H194</f>
        <v>-321.705263157895</v>
      </c>
      <c r="L194" s="10" t="n">
        <f aca="false">IF(AND(H194=0,J194=0),0,IF(H194=0,"New",(J194-H194)/H194))</f>
        <v>-0.545263157894737</v>
      </c>
      <c r="M194" s="8" t="str">
        <f aca="false">IF(AND(OR(C194&lt;&gt;0,H194&lt;&gt;0),D194=0,I194=0),"DROP",IF(AND(OR(D194&lt;&gt;0,I194&lt;&gt;0),C194=0,H194=0),"NEW",""))</f>
        <v/>
      </c>
    </row>
    <row r="195" customFormat="false" ht="15" hidden="false" customHeight="true" outlineLevel="0" collapsed="false">
      <c r="A195" s="8" t="s">
        <v>343</v>
      </c>
      <c r="B195" s="8" t="str">
        <f aca="false">IFERROR(INDEX('Source NetSuite'!$B:$B,MATCH($A195,'Source NetSuite'!$A:$A,0)),"")</f>
        <v>סד לקרסול</v>
      </c>
      <c r="C195" s="9" t="n">
        <f aca="false">SUMIF('Source NetSuite'!$A:$A,$A195,'Source NetSuite'!$C:$C)</f>
        <v>11</v>
      </c>
      <c r="D195" s="9" t="n">
        <f aca="false">SUMIF('Source NetSuite'!$A:$A,$A195,'Source NetSuite'!$E:$E)</f>
        <v>7</v>
      </c>
      <c r="E195" s="9" t="n">
        <f aca="false">D195*$J$5</f>
        <v>8.84210526315789</v>
      </c>
      <c r="F195" s="9" t="n">
        <f aca="false">E195-C195</f>
        <v>-2.15789473684211</v>
      </c>
      <c r="G195" s="10" t="n">
        <f aca="false">IF(AND(C195=0,E195=0),0,IF(C195=0,"New",(E195-C195)/C195))</f>
        <v>-0.196172248803828</v>
      </c>
      <c r="H195" s="9" t="n">
        <f aca="false">SUMIF('Source NetSuite'!$A:$A,$A195,'Source NetSuite'!$D:$D)</f>
        <v>1035.1</v>
      </c>
      <c r="I195" s="9" t="n">
        <f aca="false">SUMIF('Source NetSuite'!$A:$A,$A195,'Source NetSuite'!$F:$F)</f>
        <v>658.7</v>
      </c>
      <c r="J195" s="9" t="n">
        <f aca="false">I195*$J$5</f>
        <v>832.042105263158</v>
      </c>
      <c r="K195" s="9" t="n">
        <f aca="false">J195-H195</f>
        <v>-203.057894736842</v>
      </c>
      <c r="L195" s="10" t="n">
        <f aca="false">IF(AND(H195=0,J195=0),0,IF(H195=0,"New",(J195-H195)/H195))</f>
        <v>-0.196172248803828</v>
      </c>
      <c r="M195" s="8" t="str">
        <f aca="false">IF(AND(OR(C195&lt;&gt;0,H195&lt;&gt;0),D195=0,I195=0),"DROP",IF(AND(OR(D195&lt;&gt;0,I195&lt;&gt;0),C195=0,H195=0),"NEW",""))</f>
        <v/>
      </c>
    </row>
    <row r="196" customFormat="false" ht="15" hidden="false" customHeight="true" outlineLevel="0" collapsed="false">
      <c r="A196" s="8" t="s">
        <v>344</v>
      </c>
      <c r="B196" s="8" t="str">
        <f aca="false">IFERROR(INDEX('Source NetSuite'!$B:$B,MATCH($A196,'Source NetSuite'!$A:$A,0)),"")</f>
        <v>מגן שוק רגיל</v>
      </c>
      <c r="C196" s="9" t="n">
        <f aca="false">SUMIF('Source NetSuite'!$A:$A,$A196,'Source NetSuite'!$C:$C)</f>
        <v>1</v>
      </c>
      <c r="D196" s="9" t="n">
        <f aca="false">SUMIF('Source NetSuite'!$A:$A,$A196,'Source NetSuite'!$E:$E)</f>
        <v>6</v>
      </c>
      <c r="E196" s="9" t="n">
        <f aca="false">D196*$J$5</f>
        <v>7.57894736842105</v>
      </c>
      <c r="F196" s="9" t="n">
        <f aca="false">E196-C196</f>
        <v>6.57894736842105</v>
      </c>
      <c r="G196" s="10" t="n">
        <f aca="false">IF(AND(C196=0,E196=0),0,IF(C196=0,"New",(E196-C196)/C196))</f>
        <v>6.57894736842105</v>
      </c>
      <c r="H196" s="9" t="n">
        <f aca="false">SUMIF('Source NetSuite'!$A:$A,$A196,'Source NetSuite'!$D:$D)</f>
        <v>73.8</v>
      </c>
      <c r="I196" s="9" t="n">
        <f aca="false">SUMIF('Source NetSuite'!$A:$A,$A196,'Source NetSuite'!$F:$F)</f>
        <v>442.8</v>
      </c>
      <c r="J196" s="9" t="n">
        <f aca="false">I196*$J$5</f>
        <v>559.326315789474</v>
      </c>
      <c r="K196" s="9" t="n">
        <f aca="false">J196-H196</f>
        <v>485.526315789474</v>
      </c>
      <c r="L196" s="10" t="n">
        <f aca="false">IF(AND(H196=0,J196=0),0,IF(H196=0,"New",(J196-H196)/H196))</f>
        <v>6.57894736842105</v>
      </c>
      <c r="M196" s="8" t="str">
        <f aca="false">IF(AND(OR(C196&lt;&gt;0,H196&lt;&gt;0),D196=0,I196=0),"DROP",IF(AND(OR(D196&lt;&gt;0,I196&lt;&gt;0),C196=0,H196=0),"NEW",""))</f>
        <v/>
      </c>
    </row>
    <row r="197" customFormat="false" ht="15" hidden="false" customHeight="true" outlineLevel="0" collapsed="false">
      <c r="A197" s="8" t="s">
        <v>345</v>
      </c>
      <c r="B197" s="8" t="str">
        <f aca="false">IFERROR(INDEX('Source NetSuite'!$B:$B,MATCH($A197,'Source NetSuite'!$A:$A,0)),"")</f>
        <v>מיצב פיקה</v>
      </c>
      <c r="C197" s="9" t="n">
        <f aca="false">SUMIF('Source NetSuite'!$A:$A,$A197,'Source NetSuite'!$C:$C)</f>
        <v>-4</v>
      </c>
      <c r="D197" s="9" t="n">
        <f aca="false">SUMIF('Source NetSuite'!$A:$A,$A197,'Source NetSuite'!$E:$E)</f>
        <v>0</v>
      </c>
      <c r="E197" s="9" t="n">
        <f aca="false">D197*$J$5</f>
        <v>0</v>
      </c>
      <c r="F197" s="9" t="n">
        <f aca="false">E197-C197</f>
        <v>4</v>
      </c>
      <c r="G197" s="10" t="n">
        <f aca="false">IF(AND(C197=0,E197=0),0,IF(C197=0,"New",(E197-C197)/C197))</f>
        <v>-1</v>
      </c>
      <c r="H197" s="9" t="n">
        <f aca="false">SUMIF('Source NetSuite'!$A:$A,$A197,'Source NetSuite'!$D:$D)</f>
        <v>-329.92</v>
      </c>
      <c r="I197" s="9" t="n">
        <f aca="false">SUMIF('Source NetSuite'!$A:$A,$A197,'Source NetSuite'!$F:$F)</f>
        <v>0</v>
      </c>
      <c r="J197" s="9" t="n">
        <f aca="false">I197*$J$5</f>
        <v>0</v>
      </c>
      <c r="K197" s="9" t="n">
        <f aca="false">J197-H197</f>
        <v>329.92</v>
      </c>
      <c r="L197" s="10" t="n">
        <f aca="false">IF(AND(H197=0,J197=0),0,IF(H197=0,"New",(J197-H197)/H197))</f>
        <v>-1</v>
      </c>
      <c r="M197" s="8" t="str">
        <f aca="false">IF(AND(OR(C197&lt;&gt;0,H197&lt;&gt;0),D197=0,I197=0),"DROP",IF(AND(OR(D197&lt;&gt;0,I197&lt;&gt;0),C197=0,H197=0),"NEW",""))</f>
        <v>DROP</v>
      </c>
    </row>
    <row r="198" customFormat="false" ht="15" hidden="false" customHeight="true" outlineLevel="0" collapsed="false">
      <c r="A198" s="8" t="s">
        <v>346</v>
      </c>
      <c r="B198" s="8" t="str">
        <f aca="false">IFERROR(INDEX('Source NetSuite'!$B:$B,MATCH($A198,'Source NetSuite'!$A:$A,0)),"")</f>
        <v>חגורה למנותחי בית חזה</v>
      </c>
      <c r="C198" s="9" t="n">
        <f aca="false">SUMIF('Source NetSuite'!$A:$A,$A198,'Source NetSuite'!$C:$C)</f>
        <v>0</v>
      </c>
      <c r="D198" s="9" t="n">
        <f aca="false">SUMIF('Source NetSuite'!$A:$A,$A198,'Source NetSuite'!$E:$E)</f>
        <v>2</v>
      </c>
      <c r="E198" s="9" t="n">
        <f aca="false">D198*$J$5</f>
        <v>2.52631578947368</v>
      </c>
      <c r="F198" s="9" t="n">
        <f aca="false">E198-C198</f>
        <v>2.52631578947368</v>
      </c>
      <c r="G198" s="10" t="str">
        <f aca="false">IF(AND(C198=0,E198=0),0,IF(C198=0,"New",(E198-C198)/C198))</f>
        <v>New</v>
      </c>
      <c r="H198" s="9" t="n">
        <f aca="false">SUMIF('Source NetSuite'!$A:$A,$A198,'Source NetSuite'!$D:$D)</f>
        <v>0</v>
      </c>
      <c r="I198" s="9" t="n">
        <f aca="false">SUMIF('Source NetSuite'!$A:$A,$A198,'Source NetSuite'!$F:$F)</f>
        <v>320</v>
      </c>
      <c r="J198" s="9" t="n">
        <f aca="false">I198*$J$5</f>
        <v>404.21052631579</v>
      </c>
      <c r="K198" s="9" t="n">
        <f aca="false">J198-H198</f>
        <v>404.21052631579</v>
      </c>
      <c r="L198" s="10" t="str">
        <f aca="false">IF(AND(H198=0,J198=0),0,IF(H198=0,"New",(J198-H198)/H198))</f>
        <v>New</v>
      </c>
      <c r="M198" s="8" t="str">
        <f aca="false">IF(AND(OR(C198&lt;&gt;0,H198&lt;&gt;0),D198=0,I198=0),"DROP",IF(AND(OR(D198&lt;&gt;0,I198&lt;&gt;0),C198=0,H198=0),"NEW",""))</f>
        <v>NEW</v>
      </c>
    </row>
    <row r="199" customFormat="false" ht="15" hidden="false" customHeight="true" outlineLevel="0" collapsed="false">
      <c r="A199" s="8" t="s">
        <v>347</v>
      </c>
      <c r="B199" s="8" t="str">
        <f aca="false">IFERROR(INDEX('Source NetSuite'!$B:$B,MATCH($A199,'Source NetSuite'!$A:$A,0)),"")</f>
        <v>מגן שוק רגיל</v>
      </c>
      <c r="C199" s="9" t="n">
        <f aca="false">SUMIF('Source NetSuite'!$A:$A,$A199,'Source NetSuite'!$C:$C)</f>
        <v>0</v>
      </c>
      <c r="D199" s="9" t="n">
        <f aca="false">SUMIF('Source NetSuite'!$A:$A,$A199,'Source NetSuite'!$E:$E)</f>
        <v>4</v>
      </c>
      <c r="E199" s="9" t="n">
        <f aca="false">D199*$J$5</f>
        <v>5.05263157894737</v>
      </c>
      <c r="F199" s="9" t="n">
        <f aca="false">E199-C199</f>
        <v>5.05263157894737</v>
      </c>
      <c r="G199" s="10" t="str">
        <f aca="false">IF(AND(C199=0,E199=0),0,IF(C199=0,"New",(E199-C199)/C199))</f>
        <v>New</v>
      </c>
      <c r="H199" s="9" t="n">
        <f aca="false">SUMIF('Source NetSuite'!$A:$A,$A199,'Source NetSuite'!$D:$D)</f>
        <v>0</v>
      </c>
      <c r="I199" s="9" t="n">
        <f aca="false">SUMIF('Source NetSuite'!$A:$A,$A199,'Source NetSuite'!$F:$F)</f>
        <v>295.2</v>
      </c>
      <c r="J199" s="9" t="n">
        <f aca="false">I199*$J$5</f>
        <v>372.884210526316</v>
      </c>
      <c r="K199" s="9" t="n">
        <f aca="false">J199-H199</f>
        <v>372.884210526316</v>
      </c>
      <c r="L199" s="10" t="str">
        <f aca="false">IF(AND(H199=0,J199=0),0,IF(H199=0,"New",(J199-H199)/H199))</f>
        <v>New</v>
      </c>
      <c r="M199" s="8" t="str">
        <f aca="false">IF(AND(OR(C199&lt;&gt;0,H199&lt;&gt;0),D199=0,I199=0),"DROP",IF(AND(OR(D199&lt;&gt;0,I199&lt;&gt;0),C199=0,H199=0),"NEW",""))</f>
        <v>NEW</v>
      </c>
    </row>
    <row r="200" customFormat="false" ht="15" hidden="false" customHeight="true" outlineLevel="0" collapsed="false">
      <c r="A200" s="8" t="s">
        <v>348</v>
      </c>
      <c r="B200" s="8" t="str">
        <f aca="false">IFERROR(INDEX('Source NetSuite'!$B:$B,MATCH($A200,'Source NetSuite'!$A:$A,0)),"")</f>
        <v>סכין להחלפה</v>
      </c>
      <c r="C200" s="9" t="n">
        <f aca="false">SUMIF('Source NetSuite'!$A:$A,$A200,'Source NetSuite'!$C:$C)</f>
        <v>58</v>
      </c>
      <c r="D200" s="9" t="n">
        <f aca="false">SUMIF('Source NetSuite'!$A:$A,$A200,'Source NetSuite'!$E:$E)</f>
        <v>19</v>
      </c>
      <c r="E200" s="9" t="n">
        <f aca="false">D200*$J$5</f>
        <v>24</v>
      </c>
      <c r="F200" s="9" t="n">
        <f aca="false">E200-C200</f>
        <v>-34</v>
      </c>
      <c r="G200" s="10" t="n">
        <f aca="false">IF(AND(C200=0,E200=0),0,IF(C200=0,"New",(E200-C200)/C200))</f>
        <v>-0.586206896551724</v>
      </c>
      <c r="H200" s="9" t="n">
        <f aca="false">SUMIF('Source NetSuite'!$A:$A,$A200,'Source NetSuite'!$D:$D)</f>
        <v>394.4</v>
      </c>
      <c r="I200" s="9" t="n">
        <f aca="false">SUMIF('Source NetSuite'!$A:$A,$A200,'Source NetSuite'!$F:$F)</f>
        <v>129.2</v>
      </c>
      <c r="J200" s="9" t="n">
        <f aca="false">I200*$J$5</f>
        <v>163.2</v>
      </c>
      <c r="K200" s="9" t="n">
        <f aca="false">J200-H200</f>
        <v>-231.2</v>
      </c>
      <c r="L200" s="10" t="n">
        <f aca="false">IF(AND(H200=0,J200=0),0,IF(H200=0,"New",(J200-H200)/H200))</f>
        <v>-0.586206896551724</v>
      </c>
      <c r="M200" s="8" t="str">
        <f aca="false">IF(AND(OR(C200&lt;&gt;0,H200&lt;&gt;0),D200=0,I200=0),"DROP",IF(AND(OR(D200&lt;&gt;0,I200&lt;&gt;0),C200=0,H200=0),"NEW",""))</f>
        <v/>
      </c>
    </row>
    <row r="201" customFormat="false" ht="15" hidden="false" customHeight="true" outlineLevel="0" collapsed="false">
      <c r="A201" s="8" t="s">
        <v>349</v>
      </c>
      <c r="B201" s="8" t="str">
        <f aca="false">IFERROR(INDEX('Source NetSuite'!$B:$B,MATCH($A201,'Source NetSuite'!$A:$A,0)),"")</f>
        <v>מגן לכתף ימין/שמאל</v>
      </c>
      <c r="C201" s="9" t="n">
        <f aca="false">SUMIF('Source NetSuite'!$A:$A,$A201,'Source NetSuite'!$C:$C)</f>
        <v>1</v>
      </c>
      <c r="D201" s="9" t="n">
        <f aca="false">SUMIF('Source NetSuite'!$A:$A,$A201,'Source NetSuite'!$E:$E)</f>
        <v>3</v>
      </c>
      <c r="E201" s="9" t="n">
        <f aca="false">D201*$J$5</f>
        <v>3.78947368421053</v>
      </c>
      <c r="F201" s="9" t="n">
        <f aca="false">E201-C201</f>
        <v>2.78947368421053</v>
      </c>
      <c r="G201" s="10" t="n">
        <f aca="false">IF(AND(C201=0,E201=0),0,IF(C201=0,"New",(E201-C201)/C201))</f>
        <v>2.78947368421053</v>
      </c>
      <c r="H201" s="9" t="n">
        <f aca="false">SUMIF('Source NetSuite'!$A:$A,$A201,'Source NetSuite'!$D:$D)</f>
        <v>128.71</v>
      </c>
      <c r="I201" s="9" t="n">
        <f aca="false">SUMIF('Source NetSuite'!$A:$A,$A201,'Source NetSuite'!$F:$F)</f>
        <v>386.13</v>
      </c>
      <c r="J201" s="9" t="n">
        <f aca="false">I201*$J$5</f>
        <v>487.743157894737</v>
      </c>
      <c r="K201" s="9" t="n">
        <f aca="false">J201-H201</f>
        <v>359.033157894737</v>
      </c>
      <c r="L201" s="10" t="n">
        <f aca="false">IF(AND(H201=0,J201=0),0,IF(H201=0,"New",(J201-H201)/H201))</f>
        <v>2.78947368421053</v>
      </c>
      <c r="M201" s="8" t="str">
        <f aca="false">IF(AND(OR(C201&lt;&gt;0,H201&lt;&gt;0),D201=0,I201=0),"DROP",IF(AND(OR(D201&lt;&gt;0,I201&lt;&gt;0),C201=0,H201=0),"NEW",""))</f>
        <v/>
      </c>
    </row>
    <row r="202" customFormat="false" ht="15" hidden="false" customHeight="true" outlineLevel="0" collapsed="false">
      <c r="A202" s="8" t="s">
        <v>350</v>
      </c>
      <c r="B202" s="8" t="str">
        <f aca="false">IFERROR(INDEX('Source NetSuite'!$B:$B,MATCH($A202,'Source NetSuite'!$A:$A,0)),"")</f>
        <v>מיצב פיקה</v>
      </c>
      <c r="C202" s="9" t="n">
        <f aca="false">SUMIF('Source NetSuite'!$A:$A,$A202,'Source NetSuite'!$C:$C)</f>
        <v>-3</v>
      </c>
      <c r="D202" s="9" t="n">
        <f aca="false">SUMIF('Source NetSuite'!$A:$A,$A202,'Source NetSuite'!$E:$E)</f>
        <v>0</v>
      </c>
      <c r="E202" s="9" t="n">
        <f aca="false">D202*$J$5</f>
        <v>0</v>
      </c>
      <c r="F202" s="9" t="n">
        <f aca="false">E202-C202</f>
        <v>3</v>
      </c>
      <c r="G202" s="10" t="n">
        <f aca="false">IF(AND(C202=0,E202=0),0,IF(C202=0,"New",(E202-C202)/C202))</f>
        <v>-1</v>
      </c>
      <c r="H202" s="9" t="n">
        <f aca="false">SUMIF('Source NetSuite'!$A:$A,$A202,'Source NetSuite'!$D:$D)</f>
        <v>-247.44</v>
      </c>
      <c r="I202" s="9" t="n">
        <f aca="false">SUMIF('Source NetSuite'!$A:$A,$A202,'Source NetSuite'!$F:$F)</f>
        <v>0</v>
      </c>
      <c r="J202" s="9" t="n">
        <f aca="false">I202*$J$5</f>
        <v>0</v>
      </c>
      <c r="K202" s="9" t="n">
        <f aca="false">J202-H202</f>
        <v>247.44</v>
      </c>
      <c r="L202" s="10" t="n">
        <f aca="false">IF(AND(H202=0,J202=0),0,IF(H202=0,"New",(J202-H202)/H202))</f>
        <v>-1</v>
      </c>
      <c r="M202" s="8" t="str">
        <f aca="false">IF(AND(OR(C202&lt;&gt;0,H202&lt;&gt;0),D202=0,I202=0),"DROP",IF(AND(OR(D202&lt;&gt;0,I202&lt;&gt;0),C202=0,H202=0),"NEW",""))</f>
        <v>DROP</v>
      </c>
    </row>
    <row r="203" customFormat="false" ht="15" hidden="false" customHeight="true" outlineLevel="0" collapsed="false">
      <c r="A203" s="8" t="s">
        <v>351</v>
      </c>
      <c r="B203" s="8" t="str">
        <f aca="false">IFERROR(INDEX('Source NetSuite'!$B:$B,MATCH($A203,'Source NetSuite'!$A:$A,0)),"")</f>
        <v>גרבי נוחות חורף שחור</v>
      </c>
      <c r="C203" s="9" t="n">
        <f aca="false">SUMIF('Source NetSuite'!$A:$A,$A203,'Source NetSuite'!$C:$C)</f>
        <v>2</v>
      </c>
      <c r="D203" s="9" t="n">
        <f aca="false">SUMIF('Source NetSuite'!$A:$A,$A203,'Source NetSuite'!$E:$E)</f>
        <v>11</v>
      </c>
      <c r="E203" s="9" t="n">
        <f aca="false">D203*$J$5</f>
        <v>13.8947368421053</v>
      </c>
      <c r="F203" s="9" t="n">
        <f aca="false">E203-C203</f>
        <v>11.8947368421053</v>
      </c>
      <c r="G203" s="10" t="n">
        <f aca="false">IF(AND(C203=0,E203=0),0,IF(C203=0,"New",(E203-C203)/C203))</f>
        <v>5.94736842105263</v>
      </c>
      <c r="H203" s="9" t="n">
        <f aca="false">SUMIF('Source NetSuite'!$A:$A,$A203,'Source NetSuite'!$D:$D)</f>
        <v>47.2</v>
      </c>
      <c r="I203" s="9" t="n">
        <f aca="false">SUMIF('Source NetSuite'!$A:$A,$A203,'Source NetSuite'!$F:$F)</f>
        <v>259.6</v>
      </c>
      <c r="J203" s="9" t="n">
        <f aca="false">I203*$J$5</f>
        <v>327.915789473684</v>
      </c>
      <c r="K203" s="9" t="n">
        <f aca="false">J203-H203</f>
        <v>280.715789473684</v>
      </c>
      <c r="L203" s="10" t="n">
        <f aca="false">IF(AND(H203=0,J203=0),0,IF(H203=0,"New",(J203-H203)/H203))</f>
        <v>5.94736842105263</v>
      </c>
      <c r="M203" s="8" t="str">
        <f aca="false">IF(AND(OR(C203&lt;&gt;0,H203&lt;&gt;0),D203=0,I203=0),"DROP",IF(AND(OR(D203&lt;&gt;0,I203&lt;&gt;0),C203=0,H203=0),"NEW",""))</f>
        <v/>
      </c>
    </row>
    <row r="204" customFormat="false" ht="15" hidden="false" customHeight="true" outlineLevel="0" collapsed="false">
      <c r="A204" s="8" t="s">
        <v>352</v>
      </c>
      <c r="B204" s="8" t="str">
        <f aca="false">IFERROR(INDEX('Source NetSuite'!$B:$B,MATCH($A204,'Source NetSuite'!$A:$A,0)),"")</f>
        <v>חגורת שבר דו צדדית</v>
      </c>
      <c r="C204" s="9" t="n">
        <f aca="false">SUMIF('Source NetSuite'!$A:$A,$A204,'Source NetSuite'!$C:$C)</f>
        <v>1</v>
      </c>
      <c r="D204" s="9" t="n">
        <f aca="false">SUMIF('Source NetSuite'!$A:$A,$A204,'Source NetSuite'!$E:$E)</f>
        <v>2</v>
      </c>
      <c r="E204" s="9" t="n">
        <f aca="false">D204*$J$5</f>
        <v>2.52631578947368</v>
      </c>
      <c r="F204" s="9" t="n">
        <f aca="false">E204-C204</f>
        <v>1.52631578947368</v>
      </c>
      <c r="G204" s="10" t="n">
        <f aca="false">IF(AND(C204=0,E204=0),0,IF(C204=0,"New",(E204-C204)/C204))</f>
        <v>1.52631578947368</v>
      </c>
      <c r="H204" s="9" t="n">
        <f aca="false">SUMIF('Source NetSuite'!$A:$A,$A204,'Source NetSuite'!$D:$D)</f>
        <v>195.73</v>
      </c>
      <c r="I204" s="9" t="n">
        <f aca="false">SUMIF('Source NetSuite'!$A:$A,$A204,'Source NetSuite'!$F:$F)</f>
        <v>391.46</v>
      </c>
      <c r="J204" s="9" t="n">
        <f aca="false">I204*$J$5</f>
        <v>494.475789473684</v>
      </c>
      <c r="K204" s="9" t="n">
        <f aca="false">J204-H204</f>
        <v>298.745789473684</v>
      </c>
      <c r="L204" s="10" t="n">
        <f aca="false">IF(AND(H204=0,J204=0),0,IF(H204=0,"New",(J204-H204)/H204))</f>
        <v>1.52631578947368</v>
      </c>
      <c r="M204" s="8" t="str">
        <f aca="false">IF(AND(OR(C204&lt;&gt;0,H204&lt;&gt;0),D204=0,I204=0),"DROP",IF(AND(OR(D204&lt;&gt;0,I204&lt;&gt;0),C204=0,H204=0),"NEW",""))</f>
        <v/>
      </c>
    </row>
    <row r="205" customFormat="false" ht="15" hidden="false" customHeight="true" outlineLevel="0" collapsed="false">
      <c r="A205" s="8" t="s">
        <v>353</v>
      </c>
      <c r="B205" s="8" t="str">
        <f aca="false">IFERROR(INDEX('Source NetSuite'!$B:$B,MATCH($A205,'Source NetSuite'!$A:$A,0)),"")</f>
        <v>חגורת שבר דו צדדית</v>
      </c>
      <c r="C205" s="9" t="n">
        <f aca="false">SUMIF('Source NetSuite'!$A:$A,$A205,'Source NetSuite'!$C:$C)</f>
        <v>2</v>
      </c>
      <c r="D205" s="9" t="n">
        <f aca="false">SUMIF('Source NetSuite'!$A:$A,$A205,'Source NetSuite'!$E:$E)</f>
        <v>1</v>
      </c>
      <c r="E205" s="9" t="n">
        <f aca="false">D205*$J$5</f>
        <v>1.26315789473684</v>
      </c>
      <c r="F205" s="9" t="n">
        <f aca="false">E205-C205</f>
        <v>-0.736842105263158</v>
      </c>
      <c r="G205" s="10" t="n">
        <f aca="false">IF(AND(C205=0,E205=0),0,IF(C205=0,"New",(E205-C205)/C205))</f>
        <v>-0.368421052631579</v>
      </c>
      <c r="H205" s="9" t="n">
        <f aca="false">SUMIF('Source NetSuite'!$A:$A,$A205,'Source NetSuite'!$D:$D)</f>
        <v>391.46</v>
      </c>
      <c r="I205" s="9" t="n">
        <f aca="false">SUMIF('Source NetSuite'!$A:$A,$A205,'Source NetSuite'!$F:$F)</f>
        <v>195.73</v>
      </c>
      <c r="J205" s="9" t="n">
        <f aca="false">I205*$J$5</f>
        <v>247.237894736842</v>
      </c>
      <c r="K205" s="9" t="n">
        <f aca="false">J205-H205</f>
        <v>-144.222105263158</v>
      </c>
      <c r="L205" s="10" t="n">
        <f aca="false">IF(AND(H205=0,J205=0),0,IF(H205=0,"New",(J205-H205)/H205))</f>
        <v>-0.368421052631579</v>
      </c>
      <c r="M205" s="8" t="str">
        <f aca="false">IF(AND(OR(C205&lt;&gt;0,H205&lt;&gt;0),D205=0,I205=0),"DROP",IF(AND(OR(D205&lt;&gt;0,I205&lt;&gt;0),C205=0,H205=0),"NEW",""))</f>
        <v/>
      </c>
    </row>
    <row r="206" customFormat="false" ht="15" hidden="false" customHeight="true" outlineLevel="0" collapsed="false">
      <c r="A206" s="8" t="s">
        <v>354</v>
      </c>
      <c r="B206" s="8" t="str">
        <f aca="false">IFERROR(INDEX('Source NetSuite'!$B:$B,MATCH($A206,'Source NetSuite'!$A:$A,0)),"")</f>
        <v>מגן ירך</v>
      </c>
      <c r="C206" s="9" t="n">
        <f aca="false">SUMIF('Source NetSuite'!$A:$A,$A206,'Source NetSuite'!$C:$C)</f>
        <v>11</v>
      </c>
      <c r="D206" s="9" t="n">
        <f aca="false">SUMIF('Source NetSuite'!$A:$A,$A206,'Source NetSuite'!$E:$E)</f>
        <v>3</v>
      </c>
      <c r="E206" s="9" t="n">
        <f aca="false">D206*$J$5</f>
        <v>3.78947368421053</v>
      </c>
      <c r="F206" s="9" t="n">
        <f aca="false">E206-C206</f>
        <v>-7.21052631578947</v>
      </c>
      <c r="G206" s="10" t="n">
        <f aca="false">IF(AND(C206=0,E206=0),0,IF(C206=0,"New",(E206-C206)/C206))</f>
        <v>-0.655502392344498</v>
      </c>
      <c r="H206" s="9" t="n">
        <f aca="false">SUMIF('Source NetSuite'!$A:$A,$A206,'Source NetSuite'!$D:$D)</f>
        <v>231</v>
      </c>
      <c r="I206" s="9" t="n">
        <f aca="false">SUMIF('Source NetSuite'!$A:$A,$A206,'Source NetSuite'!$F:$F)</f>
        <v>63</v>
      </c>
      <c r="J206" s="9" t="n">
        <f aca="false">I206*$J$5</f>
        <v>79.5789473684211</v>
      </c>
      <c r="K206" s="9" t="n">
        <f aca="false">J206-H206</f>
        <v>-151.421052631579</v>
      </c>
      <c r="L206" s="10" t="n">
        <f aca="false">IF(AND(H206=0,J206=0),0,IF(H206=0,"New",(J206-H206)/H206))</f>
        <v>-0.655502392344498</v>
      </c>
      <c r="M206" s="8" t="str">
        <f aca="false">IF(AND(OR(C206&lt;&gt;0,H206&lt;&gt;0),D206=0,I206=0),"DROP",IF(AND(OR(D206&lt;&gt;0,I206&lt;&gt;0),C206=0,H206=0),"NEW",""))</f>
        <v/>
      </c>
    </row>
    <row r="207" customFormat="false" ht="15" hidden="false" customHeight="true" outlineLevel="0" collapsed="false">
      <c r="A207" s="8" t="s">
        <v>355</v>
      </c>
      <c r="B207" s="8" t="str">
        <f aca="false">IFERROR(INDEX('Source NetSuite'!$B:$B,MATCH($A207,'Source NetSuite'!$A:$A,0)),"")</f>
        <v>מגן ברך מוצלב+מוטות</v>
      </c>
      <c r="C207" s="9" t="n">
        <f aca="false">SUMIF('Source NetSuite'!$A:$A,$A207,'Source NetSuite'!$C:$C)</f>
        <v>3</v>
      </c>
      <c r="D207" s="9" t="n">
        <f aca="false">SUMIF('Source NetSuite'!$A:$A,$A207,'Source NetSuite'!$E:$E)</f>
        <v>1</v>
      </c>
      <c r="E207" s="9" t="n">
        <f aca="false">D207*$J$5</f>
        <v>1.26315789473684</v>
      </c>
      <c r="F207" s="9" t="n">
        <f aca="false">E207-C207</f>
        <v>-1.73684210526316</v>
      </c>
      <c r="G207" s="10" t="n">
        <f aca="false">IF(AND(C207=0,E207=0),0,IF(C207=0,"New",(E207-C207)/C207))</f>
        <v>-0.578947368421053</v>
      </c>
      <c r="H207" s="9" t="n">
        <f aca="false">SUMIF('Source NetSuite'!$A:$A,$A207,'Source NetSuite'!$D:$D)</f>
        <v>231.72</v>
      </c>
      <c r="I207" s="9" t="n">
        <f aca="false">SUMIF('Source NetSuite'!$A:$A,$A207,'Source NetSuite'!$F:$F)</f>
        <v>77.24</v>
      </c>
      <c r="J207" s="9" t="n">
        <f aca="false">I207*$J$5</f>
        <v>97.5663157894737</v>
      </c>
      <c r="K207" s="9" t="n">
        <f aca="false">J207-H207</f>
        <v>-134.153684210526</v>
      </c>
      <c r="L207" s="10" t="n">
        <f aca="false">IF(AND(H207=0,J207=0),0,IF(H207=0,"New",(J207-H207)/H207))</f>
        <v>-0.578947368421053</v>
      </c>
      <c r="M207" s="8" t="str">
        <f aca="false">IF(AND(OR(C207&lt;&gt;0,H207&lt;&gt;0),D207=0,I207=0),"DROP",IF(AND(OR(D207&lt;&gt;0,I207&lt;&gt;0),C207=0,H207=0),"NEW",""))</f>
        <v/>
      </c>
    </row>
    <row r="208" customFormat="false" ht="15" hidden="false" customHeight="true" outlineLevel="0" collapsed="false">
      <c r="A208" s="8" t="s">
        <v>356</v>
      </c>
      <c r="B208" s="8" t="str">
        <f aca="false">IFERROR(INDEX('Source NetSuite'!$B:$B,MATCH($A208,'Source NetSuite'!$A:$A,0)),"")</f>
        <v>מישר כתפיים רחב+תמיכה לבית השח</v>
      </c>
      <c r="C208" s="9" t="n">
        <f aca="false">SUMIF('Source NetSuite'!$A:$A,$A208,'Source NetSuite'!$C:$C)</f>
        <v>7</v>
      </c>
      <c r="D208" s="9" t="n">
        <f aca="false">SUMIF('Source NetSuite'!$A:$A,$A208,'Source NetSuite'!$E:$E)</f>
        <v>8</v>
      </c>
      <c r="E208" s="9" t="n">
        <f aca="false">D208*$J$5</f>
        <v>10.1052631578947</v>
      </c>
      <c r="F208" s="9" t="n">
        <f aca="false">E208-C208</f>
        <v>3.10526315789474</v>
      </c>
      <c r="G208" s="10" t="n">
        <f aca="false">IF(AND(C208=0,E208=0),0,IF(C208=0,"New",(E208-C208)/C208))</f>
        <v>0.443609022556391</v>
      </c>
      <c r="H208" s="9" t="n">
        <f aca="false">SUMIF('Source NetSuite'!$A:$A,$A208,'Source NetSuite'!$D:$D)</f>
        <v>954.1</v>
      </c>
      <c r="I208" s="9" t="n">
        <f aca="false">SUMIF('Source NetSuite'!$A:$A,$A208,'Source NetSuite'!$F:$F)</f>
        <v>1090.4</v>
      </c>
      <c r="J208" s="9" t="n">
        <f aca="false">I208*$J$5</f>
        <v>1377.34736842105</v>
      </c>
      <c r="K208" s="9" t="n">
        <f aca="false">J208-H208</f>
        <v>423.247368421052</v>
      </c>
      <c r="L208" s="10" t="n">
        <f aca="false">IF(AND(H208=0,J208=0),0,IF(H208=0,"New",(J208-H208)/H208))</f>
        <v>0.443609022556391</v>
      </c>
      <c r="M208" s="8" t="str">
        <f aca="false">IF(AND(OR(C208&lt;&gt;0,H208&lt;&gt;0),D208=0,I208=0),"DROP",IF(AND(OR(D208&lt;&gt;0,I208&lt;&gt;0),C208=0,H208=0),"NEW",""))</f>
        <v/>
      </c>
    </row>
    <row r="209" customFormat="false" ht="15" hidden="false" customHeight="true" outlineLevel="0" collapsed="false">
      <c r="A209" s="8" t="s">
        <v>357</v>
      </c>
      <c r="B209" s="8" t="str">
        <f aca="false">IFERROR(INDEX('Source NetSuite'!$B:$B,MATCH($A209,'Source NetSuite'!$A:$A,0)),"")</f>
        <v>חגורת גב+סגירה כפולה בז'</v>
      </c>
      <c r="C209" s="9" t="n">
        <f aca="false">SUMIF('Source NetSuite'!$A:$A,$A209,'Source NetSuite'!$C:$C)</f>
        <v>2</v>
      </c>
      <c r="D209" s="9" t="n">
        <f aca="false">SUMIF('Source NetSuite'!$A:$A,$A209,'Source NetSuite'!$E:$E)</f>
        <v>0</v>
      </c>
      <c r="E209" s="9" t="n">
        <f aca="false">D209*$J$5</f>
        <v>0</v>
      </c>
      <c r="F209" s="9" t="n">
        <f aca="false">E209-C209</f>
        <v>-2</v>
      </c>
      <c r="G209" s="10" t="n">
        <f aca="false">IF(AND(C209=0,E209=0),0,IF(C209=0,"New",(E209-C209)/C209))</f>
        <v>-1</v>
      </c>
      <c r="H209" s="9" t="n">
        <f aca="false">SUMIF('Source NetSuite'!$A:$A,$A209,'Source NetSuite'!$D:$D)</f>
        <v>130</v>
      </c>
      <c r="I209" s="9" t="n">
        <f aca="false">SUMIF('Source NetSuite'!$A:$A,$A209,'Source NetSuite'!$F:$F)</f>
        <v>0</v>
      </c>
      <c r="J209" s="9" t="n">
        <f aca="false">I209*$J$5</f>
        <v>0</v>
      </c>
      <c r="K209" s="9" t="n">
        <f aca="false">J209-H209</f>
        <v>-130</v>
      </c>
      <c r="L209" s="10" t="n">
        <f aca="false">IF(AND(H209=0,J209=0),0,IF(H209=0,"New",(J209-H209)/H209))</f>
        <v>-1</v>
      </c>
      <c r="M209" s="8" t="str">
        <f aca="false">IF(AND(OR(C209&lt;&gt;0,H209&lt;&gt;0),D209=0,I209=0),"DROP",IF(AND(OR(D209&lt;&gt;0,I209&lt;&gt;0),C209=0,H209=0),"NEW",""))</f>
        <v>DROP</v>
      </c>
    </row>
    <row r="210" customFormat="false" ht="15" hidden="false" customHeight="true" outlineLevel="0" collapsed="false">
      <c r="A210" s="8" t="s">
        <v>358</v>
      </c>
      <c r="B210" s="8" t="str">
        <f aca="false">IFERROR(INDEX('Source NetSuite'!$B:$B,MATCH($A210,'Source NetSuite'!$A:$A,0)),"")</f>
        <v>חגורת גב+סגירה כפולה בז'</v>
      </c>
      <c r="C210" s="9" t="n">
        <f aca="false">SUMIF('Source NetSuite'!$A:$A,$A210,'Source NetSuite'!$C:$C)</f>
        <v>2</v>
      </c>
      <c r="D210" s="9" t="n">
        <f aca="false">SUMIF('Source NetSuite'!$A:$A,$A210,'Source NetSuite'!$E:$E)</f>
        <v>0</v>
      </c>
      <c r="E210" s="9" t="n">
        <f aca="false">D210*$J$5</f>
        <v>0</v>
      </c>
      <c r="F210" s="9" t="n">
        <f aca="false">E210-C210</f>
        <v>-2</v>
      </c>
      <c r="G210" s="10" t="n">
        <f aca="false">IF(AND(C210=0,E210=0),0,IF(C210=0,"New",(E210-C210)/C210))</f>
        <v>-1</v>
      </c>
      <c r="H210" s="9" t="n">
        <f aca="false">SUMIF('Source NetSuite'!$A:$A,$A210,'Source NetSuite'!$D:$D)</f>
        <v>130</v>
      </c>
      <c r="I210" s="9" t="n">
        <f aca="false">SUMIF('Source NetSuite'!$A:$A,$A210,'Source NetSuite'!$F:$F)</f>
        <v>0</v>
      </c>
      <c r="J210" s="9" t="n">
        <f aca="false">I210*$J$5</f>
        <v>0</v>
      </c>
      <c r="K210" s="9" t="n">
        <f aca="false">J210-H210</f>
        <v>-130</v>
      </c>
      <c r="L210" s="10" t="n">
        <f aca="false">IF(AND(H210=0,J210=0),0,IF(H210=0,"New",(J210-H210)/H210))</f>
        <v>-1</v>
      </c>
      <c r="M210" s="8" t="str">
        <f aca="false">IF(AND(OR(C210&lt;&gt;0,H210&lt;&gt;0),D210=0,I210=0),"DROP",IF(AND(OR(D210&lt;&gt;0,I210&lt;&gt;0),C210=0,H210=0),"NEW",""))</f>
        <v>DROP</v>
      </c>
    </row>
    <row r="211" customFormat="false" ht="15" hidden="false" customHeight="true" outlineLevel="0" collapsed="false">
      <c r="A211" s="8" t="s">
        <v>359</v>
      </c>
      <c r="B211" s="8" t="str">
        <f aca="false">IFERROR(INDEX('Source NetSuite'!$B:$B,MATCH($A211,'Source NetSuite'!$A:$A,0)),"")</f>
        <v>מדרס סיליקון לנעלי עקב</v>
      </c>
      <c r="C211" s="9" t="n">
        <f aca="false">SUMIF('Source NetSuite'!$A:$A,$A211,'Source NetSuite'!$C:$C)</f>
        <v>4</v>
      </c>
      <c r="D211" s="9" t="n">
        <f aca="false">SUMIF('Source NetSuite'!$A:$A,$A211,'Source NetSuite'!$E:$E)</f>
        <v>0</v>
      </c>
      <c r="E211" s="9" t="n">
        <f aca="false">D211*$J$5</f>
        <v>0</v>
      </c>
      <c r="F211" s="9" t="n">
        <f aca="false">E211-C211</f>
        <v>-4</v>
      </c>
      <c r="G211" s="10" t="n">
        <f aca="false">IF(AND(C211=0,E211=0),0,IF(C211=0,"New",(E211-C211)/C211))</f>
        <v>-1</v>
      </c>
      <c r="H211" s="9" t="n">
        <f aca="false">SUMIF('Source NetSuite'!$A:$A,$A211,'Source NetSuite'!$D:$D)</f>
        <v>128.56</v>
      </c>
      <c r="I211" s="9" t="n">
        <f aca="false">SUMIF('Source NetSuite'!$A:$A,$A211,'Source NetSuite'!$F:$F)</f>
        <v>0</v>
      </c>
      <c r="J211" s="9" t="n">
        <f aca="false">I211*$J$5</f>
        <v>0</v>
      </c>
      <c r="K211" s="9" t="n">
        <f aca="false">J211-H211</f>
        <v>-128.56</v>
      </c>
      <c r="L211" s="10" t="n">
        <f aca="false">IF(AND(H211=0,J211=0),0,IF(H211=0,"New",(J211-H211)/H211))</f>
        <v>-1</v>
      </c>
      <c r="M211" s="8" t="str">
        <f aca="false">IF(AND(OR(C211&lt;&gt;0,H211&lt;&gt;0),D211=0,I211=0),"DROP",IF(AND(OR(D211&lt;&gt;0,I211&lt;&gt;0),C211=0,H211=0),"NEW",""))</f>
        <v>DROP</v>
      </c>
    </row>
    <row r="212" customFormat="false" ht="15" hidden="false" customHeight="true" outlineLevel="0" collapsed="false">
      <c r="A212" s="8" t="s">
        <v>360</v>
      </c>
      <c r="B212" s="8" t="str">
        <f aca="false">IFERROR(INDEX('Source NetSuite'!$B:$B,MATCH($A212,'Source NetSuite'!$A:$A,0)),"")</f>
        <v>חגורת קיבוע לכתף</v>
      </c>
      <c r="C212" s="9" t="n">
        <f aca="false">SUMIF('Source NetSuite'!$A:$A,$A212,'Source NetSuite'!$C:$C)</f>
        <v>2</v>
      </c>
      <c r="D212" s="9" t="n">
        <f aca="false">SUMIF('Source NetSuite'!$A:$A,$A212,'Source NetSuite'!$E:$E)</f>
        <v>1</v>
      </c>
      <c r="E212" s="9" t="n">
        <f aca="false">D212*$J$5</f>
        <v>1.26315789473684</v>
      </c>
      <c r="F212" s="9" t="n">
        <f aca="false">E212-C212</f>
        <v>-0.736842105263158</v>
      </c>
      <c r="G212" s="10" t="n">
        <f aca="false">IF(AND(C212=0,E212=0),0,IF(C212=0,"New",(E212-C212)/C212))</f>
        <v>-0.368421052631579</v>
      </c>
      <c r="H212" s="9" t="n">
        <f aca="false">SUMIF('Source NetSuite'!$A:$A,$A212,'Source NetSuite'!$D:$D)</f>
        <v>253</v>
      </c>
      <c r="I212" s="9" t="n">
        <f aca="false">SUMIF('Source NetSuite'!$A:$A,$A212,'Source NetSuite'!$F:$F)</f>
        <v>126.5</v>
      </c>
      <c r="J212" s="9" t="n">
        <f aca="false">I212*$J$5</f>
        <v>159.789473684211</v>
      </c>
      <c r="K212" s="9" t="n">
        <f aca="false">J212-H212</f>
        <v>-93.2105263157895</v>
      </c>
      <c r="L212" s="10" t="n">
        <f aca="false">IF(AND(H212=0,J212=0),0,IF(H212=0,"New",(J212-H212)/H212))</f>
        <v>-0.368421052631579</v>
      </c>
      <c r="M212" s="8" t="str">
        <f aca="false">IF(AND(OR(C212&lt;&gt;0,H212&lt;&gt;0),D212=0,I212=0),"DROP",IF(AND(OR(D212&lt;&gt;0,I212&lt;&gt;0),C212=0,H212=0),"NEW",""))</f>
        <v/>
      </c>
    </row>
    <row r="213" customFormat="false" ht="15" hidden="false" customHeight="true" outlineLevel="0" collapsed="false">
      <c r="A213" s="8" t="s">
        <v>361</v>
      </c>
      <c r="B213" s="8" t="str">
        <f aca="false">IFERROR(INDEX('Source NetSuite'!$B:$B,MATCH($A213,'Source NetSuite'!$A:$A,0)),"")</f>
        <v>קינזיולוגי טייפ</v>
      </c>
      <c r="C213" s="9" t="n">
        <f aca="false">SUMIF('Source NetSuite'!$A:$A,$A213,'Source NetSuite'!$C:$C)</f>
        <v>6</v>
      </c>
      <c r="D213" s="9" t="n">
        <f aca="false">SUMIF('Source NetSuite'!$A:$A,$A213,'Source NetSuite'!$E:$E)</f>
        <v>4</v>
      </c>
      <c r="E213" s="9" t="n">
        <f aca="false">D213*$J$5</f>
        <v>5.05263157894737</v>
      </c>
      <c r="F213" s="9" t="n">
        <f aca="false">E213-C213</f>
        <v>-0.947368421052632</v>
      </c>
      <c r="G213" s="10" t="n">
        <f aca="false">IF(AND(C213=0,E213=0),0,IF(C213=0,"New",(E213-C213)/C213))</f>
        <v>-0.157894736842105</v>
      </c>
      <c r="H213" s="9" t="n">
        <f aca="false">SUMIF('Source NetSuite'!$A:$A,$A213,'Source NetSuite'!$D:$D)</f>
        <v>377.82</v>
      </c>
      <c r="I213" s="9" t="n">
        <f aca="false">SUMIF('Source NetSuite'!$A:$A,$A213,'Source NetSuite'!$F:$F)</f>
        <v>251.88</v>
      </c>
      <c r="J213" s="9" t="n">
        <f aca="false">I213*$J$5</f>
        <v>318.164210526316</v>
      </c>
      <c r="K213" s="9" t="n">
        <f aca="false">J213-H213</f>
        <v>-59.6557894736843</v>
      </c>
      <c r="L213" s="10" t="n">
        <f aca="false">IF(AND(H213=0,J213=0),0,IF(H213=0,"New",(J213-H213)/H213))</f>
        <v>-0.157894736842105</v>
      </c>
      <c r="M213" s="8" t="str">
        <f aca="false">IF(AND(OR(C213&lt;&gt;0,H213&lt;&gt;0),D213=0,I213=0),"DROP",IF(AND(OR(D213&lt;&gt;0,I213&lt;&gt;0),C213=0,H213=0),"NEW",""))</f>
        <v/>
      </c>
    </row>
    <row r="214" customFormat="false" ht="15" hidden="false" customHeight="true" outlineLevel="0" collapsed="false">
      <c r="A214" s="8" t="s">
        <v>362</v>
      </c>
      <c r="B214" s="8" t="str">
        <f aca="false">IFERROR(INDEX('Source NetSuite'!$B:$B,MATCH($A214,'Source NetSuite'!$A:$A,0)),"")</f>
        <v>גרבי נוחות חורף אפור</v>
      </c>
      <c r="C214" s="9" t="n">
        <f aca="false">SUMIF('Source NetSuite'!$A:$A,$A214,'Source NetSuite'!$C:$C)</f>
        <v>7</v>
      </c>
      <c r="D214" s="9" t="n">
        <f aca="false">SUMIF('Source NetSuite'!$A:$A,$A214,'Source NetSuite'!$E:$E)</f>
        <v>12</v>
      </c>
      <c r="E214" s="9" t="n">
        <f aca="false">D214*$J$5</f>
        <v>15.1578947368421</v>
      </c>
      <c r="F214" s="9" t="n">
        <f aca="false">E214-C214</f>
        <v>8.1578947368421</v>
      </c>
      <c r="G214" s="10" t="n">
        <f aca="false">IF(AND(C214=0,E214=0),0,IF(C214=0,"New",(E214-C214)/C214))</f>
        <v>1.16541353383459</v>
      </c>
      <c r="H214" s="9" t="n">
        <f aca="false">SUMIF('Source NetSuite'!$A:$A,$A214,'Source NetSuite'!$D:$D)</f>
        <v>165.2</v>
      </c>
      <c r="I214" s="9" t="n">
        <f aca="false">SUMIF('Source NetSuite'!$A:$A,$A214,'Source NetSuite'!$F:$F)</f>
        <v>283.2</v>
      </c>
      <c r="J214" s="9" t="n">
        <f aca="false">I214*$J$5</f>
        <v>357.726315789474</v>
      </c>
      <c r="K214" s="9" t="n">
        <f aca="false">J214-H214</f>
        <v>192.526315789474</v>
      </c>
      <c r="L214" s="10" t="n">
        <f aca="false">IF(AND(H214=0,J214=0),0,IF(H214=0,"New",(J214-H214)/H214))</f>
        <v>1.16541353383459</v>
      </c>
      <c r="M214" s="8" t="str">
        <f aca="false">IF(AND(OR(C214&lt;&gt;0,H214&lt;&gt;0),D214=0,I214=0),"DROP",IF(AND(OR(D214&lt;&gt;0,I214&lt;&gt;0),C214=0,H214=0),"NEW",""))</f>
        <v/>
      </c>
    </row>
    <row r="215" customFormat="false" ht="15" hidden="false" customHeight="true" outlineLevel="0" collapsed="false">
      <c r="A215" s="8" t="s">
        <v>363</v>
      </c>
      <c r="B215" s="8" t="str">
        <f aca="false">IFERROR(INDEX('Source NetSuite'!$B:$B,MATCH($A215,'Source NetSuite'!$A:$A,0)),"")</f>
        <v>חגורה אחרי ניתוח</v>
      </c>
      <c r="C215" s="9" t="n">
        <f aca="false">SUMIF('Source NetSuite'!$A:$A,$A215,'Source NetSuite'!$C:$C)</f>
        <v>1</v>
      </c>
      <c r="D215" s="9" t="n">
        <f aca="false">SUMIF('Source NetSuite'!$A:$A,$A215,'Source NetSuite'!$E:$E)</f>
        <v>0</v>
      </c>
      <c r="E215" s="9" t="n">
        <f aca="false">D215*$J$5</f>
        <v>0</v>
      </c>
      <c r="F215" s="9" t="n">
        <f aca="false">E215-C215</f>
        <v>-1</v>
      </c>
      <c r="G215" s="10" t="n">
        <f aca="false">IF(AND(C215=0,E215=0),0,IF(C215=0,"New",(E215-C215)/C215))</f>
        <v>-1</v>
      </c>
      <c r="H215" s="9" t="n">
        <f aca="false">SUMIF('Source NetSuite'!$A:$A,$A215,'Source NetSuite'!$D:$D)</f>
        <v>113.58</v>
      </c>
      <c r="I215" s="9" t="n">
        <f aca="false">SUMIF('Source NetSuite'!$A:$A,$A215,'Source NetSuite'!$F:$F)</f>
        <v>0</v>
      </c>
      <c r="J215" s="9" t="n">
        <f aca="false">I215*$J$5</f>
        <v>0</v>
      </c>
      <c r="K215" s="9" t="n">
        <f aca="false">J215-H215</f>
        <v>-113.58</v>
      </c>
      <c r="L215" s="10" t="n">
        <f aca="false">IF(AND(H215=0,J215=0),0,IF(H215=0,"New",(J215-H215)/H215))</f>
        <v>-1</v>
      </c>
      <c r="M215" s="8" t="str">
        <f aca="false">IF(AND(OR(C215&lt;&gt;0,H215&lt;&gt;0),D215=0,I215=0),"DROP",IF(AND(OR(D215&lt;&gt;0,I215&lt;&gt;0),C215=0,H215=0),"NEW",""))</f>
        <v>DROP</v>
      </c>
    </row>
    <row r="216" customFormat="false" ht="15" hidden="false" customHeight="true" outlineLevel="0" collapsed="false">
      <c r="A216" s="8" t="s">
        <v>364</v>
      </c>
      <c r="B216" s="8" t="str">
        <f aca="false">IFERROR(INDEX('Source NetSuite'!$B:$B,MATCH($A216,'Source NetSuite'!$A:$A,0)),"")</f>
        <v>גרבי נוחות קיץ לבן</v>
      </c>
      <c r="C216" s="9" t="n">
        <f aca="false">SUMIF('Source NetSuite'!$A:$A,$A216,'Source NetSuite'!$C:$C)</f>
        <v>37</v>
      </c>
      <c r="D216" s="9" t="n">
        <f aca="false">SUMIF('Source NetSuite'!$A:$A,$A216,'Source NetSuite'!$E:$E)</f>
        <v>31</v>
      </c>
      <c r="E216" s="9" t="n">
        <f aca="false">D216*$J$5</f>
        <v>39.1578947368421</v>
      </c>
      <c r="F216" s="9" t="n">
        <f aca="false">E216-C216</f>
        <v>2.1578947368421</v>
      </c>
      <c r="G216" s="10" t="n">
        <f aca="false">IF(AND(C216=0,E216=0),0,IF(C216=0,"New",(E216-C216)/C216))</f>
        <v>0.0583214793741109</v>
      </c>
      <c r="H216" s="9" t="n">
        <f aca="false">SUMIF('Source NetSuite'!$A:$A,$A216,'Source NetSuite'!$D:$D)</f>
        <v>680.8</v>
      </c>
      <c r="I216" s="9" t="n">
        <f aca="false">SUMIF('Source NetSuite'!$A:$A,$A216,'Source NetSuite'!$F:$F)</f>
        <v>570.4</v>
      </c>
      <c r="J216" s="9" t="n">
        <f aca="false">I216*$J$5</f>
        <v>720.505263157895</v>
      </c>
      <c r="K216" s="9" t="n">
        <f aca="false">J216-H216</f>
        <v>39.7052631578947</v>
      </c>
      <c r="L216" s="10" t="n">
        <f aca="false">IF(AND(H216=0,J216=0),0,IF(H216=0,"New",(J216-H216)/H216))</f>
        <v>0.0583214793741109</v>
      </c>
      <c r="M216" s="8" t="str">
        <f aca="false">IF(AND(OR(C216&lt;&gt;0,H216&lt;&gt;0),D216=0,I216=0),"DROP",IF(AND(OR(D216&lt;&gt;0,I216&lt;&gt;0),C216=0,H216=0),"NEW",""))</f>
        <v/>
      </c>
    </row>
    <row r="217" customFormat="false" ht="15" hidden="false" customHeight="true" outlineLevel="0" collapsed="false">
      <c r="A217" s="8" t="s">
        <v>365</v>
      </c>
      <c r="B217" s="8" t="str">
        <f aca="false">IFERROR(INDEX('Source NetSuite'!$B:$B,MATCH($A217,'Source NetSuite'!$A:$A,0)),"")</f>
        <v>חגורה לשבר טבור</v>
      </c>
      <c r="C217" s="9" t="n">
        <f aca="false">SUMIF('Source NetSuite'!$A:$A,$A217,'Source NetSuite'!$C:$C)</f>
        <v>1</v>
      </c>
      <c r="D217" s="9" t="n">
        <f aca="false">SUMIF('Source NetSuite'!$A:$A,$A217,'Source NetSuite'!$E:$E)</f>
        <v>0</v>
      </c>
      <c r="E217" s="9" t="n">
        <f aca="false">D217*$J$5</f>
        <v>0</v>
      </c>
      <c r="F217" s="9" t="n">
        <f aca="false">E217-C217</f>
        <v>-1</v>
      </c>
      <c r="G217" s="10" t="n">
        <f aca="false">IF(AND(C217=0,E217=0),0,IF(C217=0,"New",(E217-C217)/C217))</f>
        <v>-1</v>
      </c>
      <c r="H217" s="9" t="n">
        <f aca="false">SUMIF('Source NetSuite'!$A:$A,$A217,'Source NetSuite'!$D:$D)</f>
        <v>107.09</v>
      </c>
      <c r="I217" s="9" t="n">
        <f aca="false">SUMIF('Source NetSuite'!$A:$A,$A217,'Source NetSuite'!$F:$F)</f>
        <v>0</v>
      </c>
      <c r="J217" s="9" t="n">
        <f aca="false">I217*$J$5</f>
        <v>0</v>
      </c>
      <c r="K217" s="9" t="n">
        <f aca="false">J217-H217</f>
        <v>-107.09</v>
      </c>
      <c r="L217" s="10" t="n">
        <f aca="false">IF(AND(H217=0,J217=0),0,IF(H217=0,"New",(J217-H217)/H217))</f>
        <v>-1</v>
      </c>
      <c r="M217" s="8" t="str">
        <f aca="false">IF(AND(OR(C217&lt;&gt;0,H217&lt;&gt;0),D217=0,I217=0),"DROP",IF(AND(OR(D217&lt;&gt;0,I217&lt;&gt;0),C217=0,H217=0),"NEW",""))</f>
        <v>DROP</v>
      </c>
    </row>
    <row r="218" customFormat="false" ht="15" hidden="false" customHeight="true" outlineLevel="0" collapsed="false">
      <c r="A218" s="8" t="s">
        <v>366</v>
      </c>
      <c r="B218" s="8" t="str">
        <f aca="false">IFERROR(INDEX('Source NetSuite'!$B:$B,MATCH($A218,'Source NetSuite'!$A:$A,0)),"")</f>
        <v>סד לקרסול</v>
      </c>
      <c r="C218" s="9" t="n">
        <f aca="false">SUMIF('Source NetSuite'!$A:$A,$A218,'Source NetSuite'!$C:$C)</f>
        <v>1</v>
      </c>
      <c r="D218" s="9" t="n">
        <f aca="false">SUMIF('Source NetSuite'!$A:$A,$A218,'Source NetSuite'!$E:$E)</f>
        <v>2</v>
      </c>
      <c r="E218" s="9" t="n">
        <f aca="false">D218*$J$5</f>
        <v>2.52631578947368</v>
      </c>
      <c r="F218" s="9" t="n">
        <f aca="false">E218-C218</f>
        <v>1.52631578947368</v>
      </c>
      <c r="G218" s="10" t="n">
        <f aca="false">IF(AND(C218=0,E218=0),0,IF(C218=0,"New",(E218-C218)/C218))</f>
        <v>1.52631578947368</v>
      </c>
      <c r="H218" s="9" t="n">
        <f aca="false">SUMIF('Source NetSuite'!$A:$A,$A218,'Source NetSuite'!$D:$D)</f>
        <v>94.1</v>
      </c>
      <c r="I218" s="9" t="n">
        <f aca="false">SUMIF('Source NetSuite'!$A:$A,$A218,'Source NetSuite'!$F:$F)</f>
        <v>188.2</v>
      </c>
      <c r="J218" s="9" t="n">
        <f aca="false">I218*$J$5</f>
        <v>237.726315789474</v>
      </c>
      <c r="K218" s="9" t="n">
        <f aca="false">J218-H218</f>
        <v>143.626315789474</v>
      </c>
      <c r="L218" s="10" t="n">
        <f aca="false">IF(AND(H218=0,J218=0),0,IF(H218=0,"New",(J218-H218)/H218))</f>
        <v>1.52631578947368</v>
      </c>
      <c r="M218" s="8" t="str">
        <f aca="false">IF(AND(OR(C218&lt;&gt;0,H218&lt;&gt;0),D218=0,I218=0),"DROP",IF(AND(OR(D218&lt;&gt;0,I218&lt;&gt;0),C218=0,H218=0),"NEW",""))</f>
        <v/>
      </c>
    </row>
    <row r="219" customFormat="false" ht="15" hidden="false" customHeight="true" outlineLevel="0" collapsed="false">
      <c r="A219" s="8" t="s">
        <v>367</v>
      </c>
      <c r="B219" s="8" t="str">
        <f aca="false">IFERROR(INDEX('Source NetSuite'!$B:$B,MATCH($A219,'Source NetSuite'!$A:$A,0)),"")</f>
        <v>מגן מרפק</v>
      </c>
      <c r="C219" s="9" t="n">
        <f aca="false">SUMIF('Source NetSuite'!$A:$A,$A219,'Source NetSuite'!$C:$C)</f>
        <v>13</v>
      </c>
      <c r="D219" s="9" t="n">
        <f aca="false">SUMIF('Source NetSuite'!$A:$A,$A219,'Source NetSuite'!$E:$E)</f>
        <v>8</v>
      </c>
      <c r="E219" s="9" t="n">
        <f aca="false">D219*$J$5</f>
        <v>10.1052631578947</v>
      </c>
      <c r="F219" s="9" t="n">
        <f aca="false">E219-C219</f>
        <v>-2.89473684210526</v>
      </c>
      <c r="G219" s="10" t="n">
        <f aca="false">IF(AND(C219=0,E219=0),0,IF(C219=0,"New",(E219-C219)/C219))</f>
        <v>-0.222672064777328</v>
      </c>
      <c r="H219" s="9" t="n">
        <f aca="false">SUMIF('Source NetSuite'!$A:$A,$A219,'Source NetSuite'!$D:$D)</f>
        <v>221</v>
      </c>
      <c r="I219" s="9" t="n">
        <f aca="false">SUMIF('Source NetSuite'!$A:$A,$A219,'Source NetSuite'!$F:$F)</f>
        <v>136</v>
      </c>
      <c r="J219" s="9" t="n">
        <f aca="false">I219*$J$5</f>
        <v>171.789473684211</v>
      </c>
      <c r="K219" s="9" t="n">
        <f aca="false">J219-H219</f>
        <v>-49.2105263157895</v>
      </c>
      <c r="L219" s="10" t="n">
        <f aca="false">IF(AND(H219=0,J219=0),0,IF(H219=0,"New",(J219-H219)/H219))</f>
        <v>-0.222672064777328</v>
      </c>
      <c r="M219" s="8" t="str">
        <f aca="false">IF(AND(OR(C219&lt;&gt;0,H219&lt;&gt;0),D219=0,I219=0),"DROP",IF(AND(OR(D219&lt;&gt;0,I219&lt;&gt;0),C219=0,H219=0),"NEW",""))</f>
        <v/>
      </c>
    </row>
    <row r="220" customFormat="false" ht="15" hidden="false" customHeight="true" outlineLevel="0" collapsed="false">
      <c r="A220" s="8" t="s">
        <v>368</v>
      </c>
      <c r="B220" s="8" t="str">
        <f aca="false">IFERROR(INDEX('Source NetSuite'!$B:$B,MATCH($A220,'Source NetSuite'!$A:$A,0)),"")</f>
        <v>מגן קרסול פתוח</v>
      </c>
      <c r="C220" s="9" t="n">
        <f aca="false">SUMIF('Source NetSuite'!$A:$A,$A220,'Source NetSuite'!$C:$C)</f>
        <v>8</v>
      </c>
      <c r="D220" s="9" t="n">
        <f aca="false">SUMIF('Source NetSuite'!$A:$A,$A220,'Source NetSuite'!$E:$E)</f>
        <v>3</v>
      </c>
      <c r="E220" s="9" t="n">
        <f aca="false">D220*$J$5</f>
        <v>3.78947368421053</v>
      </c>
      <c r="F220" s="9" t="n">
        <f aca="false">E220-C220</f>
        <v>-4.21052631578947</v>
      </c>
      <c r="G220" s="10" t="n">
        <f aca="false">IF(AND(C220=0,E220=0),0,IF(C220=0,"New",(E220-C220)/C220))</f>
        <v>-0.526315789473684</v>
      </c>
      <c r="H220" s="9" t="n">
        <f aca="false">SUMIF('Source NetSuite'!$A:$A,$A220,'Source NetSuite'!$D:$D)</f>
        <v>136</v>
      </c>
      <c r="I220" s="9" t="n">
        <f aca="false">SUMIF('Source NetSuite'!$A:$A,$A220,'Source NetSuite'!$F:$F)</f>
        <v>51</v>
      </c>
      <c r="J220" s="9" t="n">
        <f aca="false">I220*$J$5</f>
        <v>64.421052631579</v>
      </c>
      <c r="K220" s="9" t="n">
        <f aca="false">J220-H220</f>
        <v>-71.5789473684211</v>
      </c>
      <c r="L220" s="10" t="n">
        <f aca="false">IF(AND(H220=0,J220=0),0,IF(H220=0,"New",(J220-H220)/H220))</f>
        <v>-0.526315789473684</v>
      </c>
      <c r="M220" s="8" t="str">
        <f aca="false">IF(AND(OR(C220&lt;&gt;0,H220&lt;&gt;0),D220=0,I220=0),"DROP",IF(AND(OR(D220&lt;&gt;0,I220&lt;&gt;0),C220=0,H220=0),"NEW",""))</f>
        <v/>
      </c>
    </row>
    <row r="221" customFormat="false" ht="15" hidden="false" customHeight="true" outlineLevel="0" collapsed="false">
      <c r="A221" s="8" t="s">
        <v>369</v>
      </c>
      <c r="B221" s="8" t="str">
        <f aca="false">IFERROR(INDEX('Source NetSuite'!$B:$B,MATCH($A221,'Source NetSuite'!$A:$A,0)),"")</f>
        <v>מגן ירך</v>
      </c>
      <c r="C221" s="9" t="n">
        <f aca="false">SUMIF('Source NetSuite'!$A:$A,$A221,'Source NetSuite'!$C:$C)</f>
        <v>10</v>
      </c>
      <c r="D221" s="9" t="n">
        <f aca="false">SUMIF('Source NetSuite'!$A:$A,$A221,'Source NetSuite'!$E:$E)</f>
        <v>6</v>
      </c>
      <c r="E221" s="9" t="n">
        <f aca="false">D221*$J$5</f>
        <v>7.57894736842105</v>
      </c>
      <c r="F221" s="9" t="n">
        <f aca="false">E221-C221</f>
        <v>-2.42105263157895</v>
      </c>
      <c r="G221" s="10" t="n">
        <f aca="false">IF(AND(C221=0,E221=0),0,IF(C221=0,"New",(E221-C221)/C221))</f>
        <v>-0.242105263157895</v>
      </c>
      <c r="H221" s="9" t="n">
        <f aca="false">SUMIF('Source NetSuite'!$A:$A,$A221,'Source NetSuite'!$D:$D)</f>
        <v>210</v>
      </c>
      <c r="I221" s="9" t="n">
        <f aca="false">SUMIF('Source NetSuite'!$A:$A,$A221,'Source NetSuite'!$F:$F)</f>
        <v>126</v>
      </c>
      <c r="J221" s="9" t="n">
        <f aca="false">I221*$J$5</f>
        <v>159.157894736842</v>
      </c>
      <c r="K221" s="9" t="n">
        <f aca="false">J221-H221</f>
        <v>-50.8421052631579</v>
      </c>
      <c r="L221" s="10" t="n">
        <f aca="false">IF(AND(H221=0,J221=0),0,IF(H221=0,"New",(J221-H221)/H221))</f>
        <v>-0.242105263157895</v>
      </c>
      <c r="M221" s="8" t="str">
        <f aca="false">IF(AND(OR(C221&lt;&gt;0,H221&lt;&gt;0),D221=0,I221=0),"DROP",IF(AND(OR(D221&lt;&gt;0,I221&lt;&gt;0),C221=0,H221=0),"NEW",""))</f>
        <v/>
      </c>
    </row>
    <row r="222" customFormat="false" ht="15" hidden="false" customHeight="true" outlineLevel="0" collapsed="false">
      <c r="A222" s="8" t="s">
        <v>370</v>
      </c>
      <c r="B222" s="8" t="str">
        <f aca="false">IFERROR(INDEX('Source NetSuite'!$B:$B,MATCH($A222,'Source NetSuite'!$A:$A,0)),"")</f>
        <v>חגורת בטן</v>
      </c>
      <c r="C222" s="9" t="n">
        <f aca="false">SUMIF('Source NetSuite'!$A:$A,$A222,'Source NetSuite'!$C:$C)</f>
        <v>-1</v>
      </c>
      <c r="D222" s="9" t="n">
        <f aca="false">SUMIF('Source NetSuite'!$A:$A,$A222,'Source NetSuite'!$E:$E)</f>
        <v>0</v>
      </c>
      <c r="E222" s="9" t="n">
        <f aca="false">D222*$J$5</f>
        <v>0</v>
      </c>
      <c r="F222" s="9" t="n">
        <f aca="false">E222-C222</f>
        <v>1</v>
      </c>
      <c r="G222" s="10" t="n">
        <f aca="false">IF(AND(C222=0,E222=0),0,IF(C222=0,"New",(E222-C222)/C222))</f>
        <v>-1</v>
      </c>
      <c r="H222" s="9" t="n">
        <f aca="false">SUMIF('Source NetSuite'!$A:$A,$A222,'Source NetSuite'!$D:$D)</f>
        <v>-74.63</v>
      </c>
      <c r="I222" s="9" t="n">
        <f aca="false">SUMIF('Source NetSuite'!$A:$A,$A222,'Source NetSuite'!$F:$F)</f>
        <v>0</v>
      </c>
      <c r="J222" s="9" t="n">
        <f aca="false">I222*$J$5</f>
        <v>0</v>
      </c>
      <c r="K222" s="9" t="n">
        <f aca="false">J222-H222</f>
        <v>74.63</v>
      </c>
      <c r="L222" s="10" t="n">
        <f aca="false">IF(AND(H222=0,J222=0),0,IF(H222=0,"New",(J222-H222)/H222))</f>
        <v>-1</v>
      </c>
      <c r="M222" s="8" t="str">
        <f aca="false">IF(AND(OR(C222&lt;&gt;0,H222&lt;&gt;0),D222=0,I222=0),"DROP",IF(AND(OR(D222&lt;&gt;0,I222&lt;&gt;0),C222=0,H222=0),"NEW",""))</f>
        <v>DROP</v>
      </c>
    </row>
    <row r="223" customFormat="false" ht="15" hidden="false" customHeight="true" outlineLevel="0" collapsed="false">
      <c r="A223" s="8" t="s">
        <v>371</v>
      </c>
      <c r="B223" s="8" t="str">
        <f aca="false">IFERROR(INDEX('Source NetSuite'!$B:$B,MATCH($A223,'Source NetSuite'!$A:$A,0)),"")</f>
        <v>חגורת גב+סגירה כפולה בז'</v>
      </c>
      <c r="C223" s="9" t="n">
        <f aca="false">SUMIF('Source NetSuite'!$A:$A,$A223,'Source NetSuite'!$C:$C)</f>
        <v>0</v>
      </c>
      <c r="D223" s="9" t="n">
        <f aca="false">SUMIF('Source NetSuite'!$A:$A,$A223,'Source NetSuite'!$E:$E)</f>
        <v>1</v>
      </c>
      <c r="E223" s="9" t="n">
        <f aca="false">D223*$J$5</f>
        <v>1.26315789473684</v>
      </c>
      <c r="F223" s="9" t="n">
        <f aca="false">E223-C223</f>
        <v>1.26315789473684</v>
      </c>
      <c r="G223" s="10" t="str">
        <f aca="false">IF(AND(C223=0,E223=0),0,IF(C223=0,"New",(E223-C223)/C223))</f>
        <v>New</v>
      </c>
      <c r="H223" s="9" t="n">
        <f aca="false">SUMIF('Source NetSuite'!$A:$A,$A223,'Source NetSuite'!$D:$D)</f>
        <v>0</v>
      </c>
      <c r="I223" s="9" t="n">
        <f aca="false">SUMIF('Source NetSuite'!$A:$A,$A223,'Source NetSuite'!$F:$F)</f>
        <v>65</v>
      </c>
      <c r="J223" s="9" t="n">
        <f aca="false">I223*$J$5</f>
        <v>82.1052631578947</v>
      </c>
      <c r="K223" s="9" t="n">
        <f aca="false">J223-H223</f>
        <v>82.1052631578947</v>
      </c>
      <c r="L223" s="10" t="str">
        <f aca="false">IF(AND(H223=0,J223=0),0,IF(H223=0,"New",(J223-H223)/H223))</f>
        <v>New</v>
      </c>
      <c r="M223" s="8" t="str">
        <f aca="false">IF(AND(OR(C223&lt;&gt;0,H223&lt;&gt;0),D223=0,I223=0),"DROP",IF(AND(OR(D223&lt;&gt;0,I223&lt;&gt;0),C223=0,H223=0),"NEW",""))</f>
        <v>NEW</v>
      </c>
    </row>
    <row r="224" customFormat="false" ht="15" hidden="false" customHeight="true" outlineLevel="0" collapsed="false">
      <c r="A224" s="8" t="s">
        <v>372</v>
      </c>
      <c r="B224" s="8" t="str">
        <f aca="false">IFERROR(INDEX('Source NetSuite'!$B:$B,MATCH($A224,'Source NetSuite'!$A:$A,0)),"")</f>
        <v>חגורת בטן עממית</v>
      </c>
      <c r="C224" s="9" t="n">
        <f aca="false">SUMIF('Source NetSuite'!$A:$A,$A224,'Source NetSuite'!$C:$C)</f>
        <v>5</v>
      </c>
      <c r="D224" s="9" t="n">
        <f aca="false">SUMIF('Source NetSuite'!$A:$A,$A224,'Source NetSuite'!$E:$E)</f>
        <v>4</v>
      </c>
      <c r="E224" s="9" t="n">
        <f aca="false">D224*$J$5</f>
        <v>5.05263157894737</v>
      </c>
      <c r="F224" s="9" t="n">
        <f aca="false">E224-C224</f>
        <v>0.0526315789473681</v>
      </c>
      <c r="G224" s="10" t="n">
        <f aca="false">IF(AND(C224=0,E224=0),0,IF(C224=0,"New",(E224-C224)/C224))</f>
        <v>0.0105263157894736</v>
      </c>
      <c r="H224" s="9" t="n">
        <f aca="false">SUMIF('Source NetSuite'!$A:$A,$A224,'Source NetSuite'!$D:$D)</f>
        <v>324.45</v>
      </c>
      <c r="I224" s="9" t="n">
        <f aca="false">SUMIF('Source NetSuite'!$A:$A,$A224,'Source NetSuite'!$F:$F)</f>
        <v>259.56</v>
      </c>
      <c r="J224" s="9" t="n">
        <f aca="false">I224*$J$5</f>
        <v>327.865263157895</v>
      </c>
      <c r="K224" s="9" t="n">
        <f aca="false">J224-H224</f>
        <v>3.41526315789474</v>
      </c>
      <c r="L224" s="10" t="n">
        <f aca="false">IF(AND(H224=0,J224=0),0,IF(H224=0,"New",(J224-H224)/H224))</f>
        <v>0.0105263157894737</v>
      </c>
      <c r="M224" s="8" t="str">
        <f aca="false">IF(AND(OR(C224&lt;&gt;0,H224&lt;&gt;0),D224=0,I224=0),"DROP",IF(AND(OR(D224&lt;&gt;0,I224&lt;&gt;0),C224=0,H224=0),"NEW",""))</f>
        <v/>
      </c>
    </row>
    <row r="225" customFormat="false" ht="15" hidden="false" customHeight="true" outlineLevel="0" collapsed="false">
      <c r="A225" s="8" t="s">
        <v>373</v>
      </c>
      <c r="B225" s="8" t="str">
        <f aca="false">IFERROR(INDEX('Source NetSuite'!$B:$B,MATCH($A225,'Source NetSuite'!$A:$A,0)),"")</f>
        <v>מדרס סיליקון לנעלי עקב</v>
      </c>
      <c r="C225" s="9" t="n">
        <f aca="false">SUMIF('Source NetSuite'!$A:$A,$A225,'Source NetSuite'!$C:$C)</f>
        <v>2</v>
      </c>
      <c r="D225" s="9" t="n">
        <f aca="false">SUMIF('Source NetSuite'!$A:$A,$A225,'Source NetSuite'!$E:$E)</f>
        <v>0</v>
      </c>
      <c r="E225" s="9" t="n">
        <f aca="false">D225*$J$5</f>
        <v>0</v>
      </c>
      <c r="F225" s="9" t="n">
        <f aca="false">E225-C225</f>
        <v>-2</v>
      </c>
      <c r="G225" s="10" t="n">
        <f aca="false">IF(AND(C225=0,E225=0),0,IF(C225=0,"New",(E225-C225)/C225))</f>
        <v>-1</v>
      </c>
      <c r="H225" s="9" t="n">
        <f aca="false">SUMIF('Source NetSuite'!$A:$A,$A225,'Source NetSuite'!$D:$D)</f>
        <v>64.28</v>
      </c>
      <c r="I225" s="9" t="n">
        <f aca="false">SUMIF('Source NetSuite'!$A:$A,$A225,'Source NetSuite'!$F:$F)</f>
        <v>0</v>
      </c>
      <c r="J225" s="9" t="n">
        <f aca="false">I225*$J$5</f>
        <v>0</v>
      </c>
      <c r="K225" s="9" t="n">
        <f aca="false">J225-H225</f>
        <v>-64.28</v>
      </c>
      <c r="L225" s="10" t="n">
        <f aca="false">IF(AND(H225=0,J225=0),0,IF(H225=0,"New",(J225-H225)/H225))</f>
        <v>-1</v>
      </c>
      <c r="M225" s="8" t="str">
        <f aca="false">IF(AND(OR(C225&lt;&gt;0,H225&lt;&gt;0),D225=0,I225=0),"DROP",IF(AND(OR(D225&lt;&gt;0,I225&lt;&gt;0),C225=0,H225=0),"NEW",""))</f>
        <v>DROP</v>
      </c>
    </row>
    <row r="226" customFormat="false" ht="15" hidden="false" customHeight="true" outlineLevel="0" collapsed="false">
      <c r="A226" s="8" t="s">
        <v>374</v>
      </c>
      <c r="B226" s="8" t="str">
        <f aca="false">IFERROR(INDEX('Source NetSuite'!$B:$B,MATCH($A226,'Source NetSuite'!$A:$A,0)),"")</f>
        <v>גרבי נוחות חורף לבן</v>
      </c>
      <c r="C226" s="9" t="n">
        <f aca="false">SUMIF('Source NetSuite'!$A:$A,$A226,'Source NetSuite'!$C:$C)</f>
        <v>3</v>
      </c>
      <c r="D226" s="9" t="n">
        <f aca="false">SUMIF('Source NetSuite'!$A:$A,$A226,'Source NetSuite'!$E:$E)</f>
        <v>4</v>
      </c>
      <c r="E226" s="9" t="n">
        <f aca="false">D226*$J$5</f>
        <v>5.05263157894737</v>
      </c>
      <c r="F226" s="9" t="n">
        <f aca="false">E226-C226</f>
        <v>2.05263157894737</v>
      </c>
      <c r="G226" s="10" t="n">
        <f aca="false">IF(AND(C226=0,E226=0),0,IF(C226=0,"New",(E226-C226)/C226))</f>
        <v>0.684210526315789</v>
      </c>
      <c r="H226" s="9" t="n">
        <f aca="false">SUMIF('Source NetSuite'!$A:$A,$A226,'Source NetSuite'!$D:$D)</f>
        <v>70.8</v>
      </c>
      <c r="I226" s="9" t="n">
        <f aca="false">SUMIF('Source NetSuite'!$A:$A,$A226,'Source NetSuite'!$F:$F)</f>
        <v>94.4</v>
      </c>
      <c r="J226" s="9" t="n">
        <f aca="false">I226*$J$5</f>
        <v>119.242105263158</v>
      </c>
      <c r="K226" s="9" t="n">
        <f aca="false">J226-H226</f>
        <v>48.4421052631579</v>
      </c>
      <c r="L226" s="10" t="n">
        <f aca="false">IF(AND(H226=0,J226=0),0,IF(H226=0,"New",(J226-H226)/H226))</f>
        <v>0.68421052631579</v>
      </c>
      <c r="M226" s="8" t="str">
        <f aca="false">IF(AND(OR(C226&lt;&gt;0,H226&lt;&gt;0),D226=0,I226=0),"DROP",IF(AND(OR(D226&lt;&gt;0,I226&lt;&gt;0),C226=0,H226=0),"NEW",""))</f>
        <v/>
      </c>
    </row>
    <row r="227" customFormat="false" ht="15" hidden="false" customHeight="true" outlineLevel="0" collapsed="false">
      <c r="A227" s="8" t="s">
        <v>375</v>
      </c>
      <c r="B227" s="8" t="str">
        <f aca="false">IFERROR(INDEX('Source NetSuite'!$B:$B,MATCH($A227,'Source NetSuite'!$A:$A,0)),"")</f>
        <v>מגן ירך</v>
      </c>
      <c r="C227" s="9" t="n">
        <f aca="false">SUMIF('Source NetSuite'!$A:$A,$A227,'Source NetSuite'!$C:$C)</f>
        <v>0</v>
      </c>
      <c r="D227" s="9" t="n">
        <f aca="false">SUMIF('Source NetSuite'!$A:$A,$A227,'Source NetSuite'!$E:$E)</f>
        <v>1</v>
      </c>
      <c r="E227" s="9" t="n">
        <f aca="false">D227*$J$5</f>
        <v>1.26315789473684</v>
      </c>
      <c r="F227" s="9" t="n">
        <f aca="false">E227-C227</f>
        <v>1.26315789473684</v>
      </c>
      <c r="G227" s="10" t="str">
        <f aca="false">IF(AND(C227=0,E227=0),0,IF(C227=0,"New",(E227-C227)/C227))</f>
        <v>New</v>
      </c>
      <c r="H227" s="9" t="n">
        <f aca="false">SUMIF('Source NetSuite'!$A:$A,$A227,'Source NetSuite'!$D:$D)</f>
        <v>0</v>
      </c>
      <c r="I227" s="9" t="n">
        <f aca="false">SUMIF('Source NetSuite'!$A:$A,$A227,'Source NetSuite'!$F:$F)</f>
        <v>21</v>
      </c>
      <c r="J227" s="9" t="n">
        <f aca="false">I227*$J$5</f>
        <v>26.5263157894737</v>
      </c>
      <c r="K227" s="9" t="n">
        <f aca="false">J227-H227</f>
        <v>26.5263157894737</v>
      </c>
      <c r="L227" s="10" t="str">
        <f aca="false">IF(AND(H227=0,J227=0),0,IF(H227=0,"New",(J227-H227)/H227))</f>
        <v>New</v>
      </c>
      <c r="M227" s="8" t="str">
        <f aca="false">IF(AND(OR(C227&lt;&gt;0,H227&lt;&gt;0),D227=0,I227=0),"DROP",IF(AND(OR(D227&lt;&gt;0,I227&lt;&gt;0),C227=0,H227=0),"NEW",""))</f>
        <v>NEW</v>
      </c>
    </row>
    <row r="228" customFormat="false" ht="15" hidden="false" customHeight="true" outlineLevel="0" collapsed="false">
      <c r="A228" s="8" t="s">
        <v>376</v>
      </c>
      <c r="B228" s="8" t="str">
        <f aca="false">IFERROR(INDEX('Source NetSuite'!$B:$B,MATCH($A228,'Source NetSuite'!$A:$A,0)),"")</f>
        <v>מגן ירך</v>
      </c>
      <c r="C228" s="9" t="n">
        <f aca="false">SUMIF('Source NetSuite'!$A:$A,$A228,'Source NetSuite'!$C:$C)</f>
        <v>1</v>
      </c>
      <c r="D228" s="9" t="n">
        <f aca="false">SUMIF('Source NetSuite'!$A:$A,$A228,'Source NetSuite'!$E:$E)</f>
        <v>0</v>
      </c>
      <c r="E228" s="9" t="n">
        <f aca="false">D228*$J$5</f>
        <v>0</v>
      </c>
      <c r="F228" s="9" t="n">
        <f aca="false">E228-C228</f>
        <v>-1</v>
      </c>
      <c r="G228" s="10" t="n">
        <f aca="false">IF(AND(C228=0,E228=0),0,IF(C228=0,"New",(E228-C228)/C228))</f>
        <v>-1</v>
      </c>
      <c r="H228" s="9" t="n">
        <f aca="false">SUMIF('Source NetSuite'!$A:$A,$A228,'Source NetSuite'!$D:$D)</f>
        <v>21</v>
      </c>
      <c r="I228" s="9" t="n">
        <f aca="false">SUMIF('Source NetSuite'!$A:$A,$A228,'Source NetSuite'!$F:$F)</f>
        <v>0</v>
      </c>
      <c r="J228" s="9" t="n">
        <f aca="false">I228*$J$5</f>
        <v>0</v>
      </c>
      <c r="K228" s="9" t="n">
        <f aca="false">J228-H228</f>
        <v>-21</v>
      </c>
      <c r="L228" s="10" t="n">
        <f aca="false">IF(AND(H228=0,J228=0),0,IF(H228=0,"New",(J228-H228)/H228))</f>
        <v>-1</v>
      </c>
      <c r="M228" s="8" t="str">
        <f aca="false">IF(AND(OR(C228&lt;&gt;0,H228&lt;&gt;0),D228=0,I228=0),"DROP",IF(AND(OR(D228&lt;&gt;0,I228&lt;&gt;0),C228=0,H228=0),"NEW",""))</f>
        <v>DROP</v>
      </c>
    </row>
    <row r="229" customFormat="false" ht="15" hidden="false" customHeight="true" outlineLevel="0" collapsed="false">
      <c r="A229" s="8" t="s">
        <v>377</v>
      </c>
      <c r="B229" s="8" t="str">
        <f aca="false">IFERROR(INDEX('Source NetSuite'!$B:$B,MATCH($A229,'Source NetSuite'!$A:$A,0)),"")</f>
        <v>ריפוד סיליקון לנעלי אצבע</v>
      </c>
      <c r="C229" s="9" t="n">
        <f aca="false">SUMIF('Source NetSuite'!$A:$A,$A229,'Source NetSuite'!$C:$C)</f>
        <v>2</v>
      </c>
      <c r="D229" s="9" t="n">
        <f aca="false">SUMIF('Source NetSuite'!$A:$A,$A229,'Source NetSuite'!$E:$E)</f>
        <v>1</v>
      </c>
      <c r="E229" s="9" t="n">
        <f aca="false">D229*$J$5</f>
        <v>1.26315789473684</v>
      </c>
      <c r="F229" s="9" t="n">
        <f aca="false">E229-C229</f>
        <v>-0.736842105263158</v>
      </c>
      <c r="G229" s="10" t="n">
        <f aca="false">IF(AND(C229=0,E229=0),0,IF(C229=0,"New",(E229-C229)/C229))</f>
        <v>-0.368421052631579</v>
      </c>
      <c r="H229" s="9" t="n">
        <f aca="false">SUMIF('Source NetSuite'!$A:$A,$A229,'Source NetSuite'!$D:$D)</f>
        <v>31.82</v>
      </c>
      <c r="I229" s="9" t="n">
        <f aca="false">SUMIF('Source NetSuite'!$A:$A,$A229,'Source NetSuite'!$F:$F)</f>
        <v>15.91</v>
      </c>
      <c r="J229" s="9" t="n">
        <f aca="false">I229*$J$5</f>
        <v>20.0968421052632</v>
      </c>
      <c r="K229" s="9" t="n">
        <f aca="false">J229-H229</f>
        <v>-11.7231578947368</v>
      </c>
      <c r="L229" s="10" t="n">
        <f aca="false">IF(AND(H229=0,J229=0),0,IF(H229=0,"New",(J229-H229)/H229))</f>
        <v>-0.368421052631579</v>
      </c>
      <c r="M229" s="8" t="str">
        <f aca="false">IF(AND(OR(C229&lt;&gt;0,H229&lt;&gt;0),D229=0,I229=0),"DROP",IF(AND(OR(D229&lt;&gt;0,I229&lt;&gt;0),C229=0,H229=0),"NEW",""))</f>
        <v/>
      </c>
    </row>
    <row r="230" customFormat="false" ht="15" hidden="false" customHeight="true" outlineLevel="0" collapsed="false">
      <c r="A230" s="8" t="s">
        <v>378</v>
      </c>
      <c r="B230" s="8" t="str">
        <f aca="false">IFERROR(INDEX('Source NetSuite'!$B:$B,MATCH($A230,'Source NetSuite'!$A:$A,0)),"")</f>
        <v>מגן ירך</v>
      </c>
      <c r="C230" s="9" t="n">
        <f aca="false">SUMIF('Source NetSuite'!$A:$A,$A230,'Source NetSuite'!$C:$C)</f>
        <v>7</v>
      </c>
      <c r="D230" s="9" t="n">
        <f aca="false">SUMIF('Source NetSuite'!$A:$A,$A230,'Source NetSuite'!$E:$E)</f>
        <v>7</v>
      </c>
      <c r="E230" s="9" t="n">
        <f aca="false">D230*$J$5</f>
        <v>8.84210526315789</v>
      </c>
      <c r="F230" s="9" t="n">
        <f aca="false">E230-C230</f>
        <v>1.84210526315789</v>
      </c>
      <c r="G230" s="10" t="n">
        <f aca="false">IF(AND(C230=0,E230=0),0,IF(C230=0,"New",(E230-C230)/C230))</f>
        <v>0.263157894736842</v>
      </c>
      <c r="H230" s="9" t="n">
        <f aca="false">SUMIF('Source NetSuite'!$A:$A,$A230,'Source NetSuite'!$D:$D)</f>
        <v>147</v>
      </c>
      <c r="I230" s="9" t="n">
        <f aca="false">SUMIF('Source NetSuite'!$A:$A,$A230,'Source NetSuite'!$F:$F)</f>
        <v>147</v>
      </c>
      <c r="J230" s="9" t="n">
        <f aca="false">I230*$J$5</f>
        <v>185.684210526316</v>
      </c>
      <c r="K230" s="9" t="n">
        <f aca="false">J230-H230</f>
        <v>38.6842105263158</v>
      </c>
      <c r="L230" s="10" t="n">
        <f aca="false">IF(AND(H230=0,J230=0),0,IF(H230=0,"New",(J230-H230)/H230))</f>
        <v>0.263157894736842</v>
      </c>
      <c r="M230" s="8" t="str">
        <f aca="false">IF(AND(OR(C230&lt;&gt;0,H230&lt;&gt;0),D230=0,I230=0),"DROP",IF(AND(OR(D230&lt;&gt;0,I230&lt;&gt;0),C230=0,H230=0),"NEW",""))</f>
        <v/>
      </c>
    </row>
    <row r="231" customFormat="false" ht="15" hidden="false" customHeight="true" outlineLevel="0" collapsed="false">
      <c r="A231" s="8" t="s">
        <v>379</v>
      </c>
      <c r="B231" s="8" t="str">
        <f aca="false">IFERROR(INDEX('Source NetSuite'!$B:$B,MATCH($A231,'Source NetSuite'!$A:$A,0)),"")</f>
        <v>מדרס מתכוונן לגיל</v>
      </c>
      <c r="C231" s="9" t="n">
        <f aca="false">SUMIF('Source NetSuite'!$A:$A,$A231,'Source NetSuite'!$C:$C)</f>
        <v>-1</v>
      </c>
      <c r="D231" s="9" t="n">
        <f aca="false">SUMIF('Source NetSuite'!$A:$A,$A231,'Source NetSuite'!$E:$E)</f>
        <v>0</v>
      </c>
      <c r="E231" s="9" t="n">
        <f aca="false">D231*$J$5</f>
        <v>0</v>
      </c>
      <c r="F231" s="9" t="n">
        <f aca="false">E231-C231</f>
        <v>1</v>
      </c>
      <c r="G231" s="10" t="n">
        <f aca="false">IF(AND(C231=0,E231=0),0,IF(C231=0,"New",(E231-C231)/C231))</f>
        <v>-1</v>
      </c>
      <c r="H231" s="9" t="n">
        <f aca="false">SUMIF('Source NetSuite'!$A:$A,$A231,'Source NetSuite'!$D:$D)</f>
        <v>0</v>
      </c>
      <c r="I231" s="9" t="n">
        <f aca="false">SUMIF('Source NetSuite'!$A:$A,$A231,'Source NetSuite'!$F:$F)</f>
        <v>0</v>
      </c>
      <c r="J231" s="9" t="n">
        <f aca="false">I231*$J$5</f>
        <v>0</v>
      </c>
      <c r="K231" s="9" t="n">
        <f aca="false">J231-H231</f>
        <v>0</v>
      </c>
      <c r="L231" s="10" t="n">
        <f aca="false">IF(AND(H231=0,J231=0),0,IF(H231=0,"New",(J231-H231)/H231))</f>
        <v>0</v>
      </c>
      <c r="M231" s="8" t="str">
        <f aca="false">IF(AND(OR(C231&lt;&gt;0,H231&lt;&gt;0),D231=0,I231=0),"DROP",IF(AND(OR(D231&lt;&gt;0,I231&lt;&gt;0),C231=0,H231=0),"NEW",""))</f>
        <v>DROP</v>
      </c>
    </row>
    <row r="232" customFormat="false" ht="15" hidden="false" customHeight="true" outlineLevel="0" collapsed="false">
      <c r="A232" s="8" t="s">
        <v>380</v>
      </c>
      <c r="B232" s="8" t="str">
        <f aca="false">IFERROR(INDEX('Source NetSuite'!$B:$B,MATCH($A232,'Source NetSuite'!$A:$A,0)),"")</f>
        <v>חגורת שבר לצד שמאל</v>
      </c>
      <c r="C232" s="9" t="n">
        <f aca="false">SUMIF('Source NetSuite'!$A:$A,$A232,'Source NetSuite'!$C:$C)</f>
        <v>1</v>
      </c>
      <c r="D232" s="9" t="n">
        <f aca="false">SUMIF('Source NetSuite'!$A:$A,$A232,'Source NetSuite'!$E:$E)</f>
        <v>1</v>
      </c>
      <c r="E232" s="9" t="n">
        <f aca="false">D232*$J$5</f>
        <v>1.26315789473684</v>
      </c>
      <c r="F232" s="9" t="n">
        <f aca="false">E232-C232</f>
        <v>0.263157894736842</v>
      </c>
      <c r="G232" s="10" t="n">
        <f aca="false">IF(AND(C232=0,E232=0),0,IF(C232=0,"New",(E232-C232)/C232))</f>
        <v>0.263157894736842</v>
      </c>
      <c r="H232" s="9" t="n">
        <f aca="false">SUMIF('Source NetSuite'!$A:$A,$A232,'Source NetSuite'!$D:$D)</f>
        <v>126.57</v>
      </c>
      <c r="I232" s="9" t="n">
        <f aca="false">SUMIF('Source NetSuite'!$A:$A,$A232,'Source NetSuite'!$F:$F)</f>
        <v>126.57</v>
      </c>
      <c r="J232" s="9" t="n">
        <f aca="false">I232*$J$5</f>
        <v>159.877894736842</v>
      </c>
      <c r="K232" s="9" t="n">
        <f aca="false">J232-H232</f>
        <v>33.3078947368421</v>
      </c>
      <c r="L232" s="10" t="n">
        <f aca="false">IF(AND(H232=0,J232=0),0,IF(H232=0,"New",(J232-H232)/H232))</f>
        <v>0.263157894736842</v>
      </c>
      <c r="M232" s="8" t="str">
        <f aca="false">IF(AND(OR(C232&lt;&gt;0,H232&lt;&gt;0),D232=0,I232=0),"DROP",IF(AND(OR(D232&lt;&gt;0,I232&lt;&gt;0),C232=0,H232=0),"NEW",""))</f>
        <v/>
      </c>
    </row>
    <row r="233" customFormat="false" ht="15" hidden="false" customHeight="true" outlineLevel="0" collapsed="false">
      <c r="A233" s="8" t="s">
        <v>381</v>
      </c>
      <c r="B233" s="8" t="str">
        <f aca="false">IFERROR(INDEX('Source NetSuite'!$B:$B,MATCH($A233,'Source NetSuite'!$A:$A,0)),"")</f>
        <v>סטנד URIEL שחור מסתובב מתכת 35 ס''מ לבתי מרקחת</v>
      </c>
      <c r="C233" s="9" t="n">
        <f aca="false">SUMIF('Source NetSuite'!$A:$A,$A233,'Source NetSuite'!$C:$C)</f>
        <v>0</v>
      </c>
      <c r="D233" s="9" t="n">
        <f aca="false">SUMIF('Source NetSuite'!$A:$A,$A233,'Source NetSuite'!$E:$E)</f>
        <v>2</v>
      </c>
      <c r="E233" s="9" t="n">
        <f aca="false">D233*$J$5</f>
        <v>2.52631578947368</v>
      </c>
      <c r="F233" s="9" t="n">
        <f aca="false">E233-C233</f>
        <v>2.52631578947368</v>
      </c>
      <c r="G233" s="10" t="str">
        <f aca="false">IF(AND(C233=0,E233=0),0,IF(C233=0,"New",(E233-C233)/C233))</f>
        <v>New</v>
      </c>
      <c r="H233" s="9" t="n">
        <f aca="false">SUMIF('Source NetSuite'!$A:$A,$A233,'Source NetSuite'!$D:$D)</f>
        <v>0</v>
      </c>
      <c r="I233" s="9" t="n">
        <f aca="false">SUMIF('Source NetSuite'!$A:$A,$A233,'Source NetSuite'!$F:$F)</f>
        <v>0</v>
      </c>
      <c r="J233" s="9" t="n">
        <f aca="false">I233*$J$5</f>
        <v>0</v>
      </c>
      <c r="K233" s="9" t="n">
        <f aca="false">J233-H233</f>
        <v>0</v>
      </c>
      <c r="L233" s="10" t="n">
        <f aca="false">IF(AND(H233=0,J233=0),0,IF(H233=0,"New",(J233-H233)/H233))</f>
        <v>0</v>
      </c>
      <c r="M233" s="8" t="str">
        <f aca="false">IF(AND(OR(C233&lt;&gt;0,H233&lt;&gt;0),D233=0,I233=0),"DROP",IF(AND(OR(D233&lt;&gt;0,I233&lt;&gt;0),C233=0,H233=0),"NEW",""))</f>
        <v>NEW</v>
      </c>
    </row>
    <row r="234" customFormat="false" ht="15" hidden="false" customHeight="true" outlineLevel="0" collapsed="false">
      <c r="A234" s="8" t="s">
        <v>382</v>
      </c>
      <c r="B234" s="8" t="str">
        <f aca="false">IFERROR(INDEX('Source NetSuite'!$B:$B,MATCH($A234,'Source NetSuite'!$A:$A,0)),"")</f>
        <v>חגורת שבר לצד שמאל</v>
      </c>
      <c r="C234" s="9" t="n">
        <f aca="false">SUMIF('Source NetSuite'!$A:$A,$A234,'Source NetSuite'!$C:$C)</f>
        <v>1</v>
      </c>
      <c r="D234" s="9" t="n">
        <f aca="false">SUMIF('Source NetSuite'!$A:$A,$A234,'Source NetSuite'!$E:$E)</f>
        <v>1</v>
      </c>
      <c r="E234" s="9" t="n">
        <f aca="false">D234*$J$5</f>
        <v>1.26315789473684</v>
      </c>
      <c r="F234" s="9" t="n">
        <f aca="false">E234-C234</f>
        <v>0.263157894736842</v>
      </c>
      <c r="G234" s="10" t="n">
        <f aca="false">IF(AND(C234=0,E234=0),0,IF(C234=0,"New",(E234-C234)/C234))</f>
        <v>0.263157894736842</v>
      </c>
      <c r="H234" s="9" t="n">
        <f aca="false">SUMIF('Source NetSuite'!$A:$A,$A234,'Source NetSuite'!$D:$D)</f>
        <v>126.57</v>
      </c>
      <c r="I234" s="9" t="n">
        <f aca="false">SUMIF('Source NetSuite'!$A:$A,$A234,'Source NetSuite'!$F:$F)</f>
        <v>126.57</v>
      </c>
      <c r="J234" s="9" t="n">
        <f aca="false">I234*$J$5</f>
        <v>159.877894736842</v>
      </c>
      <c r="K234" s="9" t="n">
        <f aca="false">J234-H234</f>
        <v>33.3078947368421</v>
      </c>
      <c r="L234" s="10" t="n">
        <f aca="false">IF(AND(H234=0,J234=0),0,IF(H234=0,"New",(J234-H234)/H234))</f>
        <v>0.263157894736842</v>
      </c>
      <c r="M234" s="8" t="str">
        <f aca="false">IF(AND(OR(C234&lt;&gt;0,H234&lt;&gt;0),D234=0,I234=0),"DROP",IF(AND(OR(D234&lt;&gt;0,I234&lt;&gt;0),C234=0,H234=0),"NEW",""))</f>
        <v/>
      </c>
    </row>
    <row r="235" customFormat="false" ht="15" hidden="false" customHeight="true" outlineLevel="0" collapsed="false">
      <c r="A235" s="8" t="s">
        <v>383</v>
      </c>
      <c r="B235" s="8" t="str">
        <f aca="false">IFERROR(INDEX('Source NetSuite'!$B:$B,MATCH($A235,'Source NetSuite'!$A:$A,0)),"")</f>
        <v>סטנד שחור URIEL  מתפרק גב</v>
      </c>
      <c r="C235" s="9" t="n">
        <f aca="false">SUMIF('Source NetSuite'!$A:$A,$A235,'Source NetSuite'!$C:$C)</f>
        <v>0</v>
      </c>
      <c r="D235" s="9" t="n">
        <f aca="false">SUMIF('Source NetSuite'!$A:$A,$A235,'Source NetSuite'!$E:$E)</f>
        <v>1</v>
      </c>
      <c r="E235" s="9" t="n">
        <f aca="false">D235*$J$5</f>
        <v>1.26315789473684</v>
      </c>
      <c r="F235" s="9" t="n">
        <f aca="false">E235-C235</f>
        <v>1.26315789473684</v>
      </c>
      <c r="G235" s="10" t="str">
        <f aca="false">IF(AND(C235=0,E235=0),0,IF(C235=0,"New",(E235-C235)/C235))</f>
        <v>New</v>
      </c>
      <c r="H235" s="9" t="n">
        <f aca="false">SUMIF('Source NetSuite'!$A:$A,$A235,'Source NetSuite'!$D:$D)</f>
        <v>0</v>
      </c>
      <c r="I235" s="9" t="n">
        <f aca="false">SUMIF('Source NetSuite'!$A:$A,$A235,'Source NetSuite'!$F:$F)</f>
        <v>0</v>
      </c>
      <c r="J235" s="9" t="n">
        <f aca="false">I235*$J$5</f>
        <v>0</v>
      </c>
      <c r="K235" s="9" t="n">
        <f aca="false">J235-H235</f>
        <v>0</v>
      </c>
      <c r="L235" s="10" t="n">
        <f aca="false">IF(AND(H235=0,J235=0),0,IF(H235=0,"New",(J235-H235)/H235))</f>
        <v>0</v>
      </c>
      <c r="M235" s="8" t="str">
        <f aca="false">IF(AND(OR(C235&lt;&gt;0,H235&lt;&gt;0),D235=0,I235=0),"DROP",IF(AND(OR(D235&lt;&gt;0,I235&lt;&gt;0),C235=0,H235=0),"NEW",""))</f>
        <v>NEW</v>
      </c>
    </row>
    <row r="236" customFormat="false" ht="15" hidden="false" customHeight="true" outlineLevel="0" collapsed="false">
      <c r="A236" s="8" t="s">
        <v>384</v>
      </c>
      <c r="B236" s="8" t="str">
        <f aca="false">IFERROR(INDEX('Source NetSuite'!$B:$B,MATCH($A236,'Source NetSuite'!$A:$A,0)),"")</f>
        <v>מגן שוק רגיל</v>
      </c>
      <c r="C236" s="9" t="n">
        <f aca="false">SUMIF('Source NetSuite'!$A:$A,$A236,'Source NetSuite'!$C:$C)</f>
        <v>2</v>
      </c>
      <c r="D236" s="9" t="n">
        <f aca="false">SUMIF('Source NetSuite'!$A:$A,$A236,'Source NetSuite'!$E:$E)</f>
        <v>2</v>
      </c>
      <c r="E236" s="9" t="n">
        <f aca="false">D236*$J$5</f>
        <v>2.52631578947368</v>
      </c>
      <c r="F236" s="9" t="n">
        <f aca="false">E236-C236</f>
        <v>0.526315789473684</v>
      </c>
      <c r="G236" s="10" t="n">
        <f aca="false">IF(AND(C236=0,E236=0),0,IF(C236=0,"New",(E236-C236)/C236))</f>
        <v>0.263157894736842</v>
      </c>
      <c r="H236" s="9" t="n">
        <f aca="false">SUMIF('Source NetSuite'!$A:$A,$A236,'Source NetSuite'!$D:$D)</f>
        <v>147.6</v>
      </c>
      <c r="I236" s="9" t="n">
        <f aca="false">SUMIF('Source NetSuite'!$A:$A,$A236,'Source NetSuite'!$F:$F)</f>
        <v>147.6</v>
      </c>
      <c r="J236" s="9" t="n">
        <f aca="false">I236*$J$5</f>
        <v>186.442105263158</v>
      </c>
      <c r="K236" s="9" t="n">
        <f aca="false">J236-H236</f>
        <v>38.8421052631579</v>
      </c>
      <c r="L236" s="10" t="n">
        <f aca="false">IF(AND(H236=0,J236=0),0,IF(H236=0,"New",(J236-H236)/H236))</f>
        <v>0.263157894736842</v>
      </c>
      <c r="M236" s="8" t="str">
        <f aca="false">IF(AND(OR(C236&lt;&gt;0,H236&lt;&gt;0),D236=0,I236=0),"DROP",IF(AND(OR(D236&lt;&gt;0,I236&lt;&gt;0),C236=0,H236=0),"NEW",""))</f>
        <v/>
      </c>
    </row>
    <row r="237" customFormat="false" ht="15" hidden="false" customHeight="true" outlineLevel="0" collapsed="false">
      <c r="A237" s="8" t="s">
        <v>385</v>
      </c>
      <c r="B237" s="8" t="str">
        <f aca="false">IFERROR(INDEX('Source NetSuite'!$B:$B,MATCH($A237,'Source NetSuite'!$A:$A,0)),"")</f>
        <v>חגורת גב+סגירה כפולה</v>
      </c>
      <c r="C237" s="9" t="n">
        <f aca="false">SUMIF('Source NetSuite'!$A:$A,$A237,'Source NetSuite'!$C:$C)</f>
        <v>3</v>
      </c>
      <c r="D237" s="9" t="n">
        <f aca="false">SUMIF('Source NetSuite'!$A:$A,$A237,'Source NetSuite'!$E:$E)</f>
        <v>3</v>
      </c>
      <c r="E237" s="9" t="n">
        <f aca="false">D237*$J$5</f>
        <v>3.78947368421053</v>
      </c>
      <c r="F237" s="9" t="n">
        <f aca="false">E237-C237</f>
        <v>0.789473684210526</v>
      </c>
      <c r="G237" s="10" t="n">
        <f aca="false">IF(AND(C237=0,E237=0),0,IF(C237=0,"New",(E237-C237)/C237))</f>
        <v>0.263157894736842</v>
      </c>
      <c r="H237" s="9" t="n">
        <f aca="false">SUMIF('Source NetSuite'!$A:$A,$A237,'Source NetSuite'!$D:$D)</f>
        <v>195</v>
      </c>
      <c r="I237" s="9" t="n">
        <f aca="false">SUMIF('Source NetSuite'!$A:$A,$A237,'Source NetSuite'!$F:$F)</f>
        <v>195</v>
      </c>
      <c r="J237" s="9" t="n">
        <f aca="false">I237*$J$5</f>
        <v>246.315789473684</v>
      </c>
      <c r="K237" s="9" t="n">
        <f aca="false">J237-H237</f>
        <v>51.3157894736842</v>
      </c>
      <c r="L237" s="10" t="n">
        <f aca="false">IF(AND(H237=0,J237=0),0,IF(H237=0,"New",(J237-H237)/H237))</f>
        <v>0.263157894736842</v>
      </c>
      <c r="M237" s="8" t="str">
        <f aca="false">IF(AND(OR(C237&lt;&gt;0,H237&lt;&gt;0),D237=0,I237=0),"DROP",IF(AND(OR(D237&lt;&gt;0,I237&lt;&gt;0),C237=0,H237=0),"NEW",""))</f>
        <v/>
      </c>
    </row>
    <row r="238" customFormat="false" ht="15" hidden="false" customHeight="true" outlineLevel="0" collapsed="false">
      <c r="A238" s="8" t="s">
        <v>386</v>
      </c>
      <c r="B238" s="8" t="str">
        <f aca="false">IFERROR(INDEX('Source NetSuite'!$B:$B,MATCH($A238,'Source NetSuite'!$A:$A,0)),"")</f>
        <v>קוצץ ציפורניים</v>
      </c>
      <c r="C238" s="9" t="n">
        <f aca="false">SUMIF('Source NetSuite'!$A:$A,$A238,'Source NetSuite'!$C:$C)</f>
        <v>0</v>
      </c>
      <c r="D238" s="9" t="n">
        <f aca="false">SUMIF('Source NetSuite'!$A:$A,$A238,'Source NetSuite'!$E:$E)</f>
        <v>6</v>
      </c>
      <c r="E238" s="9" t="n">
        <f aca="false">D238*$J$5</f>
        <v>7.57894736842105</v>
      </c>
      <c r="F238" s="9" t="n">
        <f aca="false">E238-C238</f>
        <v>7.57894736842105</v>
      </c>
      <c r="G238" s="10" t="str">
        <f aca="false">IF(AND(C238=0,E238=0),0,IF(C238=0,"New",(E238-C238)/C238))</f>
        <v>New</v>
      </c>
      <c r="H238" s="9" t="n">
        <f aca="false">SUMIF('Source NetSuite'!$A:$A,$A238,'Source NetSuite'!$D:$D)</f>
        <v>0</v>
      </c>
      <c r="I238" s="9" t="n">
        <f aca="false">SUMIF('Source NetSuite'!$A:$A,$A238,'Source NetSuite'!$F:$F)</f>
        <v>0</v>
      </c>
      <c r="J238" s="9" t="n">
        <f aca="false">I238*$J$5</f>
        <v>0</v>
      </c>
      <c r="K238" s="9" t="n">
        <f aca="false">J238-H238</f>
        <v>0</v>
      </c>
      <c r="L238" s="10" t="n">
        <f aca="false">IF(AND(H238=0,J238=0),0,IF(H238=0,"New",(J238-H238)/H238))</f>
        <v>0</v>
      </c>
      <c r="M238" s="8" t="str">
        <f aca="false">IF(AND(OR(C238&lt;&gt;0,H238&lt;&gt;0),D238=0,I238=0),"DROP",IF(AND(OR(D238&lt;&gt;0,I238&lt;&gt;0),C238=0,H238=0),"NEW",""))</f>
        <v>NEW</v>
      </c>
    </row>
    <row r="239" customFormat="false" ht="15" hidden="false" customHeight="true" outlineLevel="0" collapsed="false">
      <c r="A239" s="8" t="s">
        <v>387</v>
      </c>
      <c r="B239" s="8" t="str">
        <f aca="false">IFERROR(INDEX('Source NetSuite'!$B:$B,MATCH($A239,'Source NetSuite'!$A:$A,0)),"")</f>
        <v>מגן לכתף ימין/שמאל</v>
      </c>
      <c r="C239" s="9" t="n">
        <f aca="false">SUMIF('Source NetSuite'!$A:$A,$A239,'Source NetSuite'!$C:$C)</f>
        <v>2</v>
      </c>
      <c r="D239" s="9" t="n">
        <f aca="false">SUMIF('Source NetSuite'!$A:$A,$A239,'Source NetSuite'!$E:$E)</f>
        <v>2</v>
      </c>
      <c r="E239" s="9" t="n">
        <f aca="false">D239*$J$5</f>
        <v>2.52631578947368</v>
      </c>
      <c r="F239" s="9" t="n">
        <f aca="false">E239-C239</f>
        <v>0.526315789473684</v>
      </c>
      <c r="G239" s="10" t="n">
        <f aca="false">IF(AND(C239=0,E239=0),0,IF(C239=0,"New",(E239-C239)/C239))</f>
        <v>0.263157894736842</v>
      </c>
      <c r="H239" s="9" t="n">
        <f aca="false">SUMIF('Source NetSuite'!$A:$A,$A239,'Source NetSuite'!$D:$D)</f>
        <v>257.42</v>
      </c>
      <c r="I239" s="9" t="n">
        <f aca="false">SUMIF('Source NetSuite'!$A:$A,$A239,'Source NetSuite'!$F:$F)</f>
        <v>257.42</v>
      </c>
      <c r="J239" s="9" t="n">
        <f aca="false">I239*$J$5</f>
        <v>325.162105263158</v>
      </c>
      <c r="K239" s="9" t="n">
        <f aca="false">J239-H239</f>
        <v>67.7421052631579</v>
      </c>
      <c r="L239" s="10" t="n">
        <f aca="false">IF(AND(H239=0,J239=0),0,IF(H239=0,"New",(J239-H239)/H239))</f>
        <v>0.263157894736842</v>
      </c>
      <c r="M239" s="8" t="str">
        <f aca="false">IF(AND(OR(C239&lt;&gt;0,H239&lt;&gt;0),D239=0,I239=0),"DROP",IF(AND(OR(D239&lt;&gt;0,I239&lt;&gt;0),C239=0,H239=0),"NEW",""))</f>
        <v/>
      </c>
    </row>
    <row r="240" customFormat="false" ht="15" hidden="false" customHeight="true" outlineLevel="0" collapsed="false">
      <c r="A240" s="8" t="s">
        <v>388</v>
      </c>
      <c r="B240" s="8" t="str">
        <f aca="false">IFERROR(INDEX('Source NetSuite'!$B:$B,MATCH($A240,'Source NetSuite'!$A:$A,0)),"")</f>
        <v>חגורת קיבוע לכתף</v>
      </c>
      <c r="C240" s="9" t="n">
        <f aca="false">SUMIF('Source NetSuite'!$A:$A,$A240,'Source NetSuite'!$C:$C)</f>
        <v>0</v>
      </c>
      <c r="D240" s="9" t="n">
        <f aca="false">SUMIF('Source NetSuite'!$A:$A,$A240,'Source NetSuite'!$E:$E)</f>
        <v>1</v>
      </c>
      <c r="E240" s="9" t="n">
        <f aca="false">D240*$J$5</f>
        <v>1.26315789473684</v>
      </c>
      <c r="F240" s="9" t="n">
        <f aca="false">E240-C240</f>
        <v>1.26315789473684</v>
      </c>
      <c r="G240" s="10" t="str">
        <f aca="false">IF(AND(C240=0,E240=0),0,IF(C240=0,"New",(E240-C240)/C240))</f>
        <v>New</v>
      </c>
      <c r="H240" s="9" t="n">
        <f aca="false">SUMIF('Source NetSuite'!$A:$A,$A240,'Source NetSuite'!$D:$D)</f>
        <v>0</v>
      </c>
      <c r="I240" s="9" t="n">
        <f aca="false">SUMIF('Source NetSuite'!$A:$A,$A240,'Source NetSuite'!$F:$F)</f>
        <v>0</v>
      </c>
      <c r="J240" s="9" t="n">
        <f aca="false">I240*$J$5</f>
        <v>0</v>
      </c>
      <c r="K240" s="9" t="n">
        <f aca="false">J240-H240</f>
        <v>0</v>
      </c>
      <c r="L240" s="10" t="n">
        <f aca="false">IF(AND(H240=0,J240=0),0,IF(H240=0,"New",(J240-H240)/H240))</f>
        <v>0</v>
      </c>
      <c r="M240" s="8" t="str">
        <f aca="false">IF(AND(OR(C240&lt;&gt;0,H240&lt;&gt;0),D240=0,I240=0),"DROP",IF(AND(OR(D240&lt;&gt;0,I240&lt;&gt;0),C240=0,H240=0),"NEW",""))</f>
        <v>NEW</v>
      </c>
    </row>
    <row r="242" customFormat="false" ht="15" hidden="false" customHeight="true" outlineLevel="0" collapsed="false">
      <c r="A242" s="20"/>
      <c r="B242" s="21" t="s">
        <v>155</v>
      </c>
      <c r="C242" s="22" t="n">
        <f aca="false">SUM(C9:C240)</f>
        <v>29601</v>
      </c>
      <c r="D242" s="22" t="n">
        <f aca="false">SUM(D9:D240)</f>
        <v>7385</v>
      </c>
      <c r="E242" s="22" t="n">
        <f aca="false">SUM(E9:E240)</f>
        <v>9328.42105263158</v>
      </c>
      <c r="F242" s="22" t="n">
        <f aca="false">SUM(F9:F240)</f>
        <v>-20272.5789473684</v>
      </c>
      <c r="G242" s="23" t="n">
        <f aca="false">IF(C242=0,"N/A",F242/C242)</f>
        <v>-0.68486128669195</v>
      </c>
      <c r="H242" s="22" t="n">
        <f aca="false">SUM(H9:H240)</f>
        <v>860680.72</v>
      </c>
      <c r="I242" s="22" t="n">
        <f aca="false">SUM(I9:I240)</f>
        <v>186688.02</v>
      </c>
      <c r="J242" s="22" t="n">
        <f aca="false">SUM(J9:J240)</f>
        <v>235816.446315789</v>
      </c>
      <c r="K242" s="22" t="n">
        <f aca="false">SUM(K9:K240)</f>
        <v>-624864.273684211</v>
      </c>
      <c r="L242" s="23" t="n">
        <f aca="false">IF(H242=0,"N/A",K242/H242)</f>
        <v>-0.726011701161623</v>
      </c>
      <c r="M242" s="20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4" min="4" style="1" width="14"/>
  </cols>
  <sheetData>
    <row r="1" customFormat="false" ht="13.5" hidden="false" customHeight="true" outlineLevel="0" collapsed="false">
      <c r="A1" s="24" t="s">
        <v>389</v>
      </c>
      <c r="B1" s="24"/>
      <c r="C1" s="24"/>
      <c r="D1" s="24"/>
    </row>
    <row r="2" customFormat="false" ht="15" hidden="false" customHeight="true" outlineLevel="0" collapsed="false">
      <c r="A2" s="25" t="s">
        <v>390</v>
      </c>
      <c r="B2" s="25" t="s">
        <v>391</v>
      </c>
      <c r="C2" s="25" t="s">
        <v>392</v>
      </c>
      <c r="D2" s="25" t="s">
        <v>393</v>
      </c>
    </row>
    <row r="3" customFormat="false" ht="15" hidden="false" customHeight="true" outlineLevel="0" collapsed="false">
      <c r="A3" s="8" t="s">
        <v>394</v>
      </c>
      <c r="B3" s="8" t="s">
        <v>80</v>
      </c>
      <c r="C3" s="8" t="s">
        <v>395</v>
      </c>
      <c r="D3" s="26" t="n">
        <v>0</v>
      </c>
    </row>
    <row r="4" customFormat="false" ht="15" hidden="false" customHeight="true" outlineLevel="0" collapsed="false">
      <c r="A4" s="8" t="s">
        <v>394</v>
      </c>
      <c r="B4" s="8" t="s">
        <v>80</v>
      </c>
      <c r="C4" s="8" t="s">
        <v>396</v>
      </c>
      <c r="D4" s="26" t="n">
        <v>0</v>
      </c>
    </row>
    <row r="5" customFormat="false" ht="15" hidden="false" customHeight="true" outlineLevel="0" collapsed="false">
      <c r="A5" s="8" t="s">
        <v>394</v>
      </c>
      <c r="B5" s="8" t="s">
        <v>121</v>
      </c>
      <c r="C5" s="8" t="s">
        <v>397</v>
      </c>
      <c r="D5" s="26" t="n">
        <v>0</v>
      </c>
    </row>
    <row r="6" customFormat="false" ht="15" hidden="false" customHeight="true" outlineLevel="0" collapsed="false">
      <c r="A6" s="8" t="s">
        <v>394</v>
      </c>
      <c r="B6" s="8" t="s">
        <v>398</v>
      </c>
      <c r="C6" s="8" t="s">
        <v>399</v>
      </c>
      <c r="D6" s="26" t="n">
        <v>0</v>
      </c>
    </row>
    <row r="7" customFormat="false" ht="15" hidden="false" customHeight="true" outlineLevel="0" collapsed="false">
      <c r="A7" s="8" t="s">
        <v>394</v>
      </c>
      <c r="B7" s="8" t="s">
        <v>400</v>
      </c>
      <c r="C7" s="8" t="s">
        <v>401</v>
      </c>
      <c r="D7" s="26" t="n">
        <v>0</v>
      </c>
    </row>
    <row r="8" customFormat="false" ht="15" hidden="false" customHeight="true" outlineLevel="0" collapsed="false">
      <c r="A8" s="8" t="s">
        <v>394</v>
      </c>
      <c r="B8" s="8" t="s">
        <v>402</v>
      </c>
      <c r="C8" s="8" t="s">
        <v>403</v>
      </c>
      <c r="D8" s="26" t="n">
        <v>0</v>
      </c>
    </row>
    <row r="9" customFormat="false" ht="15" hidden="false" customHeight="true" outlineLevel="0" collapsed="false">
      <c r="A9" s="8" t="s">
        <v>394</v>
      </c>
      <c r="B9" s="8" t="s">
        <v>404</v>
      </c>
      <c r="C9" s="8" t="s">
        <v>405</v>
      </c>
      <c r="D9" s="26" t="n">
        <v>0</v>
      </c>
    </row>
    <row r="10" customFormat="false" ht="15" hidden="false" customHeight="true" outlineLevel="0" collapsed="false">
      <c r="A10" s="8" t="s">
        <v>394</v>
      </c>
      <c r="B10" s="8" t="s">
        <v>125</v>
      </c>
      <c r="C10" s="8" t="s">
        <v>406</v>
      </c>
      <c r="D10" s="26" t="n">
        <v>0</v>
      </c>
    </row>
    <row r="11" customFormat="false" ht="15" hidden="false" customHeight="true" outlineLevel="0" collapsed="false">
      <c r="A11" s="8" t="s">
        <v>394</v>
      </c>
      <c r="B11" s="8" t="s">
        <v>110</v>
      </c>
      <c r="C11" s="8" t="s">
        <v>407</v>
      </c>
      <c r="D11" s="26" t="n">
        <v>0</v>
      </c>
    </row>
    <row r="12" customFormat="false" ht="15" hidden="false" customHeight="true" outlineLevel="0" collapsed="false">
      <c r="A12" s="8" t="s">
        <v>394</v>
      </c>
      <c r="B12" s="8" t="s">
        <v>129</v>
      </c>
      <c r="C12" s="8" t="s">
        <v>408</v>
      </c>
      <c r="D12" s="26" t="n">
        <v>0</v>
      </c>
    </row>
    <row r="13" customFormat="false" ht="15" hidden="false" customHeight="true" outlineLevel="0" collapsed="false">
      <c r="A13" s="8" t="s">
        <v>394</v>
      </c>
      <c r="B13" s="8" t="s">
        <v>129</v>
      </c>
      <c r="C13" s="8" t="s">
        <v>409</v>
      </c>
      <c r="D13" s="26" t="n">
        <v>0</v>
      </c>
    </row>
    <row r="14" customFormat="false" ht="15" hidden="false" customHeight="true" outlineLevel="0" collapsed="false">
      <c r="A14" s="8" t="s">
        <v>394</v>
      </c>
      <c r="B14" s="8" t="s">
        <v>129</v>
      </c>
      <c r="C14" s="8" t="s">
        <v>410</v>
      </c>
      <c r="D14" s="26" t="n">
        <v>0</v>
      </c>
    </row>
    <row r="15" customFormat="false" ht="15" hidden="false" customHeight="true" outlineLevel="0" collapsed="false">
      <c r="A15" s="8" t="s">
        <v>394</v>
      </c>
      <c r="B15" s="8" t="s">
        <v>148</v>
      </c>
      <c r="C15" s="8" t="s">
        <v>411</v>
      </c>
      <c r="D15" s="26" t="n">
        <v>0</v>
      </c>
    </row>
    <row r="16" customFormat="false" ht="15" hidden="false" customHeight="true" outlineLevel="0" collapsed="false">
      <c r="A16" s="8" t="s">
        <v>394</v>
      </c>
      <c r="B16" s="8" t="s">
        <v>148</v>
      </c>
      <c r="C16" s="8" t="s">
        <v>412</v>
      </c>
      <c r="D16" s="26" t="n">
        <v>0</v>
      </c>
    </row>
    <row r="17" customFormat="false" ht="15" hidden="false" customHeight="true" outlineLevel="0" collapsed="false">
      <c r="A17" s="8" t="s">
        <v>394</v>
      </c>
      <c r="B17" s="8" t="s">
        <v>153</v>
      </c>
      <c r="C17" s="8" t="s">
        <v>413</v>
      </c>
      <c r="D17" s="26" t="n">
        <v>0</v>
      </c>
    </row>
    <row r="18" customFormat="false" ht="15" hidden="false" customHeight="true" outlineLevel="0" collapsed="false">
      <c r="A18" s="8" t="s">
        <v>394</v>
      </c>
      <c r="B18" s="8" t="s">
        <v>414</v>
      </c>
      <c r="C18" s="8" t="s">
        <v>415</v>
      </c>
      <c r="D18" s="26" t="n">
        <v>0</v>
      </c>
    </row>
    <row r="19" customFormat="false" ht="15" hidden="false" customHeight="true" outlineLevel="0" collapsed="false">
      <c r="A19" s="8" t="s">
        <v>394</v>
      </c>
      <c r="B19" s="8" t="s">
        <v>414</v>
      </c>
      <c r="C19" s="8" t="s">
        <v>416</v>
      </c>
      <c r="D19" s="26" t="n">
        <v>0</v>
      </c>
    </row>
    <row r="20" customFormat="false" ht="15" hidden="false" customHeight="true" outlineLevel="0" collapsed="false">
      <c r="A20" s="8" t="s">
        <v>394</v>
      </c>
      <c r="B20" s="8" t="s">
        <v>414</v>
      </c>
      <c r="C20" s="8" t="s">
        <v>417</v>
      </c>
      <c r="D20" s="26" t="n">
        <v>0</v>
      </c>
    </row>
    <row r="21" customFormat="false" ht="15" hidden="false" customHeight="true" outlineLevel="0" collapsed="false">
      <c r="A21" s="8" t="s">
        <v>394</v>
      </c>
      <c r="B21" s="8" t="s">
        <v>418</v>
      </c>
      <c r="C21" s="8" t="s">
        <v>419</v>
      </c>
      <c r="D21" s="26" t="n">
        <v>0</v>
      </c>
    </row>
    <row r="22" customFormat="false" ht="15" hidden="false" customHeight="true" outlineLevel="0" collapsed="false">
      <c r="A22" s="8" t="s">
        <v>394</v>
      </c>
      <c r="B22" s="8" t="s">
        <v>133</v>
      </c>
      <c r="C22" s="8" t="s">
        <v>408</v>
      </c>
      <c r="D22" s="26" t="n">
        <v>0</v>
      </c>
    </row>
    <row r="23" customFormat="false" ht="15" hidden="false" customHeight="true" outlineLevel="0" collapsed="false">
      <c r="A23" s="8" t="s">
        <v>394</v>
      </c>
      <c r="B23" s="8" t="s">
        <v>133</v>
      </c>
      <c r="C23" s="8" t="s">
        <v>420</v>
      </c>
      <c r="D23" s="26" t="n">
        <v>0</v>
      </c>
    </row>
    <row r="24" customFormat="false" ht="15" hidden="false" customHeight="true" outlineLevel="0" collapsed="false">
      <c r="A24" s="8" t="s">
        <v>394</v>
      </c>
      <c r="B24" s="8" t="s">
        <v>133</v>
      </c>
      <c r="C24" s="8" t="s">
        <v>421</v>
      </c>
      <c r="D24" s="26" t="n">
        <v>0</v>
      </c>
    </row>
    <row r="25" customFormat="false" ht="15" hidden="false" customHeight="true" outlineLevel="0" collapsed="false">
      <c r="A25" s="8" t="s">
        <v>394</v>
      </c>
      <c r="B25" s="8" t="s">
        <v>422</v>
      </c>
      <c r="C25" s="8" t="s">
        <v>423</v>
      </c>
      <c r="D25" s="26" t="n">
        <v>0</v>
      </c>
    </row>
    <row r="26" customFormat="false" ht="15" hidden="false" customHeight="true" outlineLevel="0" collapsed="false">
      <c r="A26" s="8" t="s">
        <v>394</v>
      </c>
      <c r="B26" s="8" t="s">
        <v>422</v>
      </c>
      <c r="C26" s="8" t="s">
        <v>424</v>
      </c>
      <c r="D26" s="26" t="n">
        <v>0</v>
      </c>
    </row>
    <row r="27" customFormat="false" ht="15" hidden="false" customHeight="true" outlineLevel="0" collapsed="false">
      <c r="A27" s="8" t="s">
        <v>394</v>
      </c>
      <c r="B27" s="8" t="s">
        <v>422</v>
      </c>
      <c r="C27" s="8" t="s">
        <v>425</v>
      </c>
      <c r="D27" s="26" t="n">
        <v>0</v>
      </c>
    </row>
    <row r="28" customFormat="false" ht="15" hidden="false" customHeight="true" outlineLevel="0" collapsed="false">
      <c r="A28" s="8" t="s">
        <v>394</v>
      </c>
      <c r="B28" s="8" t="s">
        <v>122</v>
      </c>
      <c r="C28" s="8" t="s">
        <v>426</v>
      </c>
      <c r="D28" s="26" t="n">
        <v>0</v>
      </c>
    </row>
    <row r="29" customFormat="false" ht="15" hidden="false" customHeight="true" outlineLevel="0" collapsed="false">
      <c r="A29" s="8" t="s">
        <v>394</v>
      </c>
      <c r="B29" s="8" t="s">
        <v>122</v>
      </c>
      <c r="C29" s="8" t="s">
        <v>427</v>
      </c>
      <c r="D29" s="26" t="n">
        <v>0</v>
      </c>
    </row>
    <row r="30" customFormat="false" ht="15" hidden="false" customHeight="true" outlineLevel="0" collapsed="false">
      <c r="A30" s="8" t="s">
        <v>394</v>
      </c>
      <c r="B30" s="8" t="s">
        <v>122</v>
      </c>
      <c r="C30" s="8" t="s">
        <v>428</v>
      </c>
      <c r="D30" s="26" t="n">
        <v>0</v>
      </c>
    </row>
    <row r="31" customFormat="false" ht="15" hidden="false" customHeight="true" outlineLevel="0" collapsed="false">
      <c r="A31" s="8" t="s">
        <v>394</v>
      </c>
      <c r="B31" s="8" t="s">
        <v>429</v>
      </c>
      <c r="C31" s="8" t="s">
        <v>430</v>
      </c>
      <c r="D31" s="26" t="n">
        <v>0</v>
      </c>
    </row>
    <row r="32" customFormat="false" ht="15" hidden="false" customHeight="true" outlineLevel="0" collapsed="false">
      <c r="A32" s="8" t="s">
        <v>394</v>
      </c>
      <c r="B32" s="8" t="s">
        <v>431</v>
      </c>
      <c r="C32" s="8" t="s">
        <v>432</v>
      </c>
      <c r="D32" s="26" t="n">
        <v>0</v>
      </c>
    </row>
    <row r="33" customFormat="false" ht="15" hidden="false" customHeight="true" outlineLevel="0" collapsed="false">
      <c r="A33" s="8" t="s">
        <v>394</v>
      </c>
      <c r="B33" s="8" t="s">
        <v>431</v>
      </c>
      <c r="C33" s="8" t="s">
        <v>433</v>
      </c>
      <c r="D33" s="26" t="n">
        <v>0</v>
      </c>
    </row>
    <row r="34" customFormat="false" ht="15" hidden="false" customHeight="true" outlineLevel="0" collapsed="false">
      <c r="A34" s="8" t="s">
        <v>394</v>
      </c>
      <c r="B34" s="8" t="s">
        <v>431</v>
      </c>
      <c r="C34" s="8" t="s">
        <v>434</v>
      </c>
      <c r="D34" s="26" t="n">
        <v>0</v>
      </c>
    </row>
    <row r="35" customFormat="false" ht="15" hidden="false" customHeight="true" outlineLevel="0" collapsed="false">
      <c r="A35" s="8" t="s">
        <v>394</v>
      </c>
      <c r="B35" s="8" t="s">
        <v>431</v>
      </c>
      <c r="C35" s="8" t="s">
        <v>435</v>
      </c>
      <c r="D35" s="26" t="n">
        <v>0</v>
      </c>
    </row>
    <row r="36" customFormat="false" ht="15" hidden="false" customHeight="true" outlineLevel="0" collapsed="false">
      <c r="A36" s="8" t="s">
        <v>394</v>
      </c>
      <c r="B36" s="8" t="s">
        <v>436</v>
      </c>
      <c r="C36" s="8" t="s">
        <v>437</v>
      </c>
      <c r="D36" s="26" t="n">
        <v>0</v>
      </c>
    </row>
    <row r="37" customFormat="false" ht="15" hidden="false" customHeight="true" outlineLevel="0" collapsed="false">
      <c r="A37" s="8" t="s">
        <v>394</v>
      </c>
      <c r="B37" s="8" t="s">
        <v>436</v>
      </c>
      <c r="C37" s="8" t="s">
        <v>438</v>
      </c>
      <c r="D37" s="26" t="n">
        <v>0</v>
      </c>
    </row>
    <row r="38" customFormat="false" ht="15" hidden="false" customHeight="true" outlineLevel="0" collapsed="false">
      <c r="A38" s="8" t="s">
        <v>394</v>
      </c>
      <c r="B38" s="8" t="s">
        <v>436</v>
      </c>
      <c r="C38" s="8" t="s">
        <v>439</v>
      </c>
      <c r="D38" s="26" t="n">
        <v>0</v>
      </c>
    </row>
    <row r="39" customFormat="false" ht="15" hidden="false" customHeight="true" outlineLevel="0" collapsed="false">
      <c r="A39" s="8" t="s">
        <v>394</v>
      </c>
      <c r="B39" s="8" t="s">
        <v>436</v>
      </c>
      <c r="C39" s="8" t="s">
        <v>440</v>
      </c>
      <c r="D39" s="26" t="n">
        <v>0</v>
      </c>
    </row>
    <row r="40" customFormat="false" ht="15" hidden="false" customHeight="true" outlineLevel="0" collapsed="false">
      <c r="A40" s="8" t="s">
        <v>394</v>
      </c>
      <c r="B40" s="8" t="s">
        <v>436</v>
      </c>
      <c r="C40" s="8" t="s">
        <v>441</v>
      </c>
      <c r="D40" s="26" t="n">
        <v>0</v>
      </c>
    </row>
    <row r="41" customFormat="false" ht="15" hidden="false" customHeight="true" outlineLevel="0" collapsed="false">
      <c r="A41" s="8" t="s">
        <v>394</v>
      </c>
      <c r="B41" s="8" t="s">
        <v>73</v>
      </c>
      <c r="C41" s="8" t="s">
        <v>442</v>
      </c>
      <c r="D41" s="26" t="n">
        <v>0</v>
      </c>
    </row>
    <row r="42" customFormat="false" ht="15" hidden="false" customHeight="true" outlineLevel="0" collapsed="false">
      <c r="A42" s="8" t="s">
        <v>394</v>
      </c>
      <c r="B42" s="8" t="s">
        <v>73</v>
      </c>
      <c r="C42" s="8" t="s">
        <v>443</v>
      </c>
      <c r="D42" s="26" t="n">
        <v>0</v>
      </c>
    </row>
    <row r="43" customFormat="false" ht="15" hidden="false" customHeight="true" outlineLevel="0" collapsed="false">
      <c r="A43" s="8" t="s">
        <v>394</v>
      </c>
      <c r="B43" s="8" t="s">
        <v>73</v>
      </c>
      <c r="C43" s="8" t="s">
        <v>444</v>
      </c>
      <c r="D43" s="26" t="n">
        <v>0</v>
      </c>
    </row>
    <row r="44" customFormat="false" ht="15" hidden="false" customHeight="true" outlineLevel="0" collapsed="false">
      <c r="A44" s="8" t="s">
        <v>394</v>
      </c>
      <c r="B44" s="8" t="s">
        <v>73</v>
      </c>
      <c r="C44" s="8" t="s">
        <v>445</v>
      </c>
      <c r="D44" s="26" t="n">
        <v>0</v>
      </c>
    </row>
    <row r="45" customFormat="false" ht="15" hidden="false" customHeight="true" outlineLevel="0" collapsed="false">
      <c r="A45" s="8" t="s">
        <v>394</v>
      </c>
      <c r="B45" s="8" t="s">
        <v>73</v>
      </c>
      <c r="C45" s="8" t="s">
        <v>446</v>
      </c>
      <c r="D45" s="26" t="n">
        <v>0</v>
      </c>
    </row>
    <row r="46" customFormat="false" ht="15" hidden="false" customHeight="true" outlineLevel="0" collapsed="false">
      <c r="A46" s="8" t="s">
        <v>394</v>
      </c>
      <c r="B46" s="8" t="s">
        <v>447</v>
      </c>
      <c r="C46" s="8" t="s">
        <v>448</v>
      </c>
      <c r="D46" s="26" t="n">
        <v>0</v>
      </c>
    </row>
    <row r="47" customFormat="false" ht="15" hidden="false" customHeight="true" outlineLevel="0" collapsed="false">
      <c r="A47" s="8" t="s">
        <v>394</v>
      </c>
      <c r="B47" s="8" t="s">
        <v>449</v>
      </c>
      <c r="C47" s="8" t="s">
        <v>450</v>
      </c>
      <c r="D47" s="26" t="n">
        <v>0</v>
      </c>
    </row>
    <row r="48" customFormat="false" ht="15" hidden="false" customHeight="true" outlineLevel="0" collapsed="false">
      <c r="A48" s="8" t="s">
        <v>394</v>
      </c>
      <c r="B48" s="8" t="s">
        <v>449</v>
      </c>
      <c r="C48" s="8" t="s">
        <v>451</v>
      </c>
      <c r="D48" s="26" t="n">
        <v>0</v>
      </c>
    </row>
    <row r="49" customFormat="false" ht="15" hidden="false" customHeight="true" outlineLevel="0" collapsed="false">
      <c r="A49" s="8" t="s">
        <v>394</v>
      </c>
      <c r="B49" s="8" t="s">
        <v>449</v>
      </c>
      <c r="C49" s="8" t="s">
        <v>452</v>
      </c>
      <c r="D49" s="26" t="n">
        <v>0</v>
      </c>
    </row>
    <row r="50" customFormat="false" ht="15" hidden="false" customHeight="true" outlineLevel="0" collapsed="false">
      <c r="A50" s="8" t="s">
        <v>394</v>
      </c>
      <c r="B50" s="8" t="s">
        <v>449</v>
      </c>
      <c r="C50" s="8" t="s">
        <v>453</v>
      </c>
      <c r="D50" s="26" t="n">
        <v>0</v>
      </c>
    </row>
    <row r="51" customFormat="false" ht="15" hidden="false" customHeight="true" outlineLevel="0" collapsed="false">
      <c r="A51" s="8" t="s">
        <v>394</v>
      </c>
      <c r="B51" s="8" t="s">
        <v>449</v>
      </c>
      <c r="C51" s="8" t="s">
        <v>454</v>
      </c>
      <c r="D51" s="26" t="n">
        <v>0</v>
      </c>
    </row>
    <row r="52" customFormat="false" ht="15" hidden="false" customHeight="true" outlineLevel="0" collapsed="false">
      <c r="A52" s="8" t="s">
        <v>394</v>
      </c>
      <c r="B52" s="8" t="s">
        <v>59</v>
      </c>
      <c r="C52" s="8" t="s">
        <v>455</v>
      </c>
      <c r="D52" s="26" t="n">
        <v>0</v>
      </c>
    </row>
    <row r="53" customFormat="false" ht="15" hidden="false" customHeight="true" outlineLevel="0" collapsed="false">
      <c r="A53" s="8" t="s">
        <v>394</v>
      </c>
      <c r="B53" s="8" t="s">
        <v>59</v>
      </c>
      <c r="C53" s="8" t="s">
        <v>456</v>
      </c>
      <c r="D53" s="26" t="n">
        <v>0</v>
      </c>
    </row>
    <row r="54" customFormat="false" ht="15" hidden="false" customHeight="true" outlineLevel="0" collapsed="false">
      <c r="A54" s="8" t="s">
        <v>394</v>
      </c>
      <c r="B54" s="8" t="s">
        <v>59</v>
      </c>
      <c r="C54" s="8" t="s">
        <v>457</v>
      </c>
      <c r="D54" s="26" t="n">
        <v>0</v>
      </c>
    </row>
    <row r="55" customFormat="false" ht="15" hidden="false" customHeight="true" outlineLevel="0" collapsed="false">
      <c r="A55" s="8" t="s">
        <v>394</v>
      </c>
      <c r="B55" s="8" t="s">
        <v>59</v>
      </c>
      <c r="C55" s="8" t="s">
        <v>458</v>
      </c>
      <c r="D55" s="26" t="n">
        <v>0</v>
      </c>
    </row>
    <row r="56" customFormat="false" ht="15" hidden="false" customHeight="true" outlineLevel="0" collapsed="false">
      <c r="A56" s="8" t="s">
        <v>394</v>
      </c>
      <c r="B56" s="8" t="s">
        <v>59</v>
      </c>
      <c r="C56" s="8" t="s">
        <v>459</v>
      </c>
      <c r="D56" s="26" t="n">
        <v>0</v>
      </c>
    </row>
    <row r="57" customFormat="false" ht="15" hidden="false" customHeight="true" outlineLevel="0" collapsed="false">
      <c r="A57" s="8" t="s">
        <v>394</v>
      </c>
      <c r="B57" s="8" t="s">
        <v>460</v>
      </c>
      <c r="C57" s="8" t="s">
        <v>461</v>
      </c>
      <c r="D57" s="26" t="n">
        <v>0</v>
      </c>
    </row>
    <row r="58" customFormat="false" ht="15" hidden="false" customHeight="true" outlineLevel="0" collapsed="false">
      <c r="A58" s="8" t="s">
        <v>394</v>
      </c>
      <c r="B58" s="8" t="s">
        <v>462</v>
      </c>
      <c r="C58" s="8" t="s">
        <v>463</v>
      </c>
      <c r="D58" s="26" t="n">
        <v>0</v>
      </c>
    </row>
    <row r="59" customFormat="false" ht="15" hidden="false" customHeight="true" outlineLevel="0" collapsed="false">
      <c r="A59" s="8" t="s">
        <v>394</v>
      </c>
      <c r="B59" s="8" t="s">
        <v>462</v>
      </c>
      <c r="C59" s="8" t="s">
        <v>464</v>
      </c>
      <c r="D59" s="26" t="n">
        <v>0</v>
      </c>
    </row>
    <row r="60" customFormat="false" ht="15" hidden="false" customHeight="true" outlineLevel="0" collapsed="false">
      <c r="A60" s="8" t="s">
        <v>394</v>
      </c>
      <c r="B60" s="8" t="s">
        <v>465</v>
      </c>
      <c r="C60" s="8" t="s">
        <v>466</v>
      </c>
      <c r="D60" s="26" t="n">
        <v>0</v>
      </c>
    </row>
    <row r="61" customFormat="false" ht="15" hidden="false" customHeight="true" outlineLevel="0" collapsed="false">
      <c r="A61" s="8" t="s">
        <v>394</v>
      </c>
      <c r="B61" s="8" t="s">
        <v>465</v>
      </c>
      <c r="C61" s="8" t="s">
        <v>467</v>
      </c>
      <c r="D61" s="26" t="n">
        <v>0</v>
      </c>
    </row>
    <row r="62" customFormat="false" ht="15" hidden="false" customHeight="true" outlineLevel="0" collapsed="false">
      <c r="A62" s="8" t="s">
        <v>394</v>
      </c>
      <c r="B62" s="8" t="s">
        <v>465</v>
      </c>
      <c r="C62" s="8" t="s">
        <v>468</v>
      </c>
      <c r="D62" s="26" t="n">
        <v>0</v>
      </c>
    </row>
    <row r="63" customFormat="false" ht="15" hidden="false" customHeight="true" outlineLevel="0" collapsed="false">
      <c r="A63" s="8" t="s">
        <v>394</v>
      </c>
      <c r="B63" s="8" t="s">
        <v>465</v>
      </c>
      <c r="C63" s="8" t="s">
        <v>469</v>
      </c>
      <c r="D63" s="26" t="n">
        <v>0</v>
      </c>
    </row>
    <row r="64" customFormat="false" ht="15" hidden="false" customHeight="true" outlineLevel="0" collapsed="false">
      <c r="A64" s="8" t="s">
        <v>394</v>
      </c>
      <c r="B64" s="8" t="s">
        <v>465</v>
      </c>
      <c r="C64" s="8" t="s">
        <v>470</v>
      </c>
      <c r="D64" s="26" t="n">
        <v>0</v>
      </c>
    </row>
    <row r="65" customFormat="false" ht="15" hidden="false" customHeight="true" outlineLevel="0" collapsed="false">
      <c r="A65" s="8" t="s">
        <v>394</v>
      </c>
      <c r="B65" s="8" t="s">
        <v>56</v>
      </c>
      <c r="C65" s="8" t="s">
        <v>471</v>
      </c>
      <c r="D65" s="26" t="n">
        <v>0</v>
      </c>
    </row>
    <row r="66" customFormat="false" ht="15" hidden="false" customHeight="true" outlineLevel="0" collapsed="false">
      <c r="A66" s="8" t="s">
        <v>394</v>
      </c>
      <c r="B66" s="8" t="s">
        <v>56</v>
      </c>
      <c r="C66" s="8" t="s">
        <v>472</v>
      </c>
      <c r="D66" s="26" t="n">
        <v>0</v>
      </c>
    </row>
    <row r="67" customFormat="false" ht="15" hidden="false" customHeight="true" outlineLevel="0" collapsed="false">
      <c r="A67" s="8" t="s">
        <v>394</v>
      </c>
      <c r="B67" s="8" t="s">
        <v>56</v>
      </c>
      <c r="C67" s="8" t="s">
        <v>473</v>
      </c>
      <c r="D67" s="26" t="n">
        <v>0</v>
      </c>
    </row>
    <row r="68" customFormat="false" ht="15" hidden="false" customHeight="true" outlineLevel="0" collapsed="false">
      <c r="A68" s="8" t="s">
        <v>394</v>
      </c>
      <c r="B68" s="8" t="s">
        <v>56</v>
      </c>
      <c r="C68" s="8" t="s">
        <v>474</v>
      </c>
      <c r="D68" s="26" t="n">
        <v>0</v>
      </c>
    </row>
    <row r="69" customFormat="false" ht="15" hidden="false" customHeight="true" outlineLevel="0" collapsed="false">
      <c r="A69" s="8" t="s">
        <v>394</v>
      </c>
      <c r="B69" s="8" t="s">
        <v>475</v>
      </c>
      <c r="C69" s="8" t="s">
        <v>476</v>
      </c>
      <c r="D69" s="26" t="n">
        <v>0</v>
      </c>
    </row>
    <row r="70" customFormat="false" ht="15" hidden="false" customHeight="true" outlineLevel="0" collapsed="false">
      <c r="A70" s="8" t="s">
        <v>394</v>
      </c>
      <c r="B70" s="8" t="s">
        <v>475</v>
      </c>
      <c r="C70" s="8" t="s">
        <v>477</v>
      </c>
      <c r="D70" s="26" t="n">
        <v>0</v>
      </c>
    </row>
    <row r="71" customFormat="false" ht="15" hidden="false" customHeight="true" outlineLevel="0" collapsed="false">
      <c r="A71" s="8" t="s">
        <v>394</v>
      </c>
      <c r="B71" s="8" t="s">
        <v>475</v>
      </c>
      <c r="C71" s="8" t="s">
        <v>478</v>
      </c>
      <c r="D71" s="26" t="n">
        <v>0</v>
      </c>
    </row>
    <row r="72" customFormat="false" ht="15" hidden="false" customHeight="true" outlineLevel="0" collapsed="false">
      <c r="A72" s="8" t="s">
        <v>394</v>
      </c>
      <c r="B72" s="8" t="s">
        <v>475</v>
      </c>
      <c r="C72" s="8" t="s">
        <v>479</v>
      </c>
      <c r="D72" s="26" t="n">
        <v>0</v>
      </c>
    </row>
    <row r="73" customFormat="false" ht="15" hidden="false" customHeight="true" outlineLevel="0" collapsed="false">
      <c r="A73" s="8" t="s">
        <v>394</v>
      </c>
      <c r="B73" s="8" t="s">
        <v>480</v>
      </c>
      <c r="C73" s="8" t="s">
        <v>481</v>
      </c>
      <c r="D73" s="26" t="n">
        <v>0</v>
      </c>
    </row>
    <row r="74" customFormat="false" ht="15" hidden="false" customHeight="true" outlineLevel="0" collapsed="false">
      <c r="A74" s="8" t="s">
        <v>394</v>
      </c>
      <c r="B74" s="8" t="s">
        <v>101</v>
      </c>
      <c r="C74" s="8" t="s">
        <v>482</v>
      </c>
      <c r="D74" s="26" t="n">
        <v>0</v>
      </c>
    </row>
    <row r="75" customFormat="false" ht="15" hidden="false" customHeight="true" outlineLevel="0" collapsed="false">
      <c r="A75" s="8" t="s">
        <v>394</v>
      </c>
      <c r="B75" s="8" t="s">
        <v>101</v>
      </c>
      <c r="C75" s="8" t="s">
        <v>483</v>
      </c>
      <c r="D75" s="26" t="n">
        <v>0</v>
      </c>
    </row>
    <row r="76" customFormat="false" ht="15" hidden="false" customHeight="true" outlineLevel="0" collapsed="false">
      <c r="A76" s="8" t="s">
        <v>394</v>
      </c>
      <c r="B76" s="8" t="s">
        <v>101</v>
      </c>
      <c r="C76" s="8" t="s">
        <v>484</v>
      </c>
      <c r="D76" s="26" t="n">
        <v>0</v>
      </c>
    </row>
    <row r="77" customFormat="false" ht="15" hidden="false" customHeight="true" outlineLevel="0" collapsed="false">
      <c r="A77" s="8" t="s">
        <v>394</v>
      </c>
      <c r="B77" s="8" t="s">
        <v>101</v>
      </c>
      <c r="C77" s="8" t="s">
        <v>485</v>
      </c>
      <c r="D77" s="26" t="n">
        <v>0</v>
      </c>
    </row>
    <row r="78" customFormat="false" ht="15" hidden="false" customHeight="true" outlineLevel="0" collapsed="false">
      <c r="A78" s="8" t="s">
        <v>394</v>
      </c>
      <c r="B78" s="8" t="s">
        <v>103</v>
      </c>
      <c r="C78" s="8" t="s">
        <v>486</v>
      </c>
      <c r="D78" s="26" t="n">
        <v>0</v>
      </c>
    </row>
    <row r="79" customFormat="false" ht="15" hidden="false" customHeight="true" outlineLevel="0" collapsed="false">
      <c r="A79" s="8" t="s">
        <v>394</v>
      </c>
      <c r="B79" s="8" t="s">
        <v>103</v>
      </c>
      <c r="C79" s="8" t="s">
        <v>487</v>
      </c>
      <c r="D79" s="26" t="n">
        <v>0</v>
      </c>
    </row>
    <row r="80" customFormat="false" ht="15" hidden="false" customHeight="true" outlineLevel="0" collapsed="false">
      <c r="A80" s="8" t="s">
        <v>394</v>
      </c>
      <c r="B80" s="8" t="s">
        <v>97</v>
      </c>
      <c r="C80" s="8" t="s">
        <v>488</v>
      </c>
      <c r="D80" s="26" t="n">
        <v>0</v>
      </c>
    </row>
    <row r="81" customFormat="false" ht="15" hidden="false" customHeight="true" outlineLevel="0" collapsed="false">
      <c r="A81" s="8" t="s">
        <v>394</v>
      </c>
      <c r="B81" s="8" t="s">
        <v>97</v>
      </c>
      <c r="C81" s="8" t="s">
        <v>489</v>
      </c>
      <c r="D81" s="26" t="n">
        <v>0</v>
      </c>
    </row>
    <row r="82" customFormat="false" ht="15" hidden="false" customHeight="true" outlineLevel="0" collapsed="false">
      <c r="A82" s="8" t="s">
        <v>394</v>
      </c>
      <c r="B82" s="8" t="s">
        <v>97</v>
      </c>
      <c r="C82" s="8" t="s">
        <v>490</v>
      </c>
      <c r="D82" s="26" t="n">
        <v>0</v>
      </c>
    </row>
    <row r="83" customFormat="false" ht="15" hidden="false" customHeight="true" outlineLevel="0" collapsed="false">
      <c r="A83" s="8" t="s">
        <v>394</v>
      </c>
      <c r="B83" s="8" t="s">
        <v>97</v>
      </c>
      <c r="C83" s="8" t="s">
        <v>491</v>
      </c>
      <c r="D83" s="26" t="n">
        <v>0</v>
      </c>
    </row>
    <row r="84" customFormat="false" ht="15" hidden="false" customHeight="true" outlineLevel="0" collapsed="false">
      <c r="A84" s="8" t="s">
        <v>394</v>
      </c>
      <c r="B84" s="8" t="s">
        <v>492</v>
      </c>
      <c r="C84" s="8" t="s">
        <v>493</v>
      </c>
      <c r="D84" s="26" t="n">
        <v>0</v>
      </c>
    </row>
    <row r="85" customFormat="false" ht="15" hidden="false" customHeight="true" outlineLevel="0" collapsed="false">
      <c r="A85" s="8" t="s">
        <v>394</v>
      </c>
      <c r="B85" s="8" t="s">
        <v>494</v>
      </c>
      <c r="C85" s="8" t="s">
        <v>495</v>
      </c>
      <c r="D85" s="26" t="n">
        <v>0</v>
      </c>
    </row>
    <row r="86" customFormat="false" ht="15" hidden="false" customHeight="true" outlineLevel="0" collapsed="false">
      <c r="A86" s="8" t="s">
        <v>394</v>
      </c>
      <c r="B86" s="8" t="s">
        <v>496</v>
      </c>
      <c r="C86" s="8" t="s">
        <v>497</v>
      </c>
      <c r="D86" s="26" t="n">
        <v>0</v>
      </c>
    </row>
    <row r="87" customFormat="false" ht="15" hidden="false" customHeight="true" outlineLevel="0" collapsed="false">
      <c r="A87" s="8" t="s">
        <v>394</v>
      </c>
      <c r="B87" s="8" t="s">
        <v>498</v>
      </c>
      <c r="C87" s="8" t="s">
        <v>499</v>
      </c>
      <c r="D87" s="26" t="n">
        <v>0</v>
      </c>
    </row>
    <row r="88" customFormat="false" ht="15" hidden="false" customHeight="true" outlineLevel="0" collapsed="false">
      <c r="A88" s="8" t="s">
        <v>394</v>
      </c>
      <c r="B88" s="8" t="s">
        <v>498</v>
      </c>
      <c r="C88" s="8" t="s">
        <v>500</v>
      </c>
      <c r="D88" s="26" t="n">
        <v>0</v>
      </c>
    </row>
    <row r="89" customFormat="false" ht="15" hidden="false" customHeight="true" outlineLevel="0" collapsed="false">
      <c r="A89" s="8" t="s">
        <v>394</v>
      </c>
      <c r="B89" s="8" t="s">
        <v>498</v>
      </c>
      <c r="C89" s="8" t="s">
        <v>501</v>
      </c>
      <c r="D89" s="26" t="n">
        <v>0</v>
      </c>
    </row>
    <row r="90" customFormat="false" ht="15" hidden="false" customHeight="true" outlineLevel="0" collapsed="false">
      <c r="A90" s="8" t="s">
        <v>394</v>
      </c>
      <c r="B90" s="8" t="s">
        <v>498</v>
      </c>
      <c r="C90" s="8" t="s">
        <v>502</v>
      </c>
      <c r="D90" s="26" t="n">
        <v>0</v>
      </c>
    </row>
    <row r="91" customFormat="false" ht="15" hidden="false" customHeight="true" outlineLevel="0" collapsed="false">
      <c r="A91" s="8" t="s">
        <v>394</v>
      </c>
      <c r="B91" s="8" t="s">
        <v>498</v>
      </c>
      <c r="C91" s="8" t="s">
        <v>503</v>
      </c>
      <c r="D91" s="26" t="n">
        <v>0</v>
      </c>
    </row>
    <row r="92" customFormat="false" ht="15" hidden="false" customHeight="true" outlineLevel="0" collapsed="false">
      <c r="A92" s="8" t="s">
        <v>394</v>
      </c>
      <c r="B92" s="8" t="s">
        <v>504</v>
      </c>
      <c r="C92" s="8" t="s">
        <v>505</v>
      </c>
      <c r="D92" s="26" t="n">
        <v>0</v>
      </c>
    </row>
    <row r="93" customFormat="false" ht="15" hidden="false" customHeight="true" outlineLevel="0" collapsed="false">
      <c r="A93" s="8" t="s">
        <v>394</v>
      </c>
      <c r="B93" s="8" t="s">
        <v>504</v>
      </c>
      <c r="C93" s="8" t="s">
        <v>506</v>
      </c>
      <c r="D93" s="26" t="n">
        <v>0</v>
      </c>
    </row>
    <row r="94" customFormat="false" ht="15" hidden="false" customHeight="true" outlineLevel="0" collapsed="false">
      <c r="A94" s="8" t="s">
        <v>394</v>
      </c>
      <c r="B94" s="8" t="s">
        <v>507</v>
      </c>
      <c r="C94" s="8" t="s">
        <v>508</v>
      </c>
      <c r="D94" s="26" t="n">
        <v>0</v>
      </c>
    </row>
    <row r="95" customFormat="false" ht="15" hidden="false" customHeight="true" outlineLevel="0" collapsed="false">
      <c r="A95" s="8" t="s">
        <v>394</v>
      </c>
      <c r="B95" s="8" t="s">
        <v>507</v>
      </c>
      <c r="C95" s="8" t="s">
        <v>509</v>
      </c>
      <c r="D95" s="26" t="n">
        <v>0</v>
      </c>
    </row>
    <row r="96" customFormat="false" ht="15" hidden="false" customHeight="true" outlineLevel="0" collapsed="false">
      <c r="A96" s="8" t="s">
        <v>394</v>
      </c>
      <c r="B96" s="8" t="s">
        <v>510</v>
      </c>
      <c r="C96" s="8" t="s">
        <v>511</v>
      </c>
      <c r="D96" s="26" t="n">
        <v>0</v>
      </c>
    </row>
    <row r="97" customFormat="false" ht="15" hidden="false" customHeight="true" outlineLevel="0" collapsed="false">
      <c r="A97" s="8" t="s">
        <v>394</v>
      </c>
      <c r="B97" s="8" t="s">
        <v>512</v>
      </c>
      <c r="C97" s="8" t="s">
        <v>511</v>
      </c>
      <c r="D97" s="26" t="n">
        <v>0</v>
      </c>
    </row>
    <row r="98" customFormat="false" ht="15" hidden="false" customHeight="true" outlineLevel="0" collapsed="false">
      <c r="A98" s="8" t="s">
        <v>394</v>
      </c>
      <c r="B98" s="8" t="s">
        <v>513</v>
      </c>
      <c r="C98" s="8" t="s">
        <v>514</v>
      </c>
      <c r="D98" s="26" t="n">
        <v>0</v>
      </c>
    </row>
    <row r="99" customFormat="false" ht="15" hidden="false" customHeight="true" outlineLevel="0" collapsed="false">
      <c r="A99" s="8" t="s">
        <v>394</v>
      </c>
      <c r="B99" s="8" t="s">
        <v>515</v>
      </c>
      <c r="C99" s="8" t="s">
        <v>516</v>
      </c>
      <c r="D99" s="26" t="n">
        <v>0</v>
      </c>
    </row>
    <row r="100" customFormat="false" ht="15" hidden="false" customHeight="true" outlineLevel="0" collapsed="false">
      <c r="A100" s="8" t="s">
        <v>394</v>
      </c>
      <c r="B100" s="8" t="s">
        <v>517</v>
      </c>
      <c r="C100" s="8" t="s">
        <v>518</v>
      </c>
      <c r="D100" s="26" t="n">
        <v>0</v>
      </c>
    </row>
    <row r="101" customFormat="false" ht="15" hidden="false" customHeight="true" outlineLevel="0" collapsed="false">
      <c r="A101" s="8" t="s">
        <v>394</v>
      </c>
      <c r="B101" s="8" t="s">
        <v>517</v>
      </c>
      <c r="C101" s="8" t="s">
        <v>519</v>
      </c>
      <c r="D101" s="26" t="n">
        <v>0</v>
      </c>
    </row>
    <row r="102" customFormat="false" ht="15" hidden="false" customHeight="true" outlineLevel="0" collapsed="false">
      <c r="A102" s="8" t="s">
        <v>394</v>
      </c>
      <c r="B102" s="8" t="s">
        <v>517</v>
      </c>
      <c r="C102" s="8" t="s">
        <v>520</v>
      </c>
      <c r="D102" s="26" t="n">
        <v>0</v>
      </c>
    </row>
    <row r="103" customFormat="false" ht="15" hidden="false" customHeight="true" outlineLevel="0" collapsed="false">
      <c r="A103" s="8" t="s">
        <v>394</v>
      </c>
      <c r="B103" s="8" t="s">
        <v>517</v>
      </c>
      <c r="C103" s="8" t="s">
        <v>521</v>
      </c>
      <c r="D103" s="26" t="n">
        <v>0</v>
      </c>
    </row>
    <row r="104" customFormat="false" ht="15" hidden="false" customHeight="true" outlineLevel="0" collapsed="false">
      <c r="A104" s="8" t="s">
        <v>394</v>
      </c>
      <c r="B104" s="8" t="s">
        <v>522</v>
      </c>
      <c r="C104" s="8" t="s">
        <v>523</v>
      </c>
      <c r="D104" s="26" t="n">
        <v>0</v>
      </c>
    </row>
    <row r="105" customFormat="false" ht="15" hidden="false" customHeight="true" outlineLevel="0" collapsed="false">
      <c r="A105" s="8" t="s">
        <v>394</v>
      </c>
      <c r="B105" s="8" t="s">
        <v>522</v>
      </c>
      <c r="C105" s="8" t="s">
        <v>524</v>
      </c>
      <c r="D105" s="26" t="n">
        <v>0</v>
      </c>
    </row>
    <row r="106" customFormat="false" ht="15" hidden="false" customHeight="true" outlineLevel="0" collapsed="false">
      <c r="A106" s="8" t="s">
        <v>394</v>
      </c>
      <c r="B106" s="8" t="s">
        <v>525</v>
      </c>
      <c r="C106" s="8" t="s">
        <v>526</v>
      </c>
      <c r="D106" s="26" t="n">
        <v>0</v>
      </c>
    </row>
    <row r="107" customFormat="false" ht="15" hidden="false" customHeight="true" outlineLevel="0" collapsed="false">
      <c r="A107" s="8" t="s">
        <v>394</v>
      </c>
      <c r="B107" s="8" t="s">
        <v>527</v>
      </c>
      <c r="C107" s="8" t="s">
        <v>528</v>
      </c>
      <c r="D107" s="26" t="n">
        <v>0</v>
      </c>
    </row>
    <row r="108" customFormat="false" ht="15" hidden="false" customHeight="true" outlineLevel="0" collapsed="false">
      <c r="A108" s="8" t="s">
        <v>394</v>
      </c>
      <c r="B108" s="8" t="s">
        <v>525</v>
      </c>
      <c r="C108" s="8" t="s">
        <v>529</v>
      </c>
      <c r="D108" s="26" t="n">
        <v>0</v>
      </c>
    </row>
    <row r="109" customFormat="false" ht="15" hidden="false" customHeight="true" outlineLevel="0" collapsed="false">
      <c r="A109" s="8" t="s">
        <v>394</v>
      </c>
      <c r="B109" s="8" t="s">
        <v>517</v>
      </c>
      <c r="C109" s="8" t="s">
        <v>530</v>
      </c>
      <c r="D109" s="26" t="n">
        <v>0</v>
      </c>
    </row>
    <row r="110" customFormat="false" ht="15" hidden="false" customHeight="true" outlineLevel="0" collapsed="false">
      <c r="A110" s="8" t="s">
        <v>394</v>
      </c>
      <c r="B110" s="8" t="s">
        <v>531</v>
      </c>
      <c r="C110" s="8" t="s">
        <v>532</v>
      </c>
      <c r="D110" s="26" t="n">
        <v>0</v>
      </c>
    </row>
    <row r="111" customFormat="false" ht="15" hidden="false" customHeight="true" outlineLevel="0" collapsed="false">
      <c r="A111" s="8" t="s">
        <v>394</v>
      </c>
      <c r="B111" s="8" t="s">
        <v>531</v>
      </c>
      <c r="C111" s="8" t="s">
        <v>533</v>
      </c>
      <c r="D111" s="26" t="n">
        <v>0</v>
      </c>
    </row>
    <row r="112" customFormat="false" ht="15" hidden="false" customHeight="true" outlineLevel="0" collapsed="false">
      <c r="A112" s="8" t="s">
        <v>394</v>
      </c>
      <c r="B112" s="8" t="s">
        <v>534</v>
      </c>
      <c r="C112" s="8" t="s">
        <v>535</v>
      </c>
      <c r="D112" s="26" t="n">
        <v>0</v>
      </c>
    </row>
    <row r="113" customFormat="false" ht="15" hidden="false" customHeight="true" outlineLevel="0" collapsed="false">
      <c r="A113" s="8" t="s">
        <v>394</v>
      </c>
      <c r="B113" s="8" t="s">
        <v>536</v>
      </c>
      <c r="C113" s="8" t="s">
        <v>537</v>
      </c>
      <c r="D113" s="26" t="n">
        <v>0</v>
      </c>
    </row>
    <row r="114" customFormat="false" ht="15" hidden="false" customHeight="true" outlineLevel="0" collapsed="false">
      <c r="A114" s="8" t="s">
        <v>394</v>
      </c>
      <c r="B114" s="8" t="s">
        <v>536</v>
      </c>
      <c r="C114" s="8" t="s">
        <v>538</v>
      </c>
      <c r="D114" s="26" t="n">
        <v>0</v>
      </c>
    </row>
    <row r="115" customFormat="false" ht="15" hidden="false" customHeight="true" outlineLevel="0" collapsed="false">
      <c r="A115" s="8" t="s">
        <v>394</v>
      </c>
      <c r="B115" s="8" t="s">
        <v>539</v>
      </c>
      <c r="C115" s="8" t="s">
        <v>540</v>
      </c>
      <c r="D115" s="26" t="n">
        <v>0</v>
      </c>
    </row>
    <row r="116" customFormat="false" ht="15" hidden="false" customHeight="true" outlineLevel="0" collapsed="false">
      <c r="A116" s="8" t="s">
        <v>394</v>
      </c>
      <c r="B116" s="8" t="s">
        <v>539</v>
      </c>
      <c r="C116" s="8" t="s">
        <v>541</v>
      </c>
      <c r="D116" s="26" t="n">
        <v>0</v>
      </c>
    </row>
    <row r="117" customFormat="false" ht="15" hidden="false" customHeight="true" outlineLevel="0" collapsed="false">
      <c r="A117" s="8" t="s">
        <v>394</v>
      </c>
      <c r="B117" s="8" t="s">
        <v>539</v>
      </c>
      <c r="C117" s="8" t="s">
        <v>542</v>
      </c>
      <c r="D117" s="26" t="n">
        <v>0</v>
      </c>
    </row>
    <row r="118" customFormat="false" ht="15" hidden="false" customHeight="true" outlineLevel="0" collapsed="false">
      <c r="A118" s="8" t="s">
        <v>394</v>
      </c>
      <c r="B118" s="8" t="s">
        <v>539</v>
      </c>
      <c r="C118" s="8" t="s">
        <v>543</v>
      </c>
      <c r="D118" s="26" t="n">
        <v>0</v>
      </c>
    </row>
    <row r="119" customFormat="false" ht="15" hidden="false" customHeight="true" outlineLevel="0" collapsed="false">
      <c r="A119" s="8" t="s">
        <v>394</v>
      </c>
      <c r="B119" s="8" t="s">
        <v>539</v>
      </c>
      <c r="C119" s="8" t="s">
        <v>544</v>
      </c>
      <c r="D119" s="26" t="n">
        <v>0</v>
      </c>
    </row>
    <row r="120" customFormat="false" ht="15" hidden="false" customHeight="true" outlineLevel="0" collapsed="false">
      <c r="A120" s="8" t="s">
        <v>394</v>
      </c>
      <c r="B120" s="8" t="s">
        <v>84</v>
      </c>
      <c r="C120" s="8" t="s">
        <v>545</v>
      </c>
      <c r="D120" s="26" t="n">
        <v>0</v>
      </c>
    </row>
    <row r="121" customFormat="false" ht="15" hidden="false" customHeight="true" outlineLevel="0" collapsed="false">
      <c r="A121" s="8" t="s">
        <v>394</v>
      </c>
      <c r="B121" s="8" t="s">
        <v>84</v>
      </c>
      <c r="C121" s="8" t="s">
        <v>546</v>
      </c>
      <c r="D121" s="26" t="n">
        <v>0</v>
      </c>
    </row>
    <row r="122" customFormat="false" ht="15" hidden="false" customHeight="true" outlineLevel="0" collapsed="false">
      <c r="A122" s="8" t="s">
        <v>394</v>
      </c>
      <c r="B122" s="8" t="s">
        <v>84</v>
      </c>
      <c r="C122" s="8" t="s">
        <v>547</v>
      </c>
      <c r="D122" s="26" t="n">
        <v>0</v>
      </c>
    </row>
    <row r="123" customFormat="false" ht="15" hidden="false" customHeight="true" outlineLevel="0" collapsed="false">
      <c r="A123" s="8" t="s">
        <v>394</v>
      </c>
      <c r="B123" s="8" t="s">
        <v>84</v>
      </c>
      <c r="C123" s="8" t="s">
        <v>548</v>
      </c>
      <c r="D123" s="26" t="n">
        <v>0</v>
      </c>
    </row>
    <row r="124" customFormat="false" ht="15" hidden="false" customHeight="true" outlineLevel="0" collapsed="false">
      <c r="A124" s="8" t="s">
        <v>394</v>
      </c>
      <c r="B124" s="8" t="s">
        <v>84</v>
      </c>
      <c r="C124" s="8" t="s">
        <v>549</v>
      </c>
      <c r="D124" s="26" t="n">
        <v>0</v>
      </c>
    </row>
    <row r="125" customFormat="false" ht="15" hidden="false" customHeight="true" outlineLevel="0" collapsed="false">
      <c r="A125" s="8" t="s">
        <v>394</v>
      </c>
      <c r="B125" s="8" t="s">
        <v>59</v>
      </c>
      <c r="C125" s="8" t="s">
        <v>550</v>
      </c>
      <c r="D125" s="26" t="n">
        <v>0</v>
      </c>
    </row>
    <row r="126" customFormat="false" ht="15" hidden="false" customHeight="true" outlineLevel="0" collapsed="false">
      <c r="A126" s="8" t="s">
        <v>394</v>
      </c>
      <c r="B126" s="8" t="s">
        <v>551</v>
      </c>
      <c r="C126" s="8" t="s">
        <v>552</v>
      </c>
      <c r="D126" s="26" t="n">
        <v>0</v>
      </c>
    </row>
    <row r="127" customFormat="false" ht="15" hidden="false" customHeight="true" outlineLevel="0" collapsed="false">
      <c r="A127" s="8" t="s">
        <v>394</v>
      </c>
      <c r="B127" s="8" t="s">
        <v>551</v>
      </c>
      <c r="C127" s="8" t="s">
        <v>553</v>
      </c>
      <c r="D127" s="26" t="n">
        <v>0</v>
      </c>
    </row>
    <row r="128" customFormat="false" ht="15" hidden="false" customHeight="true" outlineLevel="0" collapsed="false">
      <c r="A128" s="8" t="s">
        <v>394</v>
      </c>
      <c r="B128" s="8" t="s">
        <v>551</v>
      </c>
      <c r="C128" s="8" t="s">
        <v>554</v>
      </c>
      <c r="D128" s="26" t="n">
        <v>0</v>
      </c>
    </row>
    <row r="129" customFormat="false" ht="15" hidden="false" customHeight="true" outlineLevel="0" collapsed="false">
      <c r="A129" s="8" t="s">
        <v>394</v>
      </c>
      <c r="B129" s="8" t="s">
        <v>551</v>
      </c>
      <c r="C129" s="8" t="s">
        <v>555</v>
      </c>
      <c r="D129" s="26" t="n">
        <v>0</v>
      </c>
    </row>
    <row r="130" customFormat="false" ht="15" hidden="false" customHeight="true" outlineLevel="0" collapsed="false">
      <c r="A130" s="8" t="s">
        <v>394</v>
      </c>
      <c r="B130" s="8" t="s">
        <v>83</v>
      </c>
      <c r="C130" s="8" t="s">
        <v>556</v>
      </c>
      <c r="D130" s="26" t="n">
        <v>0</v>
      </c>
    </row>
    <row r="131" customFormat="false" ht="15" hidden="false" customHeight="true" outlineLevel="0" collapsed="false">
      <c r="A131" s="8" t="s">
        <v>394</v>
      </c>
      <c r="B131" s="8" t="s">
        <v>66</v>
      </c>
      <c r="C131" s="8" t="s">
        <v>557</v>
      </c>
      <c r="D131" s="26" t="n">
        <v>0</v>
      </c>
    </row>
    <row r="132" customFormat="false" ht="15" hidden="false" customHeight="true" outlineLevel="0" collapsed="false">
      <c r="A132" s="8" t="s">
        <v>394</v>
      </c>
      <c r="B132" s="8" t="s">
        <v>132</v>
      </c>
      <c r="C132" s="8" t="s">
        <v>558</v>
      </c>
      <c r="D132" s="26" t="n">
        <v>0</v>
      </c>
    </row>
    <row r="133" customFormat="false" ht="15" hidden="false" customHeight="true" outlineLevel="0" collapsed="false">
      <c r="A133" s="8" t="s">
        <v>394</v>
      </c>
      <c r="B133" s="8" t="s">
        <v>559</v>
      </c>
      <c r="C133" s="8" t="s">
        <v>560</v>
      </c>
      <c r="D133" s="26" t="n">
        <v>0</v>
      </c>
    </row>
    <row r="134" customFormat="false" ht="15" hidden="false" customHeight="true" outlineLevel="0" collapsed="false">
      <c r="A134" s="8" t="s">
        <v>394</v>
      </c>
      <c r="B134" s="8" t="s">
        <v>561</v>
      </c>
      <c r="C134" s="8" t="s">
        <v>562</v>
      </c>
      <c r="D134" s="26" t="n">
        <v>0</v>
      </c>
    </row>
    <row r="135" customFormat="false" ht="15" hidden="false" customHeight="true" outlineLevel="0" collapsed="false">
      <c r="A135" s="8" t="s">
        <v>394</v>
      </c>
      <c r="B135" s="8" t="s">
        <v>563</v>
      </c>
      <c r="C135" s="8" t="s">
        <v>564</v>
      </c>
      <c r="D135" s="26" t="n">
        <v>0</v>
      </c>
    </row>
    <row r="136" customFormat="false" ht="15" hidden="false" customHeight="true" outlineLevel="0" collapsed="false">
      <c r="A136" s="8" t="s">
        <v>394</v>
      </c>
      <c r="B136" s="8" t="s">
        <v>565</v>
      </c>
      <c r="C136" s="8" t="s">
        <v>566</v>
      </c>
      <c r="D136" s="26" t="n">
        <v>0</v>
      </c>
    </row>
    <row r="137" customFormat="false" ht="15" hidden="false" customHeight="true" outlineLevel="0" collapsed="false">
      <c r="A137" s="8" t="s">
        <v>394</v>
      </c>
      <c r="B137" s="8" t="s">
        <v>142</v>
      </c>
      <c r="C137" s="8" t="s">
        <v>556</v>
      </c>
      <c r="D137" s="26" t="n">
        <v>0</v>
      </c>
    </row>
    <row r="138" customFormat="false" ht="15" hidden="false" customHeight="true" outlineLevel="0" collapsed="false">
      <c r="A138" s="8" t="s">
        <v>394</v>
      </c>
      <c r="B138" s="8" t="s">
        <v>69</v>
      </c>
      <c r="C138" s="8" t="s">
        <v>556</v>
      </c>
      <c r="D138" s="26" t="n">
        <v>0</v>
      </c>
    </row>
    <row r="139" customFormat="false" ht="15" hidden="false" customHeight="true" outlineLevel="0" collapsed="false">
      <c r="A139" s="8" t="s">
        <v>394</v>
      </c>
      <c r="B139" s="8" t="s">
        <v>98</v>
      </c>
      <c r="C139" s="8" t="s">
        <v>567</v>
      </c>
      <c r="D139" s="26" t="n">
        <v>0</v>
      </c>
    </row>
    <row r="140" customFormat="false" ht="15" hidden="false" customHeight="true" outlineLevel="0" collapsed="false">
      <c r="A140" s="8" t="s">
        <v>394</v>
      </c>
      <c r="B140" s="8" t="s">
        <v>98</v>
      </c>
      <c r="C140" s="8" t="s">
        <v>568</v>
      </c>
      <c r="D140" s="26" t="n">
        <v>0</v>
      </c>
    </row>
    <row r="141" customFormat="false" ht="15" hidden="false" customHeight="true" outlineLevel="0" collapsed="false">
      <c r="A141" s="8" t="s">
        <v>394</v>
      </c>
      <c r="B141" s="8" t="s">
        <v>569</v>
      </c>
      <c r="C141" s="8" t="s">
        <v>570</v>
      </c>
      <c r="D141" s="26" t="n">
        <v>0</v>
      </c>
    </row>
    <row r="142" customFormat="false" ht="15" hidden="false" customHeight="true" outlineLevel="0" collapsed="false">
      <c r="A142" s="8" t="s">
        <v>394</v>
      </c>
      <c r="B142" s="8" t="s">
        <v>571</v>
      </c>
      <c r="C142" s="8" t="s">
        <v>572</v>
      </c>
      <c r="D142" s="26" t="n">
        <v>0</v>
      </c>
    </row>
    <row r="143" customFormat="false" ht="15" hidden="false" customHeight="true" outlineLevel="0" collapsed="false">
      <c r="A143" s="8" t="s">
        <v>394</v>
      </c>
      <c r="B143" s="8" t="s">
        <v>68</v>
      </c>
      <c r="C143" s="8" t="s">
        <v>573</v>
      </c>
      <c r="D143" s="26" t="n">
        <v>0</v>
      </c>
    </row>
    <row r="144" customFormat="false" ht="15" hidden="false" customHeight="true" outlineLevel="0" collapsed="false">
      <c r="A144" s="8" t="s">
        <v>394</v>
      </c>
      <c r="B144" s="8" t="s">
        <v>100</v>
      </c>
      <c r="C144" s="8" t="s">
        <v>574</v>
      </c>
      <c r="D144" s="26" t="n">
        <v>0</v>
      </c>
    </row>
    <row r="145" customFormat="false" ht="15" hidden="false" customHeight="true" outlineLevel="0" collapsed="false">
      <c r="A145" s="8" t="s">
        <v>394</v>
      </c>
      <c r="B145" s="8" t="s">
        <v>106</v>
      </c>
      <c r="C145" s="8" t="s">
        <v>575</v>
      </c>
      <c r="D145" s="26" t="n">
        <v>0</v>
      </c>
    </row>
    <row r="146" customFormat="false" ht="15" hidden="false" customHeight="true" outlineLevel="0" collapsed="false">
      <c r="A146" s="8" t="s">
        <v>394</v>
      </c>
      <c r="B146" s="8" t="s">
        <v>576</v>
      </c>
      <c r="C146" s="8" t="s">
        <v>577</v>
      </c>
      <c r="D146" s="26" t="n">
        <v>0</v>
      </c>
    </row>
    <row r="147" customFormat="false" ht="15" hidden="false" customHeight="true" outlineLevel="0" collapsed="false">
      <c r="A147" s="8" t="s">
        <v>394</v>
      </c>
      <c r="B147" s="8" t="s">
        <v>128</v>
      </c>
      <c r="C147" s="8" t="s">
        <v>578</v>
      </c>
      <c r="D147" s="26" t="n">
        <v>0</v>
      </c>
    </row>
    <row r="148" customFormat="false" ht="15" hidden="false" customHeight="true" outlineLevel="0" collapsed="false">
      <c r="A148" s="8" t="s">
        <v>394</v>
      </c>
      <c r="B148" s="8" t="s">
        <v>579</v>
      </c>
      <c r="C148" s="8" t="s">
        <v>580</v>
      </c>
      <c r="D148" s="26" t="n">
        <v>0</v>
      </c>
    </row>
    <row r="149" customFormat="false" ht="15" hidden="false" customHeight="true" outlineLevel="0" collapsed="false">
      <c r="A149" s="8" t="s">
        <v>394</v>
      </c>
      <c r="B149" s="8" t="s">
        <v>579</v>
      </c>
      <c r="C149" s="8" t="s">
        <v>581</v>
      </c>
      <c r="D149" s="26" t="n">
        <v>0</v>
      </c>
    </row>
    <row r="150" customFormat="false" ht="15" hidden="false" customHeight="true" outlineLevel="0" collapsed="false">
      <c r="A150" s="8" t="s">
        <v>394</v>
      </c>
      <c r="B150" s="8" t="s">
        <v>579</v>
      </c>
      <c r="C150" s="8" t="s">
        <v>582</v>
      </c>
      <c r="D150" s="26" t="n">
        <v>0</v>
      </c>
    </row>
    <row r="151" customFormat="false" ht="15" hidden="false" customHeight="true" outlineLevel="0" collapsed="false">
      <c r="A151" s="8" t="s">
        <v>394</v>
      </c>
      <c r="B151" s="8" t="s">
        <v>579</v>
      </c>
      <c r="C151" s="8" t="s">
        <v>583</v>
      </c>
      <c r="D151" s="26" t="n">
        <v>0</v>
      </c>
    </row>
    <row r="152" customFormat="false" ht="15" hidden="false" customHeight="true" outlineLevel="0" collapsed="false">
      <c r="A152" s="8" t="s">
        <v>394</v>
      </c>
      <c r="B152" s="8" t="s">
        <v>579</v>
      </c>
      <c r="C152" s="8" t="s">
        <v>584</v>
      </c>
      <c r="D152" s="26" t="n">
        <v>0</v>
      </c>
    </row>
    <row r="153" customFormat="false" ht="15" hidden="false" customHeight="true" outlineLevel="0" collapsed="false">
      <c r="A153" s="8" t="s">
        <v>394</v>
      </c>
      <c r="B153" s="8" t="s">
        <v>585</v>
      </c>
      <c r="C153" s="8" t="s">
        <v>586</v>
      </c>
      <c r="D153" s="26" t="n">
        <v>0</v>
      </c>
    </row>
    <row r="154" customFormat="false" ht="15" hidden="false" customHeight="true" outlineLevel="0" collapsed="false">
      <c r="A154" s="8" t="s">
        <v>394</v>
      </c>
      <c r="B154" s="8" t="s">
        <v>585</v>
      </c>
      <c r="C154" s="8" t="s">
        <v>587</v>
      </c>
      <c r="D154" s="26" t="n">
        <v>0</v>
      </c>
    </row>
    <row r="155" customFormat="false" ht="15" hidden="false" customHeight="true" outlineLevel="0" collapsed="false">
      <c r="A155" s="8" t="s">
        <v>394</v>
      </c>
      <c r="B155" s="8" t="s">
        <v>588</v>
      </c>
      <c r="C155" s="8" t="s">
        <v>589</v>
      </c>
      <c r="D155" s="26" t="n">
        <v>0</v>
      </c>
    </row>
    <row r="156" customFormat="false" ht="15" hidden="false" customHeight="true" outlineLevel="0" collapsed="false">
      <c r="A156" s="8" t="s">
        <v>394</v>
      </c>
      <c r="B156" s="8" t="s">
        <v>588</v>
      </c>
      <c r="C156" s="8" t="s">
        <v>590</v>
      </c>
      <c r="D156" s="26" t="n">
        <v>0</v>
      </c>
    </row>
    <row r="157" customFormat="false" ht="15" hidden="false" customHeight="true" outlineLevel="0" collapsed="false">
      <c r="A157" s="8" t="s">
        <v>394</v>
      </c>
      <c r="B157" s="8" t="s">
        <v>588</v>
      </c>
      <c r="C157" s="8" t="s">
        <v>591</v>
      </c>
      <c r="D157" s="26" t="n">
        <v>0</v>
      </c>
    </row>
    <row r="158" customFormat="false" ht="15" hidden="false" customHeight="true" outlineLevel="0" collapsed="false">
      <c r="A158" s="8" t="s">
        <v>394</v>
      </c>
      <c r="B158" s="8" t="s">
        <v>588</v>
      </c>
      <c r="C158" s="8" t="s">
        <v>592</v>
      </c>
      <c r="D158" s="26" t="n">
        <v>0</v>
      </c>
    </row>
    <row r="159" customFormat="false" ht="15" hidden="false" customHeight="true" outlineLevel="0" collapsed="false">
      <c r="A159" s="8" t="s">
        <v>394</v>
      </c>
      <c r="B159" s="8" t="s">
        <v>588</v>
      </c>
      <c r="C159" s="8" t="s">
        <v>593</v>
      </c>
      <c r="D159" s="26" t="n">
        <v>0</v>
      </c>
    </row>
    <row r="160" customFormat="false" ht="15" hidden="false" customHeight="true" outlineLevel="0" collapsed="false">
      <c r="A160" s="8" t="s">
        <v>394</v>
      </c>
      <c r="B160" s="8" t="s">
        <v>114</v>
      </c>
      <c r="C160" s="8" t="s">
        <v>594</v>
      </c>
      <c r="D160" s="26" t="n">
        <v>0</v>
      </c>
    </row>
    <row r="161" customFormat="false" ht="15" hidden="false" customHeight="true" outlineLevel="0" collapsed="false">
      <c r="A161" s="8" t="s">
        <v>394</v>
      </c>
      <c r="B161" s="8" t="s">
        <v>131</v>
      </c>
      <c r="C161" s="8" t="s">
        <v>595</v>
      </c>
      <c r="D161" s="26" t="n">
        <v>0</v>
      </c>
    </row>
    <row r="162" customFormat="false" ht="15" hidden="false" customHeight="true" outlineLevel="0" collapsed="false">
      <c r="A162" s="8" t="s">
        <v>394</v>
      </c>
      <c r="B162" s="8" t="s">
        <v>53</v>
      </c>
      <c r="C162" s="8" t="s">
        <v>596</v>
      </c>
      <c r="D162" s="26" t="n">
        <v>0</v>
      </c>
    </row>
    <row r="163" customFormat="false" ht="15" hidden="false" customHeight="true" outlineLevel="0" collapsed="false">
      <c r="A163" s="8" t="s">
        <v>394</v>
      </c>
      <c r="B163" s="8" t="s">
        <v>53</v>
      </c>
      <c r="C163" s="8" t="s">
        <v>597</v>
      </c>
      <c r="D163" s="26" t="n">
        <v>0</v>
      </c>
    </row>
    <row r="164" customFormat="false" ht="15" hidden="false" customHeight="true" outlineLevel="0" collapsed="false">
      <c r="A164" s="8" t="s">
        <v>394</v>
      </c>
      <c r="B164" s="8" t="s">
        <v>53</v>
      </c>
      <c r="C164" s="8" t="s">
        <v>598</v>
      </c>
      <c r="D164" s="26" t="n">
        <v>0</v>
      </c>
    </row>
    <row r="165" customFormat="false" ht="15" hidden="false" customHeight="true" outlineLevel="0" collapsed="false">
      <c r="A165" s="8" t="s">
        <v>394</v>
      </c>
      <c r="B165" s="8" t="s">
        <v>53</v>
      </c>
      <c r="C165" s="8" t="s">
        <v>599</v>
      </c>
      <c r="D165" s="26" t="n">
        <v>0</v>
      </c>
    </row>
    <row r="166" customFormat="false" ht="15" hidden="false" customHeight="true" outlineLevel="0" collapsed="false">
      <c r="A166" s="8" t="s">
        <v>394</v>
      </c>
      <c r="B166" s="8" t="s">
        <v>53</v>
      </c>
      <c r="C166" s="8" t="s">
        <v>600</v>
      </c>
      <c r="D166" s="26" t="n">
        <v>0</v>
      </c>
    </row>
    <row r="167" customFormat="false" ht="15" hidden="false" customHeight="true" outlineLevel="0" collapsed="false">
      <c r="A167" s="8" t="s">
        <v>394</v>
      </c>
      <c r="B167" s="8" t="s">
        <v>53</v>
      </c>
      <c r="C167" s="8" t="s">
        <v>601</v>
      </c>
      <c r="D167" s="26" t="n">
        <v>0</v>
      </c>
    </row>
    <row r="168" customFormat="false" ht="15" hidden="false" customHeight="true" outlineLevel="0" collapsed="false">
      <c r="A168" s="8" t="s">
        <v>394</v>
      </c>
      <c r="B168" s="8" t="s">
        <v>63</v>
      </c>
      <c r="C168" s="8" t="s">
        <v>602</v>
      </c>
      <c r="D168" s="26" t="n">
        <v>0</v>
      </c>
    </row>
    <row r="169" customFormat="false" ht="15" hidden="false" customHeight="true" outlineLevel="0" collapsed="false">
      <c r="A169" s="8" t="s">
        <v>394</v>
      </c>
      <c r="B169" s="8" t="s">
        <v>63</v>
      </c>
      <c r="C169" s="8" t="s">
        <v>603</v>
      </c>
      <c r="D169" s="26" t="n">
        <v>0</v>
      </c>
    </row>
    <row r="170" customFormat="false" ht="15" hidden="false" customHeight="true" outlineLevel="0" collapsed="false">
      <c r="A170" s="8" t="s">
        <v>394</v>
      </c>
      <c r="B170" s="8" t="s">
        <v>63</v>
      </c>
      <c r="C170" s="8" t="s">
        <v>604</v>
      </c>
      <c r="D170" s="26" t="n">
        <v>0</v>
      </c>
    </row>
    <row r="171" customFormat="false" ht="15" hidden="false" customHeight="true" outlineLevel="0" collapsed="false">
      <c r="A171" s="8" t="s">
        <v>394</v>
      </c>
      <c r="B171" s="8" t="s">
        <v>63</v>
      </c>
      <c r="C171" s="8" t="s">
        <v>605</v>
      </c>
      <c r="D171" s="26" t="n">
        <v>0</v>
      </c>
    </row>
    <row r="172" customFormat="false" ht="15" hidden="false" customHeight="true" outlineLevel="0" collapsed="false">
      <c r="A172" s="8" t="s">
        <v>394</v>
      </c>
      <c r="B172" s="8" t="s">
        <v>63</v>
      </c>
      <c r="C172" s="8" t="s">
        <v>606</v>
      </c>
      <c r="D172" s="26" t="n">
        <v>0</v>
      </c>
    </row>
    <row r="173" customFormat="false" ht="15" hidden="false" customHeight="true" outlineLevel="0" collapsed="false">
      <c r="A173" s="8" t="s">
        <v>394</v>
      </c>
      <c r="B173" s="8" t="s">
        <v>607</v>
      </c>
      <c r="C173" s="8" t="s">
        <v>608</v>
      </c>
      <c r="D173" s="26" t="n">
        <v>0</v>
      </c>
    </row>
    <row r="174" customFormat="false" ht="15" hidden="false" customHeight="true" outlineLevel="0" collapsed="false">
      <c r="A174" s="8" t="s">
        <v>394</v>
      </c>
      <c r="B174" s="8" t="s">
        <v>607</v>
      </c>
      <c r="C174" s="8" t="s">
        <v>609</v>
      </c>
      <c r="D174" s="26" t="n">
        <v>0</v>
      </c>
    </row>
    <row r="175" customFormat="false" ht="15" hidden="false" customHeight="true" outlineLevel="0" collapsed="false">
      <c r="A175" s="8" t="s">
        <v>394</v>
      </c>
      <c r="B175" s="8" t="s">
        <v>607</v>
      </c>
      <c r="C175" s="8" t="s">
        <v>610</v>
      </c>
      <c r="D175" s="26" t="n">
        <v>0</v>
      </c>
    </row>
    <row r="176" customFormat="false" ht="15" hidden="false" customHeight="true" outlineLevel="0" collapsed="false">
      <c r="A176" s="8" t="s">
        <v>394</v>
      </c>
      <c r="B176" s="8" t="s">
        <v>607</v>
      </c>
      <c r="C176" s="8" t="s">
        <v>611</v>
      </c>
      <c r="D176" s="26" t="n">
        <v>0</v>
      </c>
    </row>
    <row r="177" customFormat="false" ht="15" hidden="false" customHeight="true" outlineLevel="0" collapsed="false">
      <c r="A177" s="8" t="s">
        <v>394</v>
      </c>
      <c r="B177" s="8" t="s">
        <v>140</v>
      </c>
      <c r="C177" s="8" t="s">
        <v>612</v>
      </c>
      <c r="D177" s="26" t="n">
        <v>0</v>
      </c>
    </row>
    <row r="178" customFormat="false" ht="15" hidden="false" customHeight="true" outlineLevel="0" collapsed="false">
      <c r="A178" s="8" t="s">
        <v>394</v>
      </c>
      <c r="B178" s="8" t="s">
        <v>119</v>
      </c>
      <c r="C178" s="8" t="s">
        <v>613</v>
      </c>
      <c r="D178" s="26" t="n">
        <v>0</v>
      </c>
    </row>
    <row r="179" customFormat="false" ht="15" hidden="false" customHeight="true" outlineLevel="0" collapsed="false">
      <c r="A179" s="8" t="s">
        <v>394</v>
      </c>
      <c r="B179" s="8" t="s">
        <v>93</v>
      </c>
      <c r="C179" s="8" t="s">
        <v>614</v>
      </c>
      <c r="D179" s="26" t="n">
        <v>0</v>
      </c>
    </row>
    <row r="180" customFormat="false" ht="15" hidden="false" customHeight="true" outlineLevel="0" collapsed="false">
      <c r="A180" s="8" t="s">
        <v>394</v>
      </c>
      <c r="B180" s="8" t="s">
        <v>104</v>
      </c>
      <c r="C180" s="8" t="s">
        <v>615</v>
      </c>
      <c r="D180" s="26" t="n">
        <v>0</v>
      </c>
    </row>
    <row r="181" customFormat="false" ht="15" hidden="false" customHeight="true" outlineLevel="0" collapsed="false">
      <c r="A181" s="8" t="s">
        <v>394</v>
      </c>
      <c r="B181" s="8" t="s">
        <v>616</v>
      </c>
      <c r="C181" s="8" t="s">
        <v>617</v>
      </c>
      <c r="D181" s="26" t="n">
        <v>0</v>
      </c>
    </row>
    <row r="182" customFormat="false" ht="15" hidden="false" customHeight="true" outlineLevel="0" collapsed="false">
      <c r="A182" s="8" t="s">
        <v>394</v>
      </c>
      <c r="B182" s="8" t="s">
        <v>117</v>
      </c>
      <c r="C182" s="8" t="s">
        <v>618</v>
      </c>
      <c r="D182" s="26" t="n">
        <v>0</v>
      </c>
    </row>
    <row r="183" customFormat="false" ht="15" hidden="false" customHeight="true" outlineLevel="0" collapsed="false">
      <c r="A183" s="8" t="s">
        <v>394</v>
      </c>
      <c r="B183" s="8" t="s">
        <v>135</v>
      </c>
      <c r="C183" s="8" t="s">
        <v>619</v>
      </c>
      <c r="D183" s="26" t="n">
        <v>0</v>
      </c>
    </row>
    <row r="184" customFormat="false" ht="15" hidden="false" customHeight="true" outlineLevel="0" collapsed="false">
      <c r="A184" s="8" t="s">
        <v>394</v>
      </c>
      <c r="B184" s="8" t="s">
        <v>620</v>
      </c>
      <c r="C184" s="8" t="s">
        <v>621</v>
      </c>
      <c r="D184" s="26" t="n">
        <v>0</v>
      </c>
    </row>
    <row r="185" customFormat="false" ht="15" hidden="false" customHeight="true" outlineLevel="0" collapsed="false">
      <c r="A185" s="8" t="s">
        <v>394</v>
      </c>
      <c r="B185" s="8" t="s">
        <v>622</v>
      </c>
      <c r="C185" s="8" t="s">
        <v>621</v>
      </c>
      <c r="D185" s="26" t="n">
        <v>0</v>
      </c>
    </row>
    <row r="186" customFormat="false" ht="15" hidden="false" customHeight="true" outlineLevel="0" collapsed="false">
      <c r="A186" s="8" t="s">
        <v>394</v>
      </c>
      <c r="B186" s="8" t="s">
        <v>139</v>
      </c>
      <c r="C186" s="8" t="s">
        <v>623</v>
      </c>
      <c r="D186" s="26" t="n">
        <v>0</v>
      </c>
    </row>
    <row r="187" customFormat="false" ht="15" hidden="false" customHeight="true" outlineLevel="0" collapsed="false">
      <c r="A187" s="8" t="s">
        <v>394</v>
      </c>
      <c r="B187" s="8" t="s">
        <v>139</v>
      </c>
      <c r="C187" s="8" t="s">
        <v>624</v>
      </c>
      <c r="D187" s="26" t="n">
        <v>0</v>
      </c>
    </row>
    <row r="188" customFormat="false" ht="15" hidden="false" customHeight="true" outlineLevel="0" collapsed="false">
      <c r="A188" s="8" t="s">
        <v>394</v>
      </c>
      <c r="B188" s="8" t="s">
        <v>139</v>
      </c>
      <c r="C188" s="8" t="s">
        <v>625</v>
      </c>
      <c r="D188" s="26" t="n">
        <v>0</v>
      </c>
    </row>
    <row r="189" customFormat="false" ht="15" hidden="false" customHeight="true" outlineLevel="0" collapsed="false">
      <c r="A189" s="8" t="s">
        <v>394</v>
      </c>
      <c r="B189" s="8" t="s">
        <v>139</v>
      </c>
      <c r="C189" s="8" t="s">
        <v>626</v>
      </c>
      <c r="D189" s="26" t="n">
        <v>0</v>
      </c>
    </row>
    <row r="190" customFormat="false" ht="15" hidden="false" customHeight="true" outlineLevel="0" collapsed="false">
      <c r="A190" s="8" t="s">
        <v>394</v>
      </c>
      <c r="B190" s="8" t="s">
        <v>627</v>
      </c>
      <c r="C190" s="8" t="s">
        <v>628</v>
      </c>
      <c r="D190" s="26" t="n">
        <v>0</v>
      </c>
    </row>
    <row r="191" customFormat="false" ht="15" hidden="false" customHeight="true" outlineLevel="0" collapsed="false">
      <c r="A191" s="8" t="s">
        <v>394</v>
      </c>
      <c r="B191" s="8" t="s">
        <v>627</v>
      </c>
      <c r="C191" s="8" t="s">
        <v>629</v>
      </c>
      <c r="D191" s="26" t="n">
        <v>0</v>
      </c>
    </row>
    <row r="192" customFormat="false" ht="15" hidden="false" customHeight="true" outlineLevel="0" collapsed="false">
      <c r="A192" s="8" t="s">
        <v>394</v>
      </c>
      <c r="B192" s="8" t="s">
        <v>627</v>
      </c>
      <c r="C192" s="8" t="s">
        <v>630</v>
      </c>
      <c r="D192" s="26" t="n">
        <v>0</v>
      </c>
    </row>
    <row r="193" customFormat="false" ht="15" hidden="false" customHeight="true" outlineLevel="0" collapsed="false">
      <c r="A193" s="8" t="s">
        <v>394</v>
      </c>
      <c r="B193" s="8" t="s">
        <v>631</v>
      </c>
      <c r="C193" s="8" t="s">
        <v>632</v>
      </c>
      <c r="D193" s="26" t="n">
        <v>0</v>
      </c>
    </row>
    <row r="194" customFormat="false" ht="15" hidden="false" customHeight="true" outlineLevel="0" collapsed="false">
      <c r="A194" s="8" t="s">
        <v>394</v>
      </c>
      <c r="B194" s="8" t="s">
        <v>631</v>
      </c>
      <c r="C194" s="8" t="s">
        <v>633</v>
      </c>
      <c r="D194" s="26" t="n">
        <v>0</v>
      </c>
    </row>
    <row r="195" customFormat="false" ht="15" hidden="false" customHeight="true" outlineLevel="0" collapsed="false">
      <c r="A195" s="8" t="s">
        <v>394</v>
      </c>
      <c r="B195" s="8" t="s">
        <v>631</v>
      </c>
      <c r="C195" s="8" t="s">
        <v>634</v>
      </c>
      <c r="D195" s="26" t="n">
        <v>0</v>
      </c>
    </row>
    <row r="196" customFormat="false" ht="15" hidden="false" customHeight="true" outlineLevel="0" collapsed="false">
      <c r="A196" s="8" t="s">
        <v>394</v>
      </c>
      <c r="B196" s="8" t="s">
        <v>631</v>
      </c>
      <c r="C196" s="8" t="s">
        <v>635</v>
      </c>
      <c r="D196" s="26" t="n">
        <v>0</v>
      </c>
    </row>
    <row r="197" customFormat="false" ht="15" hidden="false" customHeight="true" outlineLevel="0" collapsed="false">
      <c r="A197" s="8" t="s">
        <v>394</v>
      </c>
      <c r="B197" s="8" t="s">
        <v>631</v>
      </c>
      <c r="C197" s="8" t="s">
        <v>636</v>
      </c>
      <c r="D197" s="26" t="n">
        <v>0</v>
      </c>
    </row>
    <row r="198" customFormat="false" ht="15" hidden="false" customHeight="true" outlineLevel="0" collapsed="false">
      <c r="A198" s="8" t="s">
        <v>394</v>
      </c>
      <c r="B198" s="8" t="s">
        <v>55</v>
      </c>
      <c r="C198" s="8" t="s">
        <v>637</v>
      </c>
      <c r="D198" s="26" t="n">
        <v>0</v>
      </c>
    </row>
    <row r="199" customFormat="false" ht="15" hidden="false" customHeight="true" outlineLevel="0" collapsed="false">
      <c r="A199" s="8" t="s">
        <v>394</v>
      </c>
      <c r="B199" s="8" t="s">
        <v>55</v>
      </c>
      <c r="C199" s="8" t="s">
        <v>638</v>
      </c>
      <c r="D199" s="26" t="n">
        <v>0</v>
      </c>
    </row>
    <row r="200" customFormat="false" ht="15" hidden="false" customHeight="true" outlineLevel="0" collapsed="false">
      <c r="A200" s="8" t="s">
        <v>394</v>
      </c>
      <c r="B200" s="8" t="s">
        <v>55</v>
      </c>
      <c r="C200" s="8" t="s">
        <v>639</v>
      </c>
      <c r="D200" s="26" t="n">
        <v>0</v>
      </c>
    </row>
    <row r="201" customFormat="false" ht="15" hidden="false" customHeight="true" outlineLevel="0" collapsed="false">
      <c r="A201" s="8" t="s">
        <v>394</v>
      </c>
      <c r="B201" s="8" t="s">
        <v>55</v>
      </c>
      <c r="C201" s="8" t="s">
        <v>640</v>
      </c>
      <c r="D201" s="26" t="n">
        <v>0</v>
      </c>
    </row>
    <row r="202" customFormat="false" ht="15" hidden="false" customHeight="true" outlineLevel="0" collapsed="false">
      <c r="A202" s="8" t="s">
        <v>394</v>
      </c>
      <c r="B202" s="8" t="s">
        <v>55</v>
      </c>
      <c r="C202" s="8" t="s">
        <v>641</v>
      </c>
      <c r="D202" s="26" t="n">
        <v>0</v>
      </c>
    </row>
    <row r="203" customFormat="false" ht="15" hidden="false" customHeight="true" outlineLevel="0" collapsed="false">
      <c r="A203" s="8" t="s">
        <v>394</v>
      </c>
      <c r="B203" s="8" t="s">
        <v>642</v>
      </c>
      <c r="C203" s="8" t="s">
        <v>643</v>
      </c>
      <c r="D203" s="26" t="n">
        <v>0</v>
      </c>
    </row>
    <row r="204" customFormat="false" ht="15" hidden="false" customHeight="true" outlineLevel="0" collapsed="false">
      <c r="A204" s="8" t="s">
        <v>394</v>
      </c>
      <c r="B204" s="8" t="s">
        <v>642</v>
      </c>
      <c r="C204" s="8" t="s">
        <v>644</v>
      </c>
      <c r="D204" s="26" t="n">
        <v>0</v>
      </c>
    </row>
    <row r="205" customFormat="false" ht="15" hidden="false" customHeight="true" outlineLevel="0" collapsed="false">
      <c r="A205" s="8" t="s">
        <v>394</v>
      </c>
      <c r="B205" s="8" t="s">
        <v>642</v>
      </c>
      <c r="C205" s="8" t="s">
        <v>645</v>
      </c>
      <c r="D205" s="26" t="n">
        <v>0</v>
      </c>
    </row>
    <row r="206" customFormat="false" ht="15" hidden="false" customHeight="true" outlineLevel="0" collapsed="false">
      <c r="A206" s="8" t="s">
        <v>394</v>
      </c>
      <c r="B206" s="8" t="s">
        <v>642</v>
      </c>
      <c r="C206" s="8" t="s">
        <v>646</v>
      </c>
      <c r="D206" s="26" t="n">
        <v>0</v>
      </c>
    </row>
    <row r="207" customFormat="false" ht="15" hidden="false" customHeight="true" outlineLevel="0" collapsed="false">
      <c r="A207" s="8" t="s">
        <v>394</v>
      </c>
      <c r="B207" s="8" t="s">
        <v>57</v>
      </c>
      <c r="C207" s="8" t="s">
        <v>647</v>
      </c>
      <c r="D207" s="26" t="n">
        <v>0</v>
      </c>
    </row>
    <row r="208" customFormat="false" ht="15" hidden="false" customHeight="true" outlineLevel="0" collapsed="false">
      <c r="A208" s="8" t="s">
        <v>394</v>
      </c>
      <c r="B208" s="8" t="s">
        <v>57</v>
      </c>
      <c r="C208" s="8" t="s">
        <v>648</v>
      </c>
      <c r="D208" s="26" t="n">
        <v>0</v>
      </c>
    </row>
    <row r="209" customFormat="false" ht="15" hidden="false" customHeight="true" outlineLevel="0" collapsed="false">
      <c r="A209" s="8" t="s">
        <v>394</v>
      </c>
      <c r="B209" s="8" t="s">
        <v>57</v>
      </c>
      <c r="C209" s="8" t="s">
        <v>649</v>
      </c>
      <c r="D209" s="26" t="n">
        <v>0</v>
      </c>
    </row>
    <row r="210" customFormat="false" ht="15" hidden="false" customHeight="true" outlineLevel="0" collapsed="false">
      <c r="A210" s="8" t="s">
        <v>394</v>
      </c>
      <c r="B210" s="8" t="s">
        <v>57</v>
      </c>
      <c r="C210" s="8" t="s">
        <v>650</v>
      </c>
      <c r="D210" s="26" t="n">
        <v>0</v>
      </c>
    </row>
    <row r="211" customFormat="false" ht="15" hidden="false" customHeight="true" outlineLevel="0" collapsed="false">
      <c r="A211" s="8" t="s">
        <v>394</v>
      </c>
      <c r="B211" s="8" t="s">
        <v>57</v>
      </c>
      <c r="C211" s="8" t="s">
        <v>651</v>
      </c>
      <c r="D211" s="26" t="n">
        <v>0</v>
      </c>
    </row>
    <row r="212" customFormat="false" ht="15" hidden="false" customHeight="true" outlineLevel="0" collapsed="false">
      <c r="A212" s="8" t="s">
        <v>394</v>
      </c>
      <c r="B212" s="8" t="s">
        <v>652</v>
      </c>
      <c r="C212" s="8" t="s">
        <v>653</v>
      </c>
      <c r="D212" s="26" t="n">
        <v>0</v>
      </c>
    </row>
    <row r="213" customFormat="false" ht="15" hidden="false" customHeight="true" outlineLevel="0" collapsed="false">
      <c r="A213" s="8" t="s">
        <v>394</v>
      </c>
      <c r="B213" s="8" t="s">
        <v>652</v>
      </c>
      <c r="C213" s="8" t="s">
        <v>654</v>
      </c>
      <c r="D213" s="26" t="n">
        <v>0</v>
      </c>
    </row>
    <row r="214" customFormat="false" ht="15" hidden="false" customHeight="true" outlineLevel="0" collapsed="false">
      <c r="A214" s="8" t="s">
        <v>394</v>
      </c>
      <c r="B214" s="8" t="s">
        <v>652</v>
      </c>
      <c r="C214" s="8" t="s">
        <v>655</v>
      </c>
      <c r="D214" s="26" t="n">
        <v>0</v>
      </c>
    </row>
    <row r="215" customFormat="false" ht="15" hidden="false" customHeight="true" outlineLevel="0" collapsed="false">
      <c r="A215" s="8" t="s">
        <v>394</v>
      </c>
      <c r="B215" s="8" t="s">
        <v>652</v>
      </c>
      <c r="C215" s="8" t="s">
        <v>656</v>
      </c>
      <c r="D215" s="26" t="n">
        <v>0</v>
      </c>
    </row>
    <row r="216" customFormat="false" ht="15" hidden="false" customHeight="true" outlineLevel="0" collapsed="false">
      <c r="A216" s="8" t="s">
        <v>394</v>
      </c>
      <c r="B216" s="8" t="s">
        <v>652</v>
      </c>
      <c r="C216" s="8" t="s">
        <v>657</v>
      </c>
      <c r="D216" s="26" t="n">
        <v>0</v>
      </c>
    </row>
    <row r="217" customFormat="false" ht="15" hidden="false" customHeight="true" outlineLevel="0" collapsed="false">
      <c r="A217" s="8" t="s">
        <v>394</v>
      </c>
      <c r="B217" s="8" t="s">
        <v>137</v>
      </c>
      <c r="C217" s="8" t="s">
        <v>658</v>
      </c>
      <c r="D217" s="26" t="n">
        <v>0</v>
      </c>
    </row>
    <row r="218" customFormat="false" ht="15" hidden="false" customHeight="true" outlineLevel="0" collapsed="false">
      <c r="A218" s="8" t="s">
        <v>394</v>
      </c>
      <c r="B218" s="8" t="s">
        <v>137</v>
      </c>
      <c r="C218" s="8" t="s">
        <v>659</v>
      </c>
      <c r="D218" s="26" t="n">
        <v>0</v>
      </c>
    </row>
    <row r="219" customFormat="false" ht="15" hidden="false" customHeight="true" outlineLevel="0" collapsed="false">
      <c r="A219" s="8" t="s">
        <v>394</v>
      </c>
      <c r="B219" s="8" t="s">
        <v>137</v>
      </c>
      <c r="C219" s="8" t="s">
        <v>660</v>
      </c>
      <c r="D219" s="26" t="n">
        <v>0</v>
      </c>
    </row>
    <row r="220" customFormat="false" ht="15" hidden="false" customHeight="true" outlineLevel="0" collapsed="false">
      <c r="A220" s="8" t="s">
        <v>394</v>
      </c>
      <c r="B220" s="8" t="s">
        <v>137</v>
      </c>
      <c r="C220" s="8" t="s">
        <v>661</v>
      </c>
      <c r="D220" s="26" t="n">
        <v>0</v>
      </c>
    </row>
    <row r="221" customFormat="false" ht="15" hidden="false" customHeight="true" outlineLevel="0" collapsed="false">
      <c r="A221" s="8" t="s">
        <v>394</v>
      </c>
      <c r="B221" s="8" t="s">
        <v>137</v>
      </c>
      <c r="C221" s="8" t="s">
        <v>662</v>
      </c>
      <c r="D221" s="26" t="n">
        <v>0</v>
      </c>
    </row>
    <row r="222" customFormat="false" ht="15" hidden="false" customHeight="true" outlineLevel="0" collapsed="false">
      <c r="A222" s="8" t="s">
        <v>394</v>
      </c>
      <c r="B222" s="8" t="s">
        <v>663</v>
      </c>
      <c r="C222" s="8" t="s">
        <v>664</v>
      </c>
      <c r="D222" s="26" t="n">
        <v>0</v>
      </c>
    </row>
    <row r="223" customFormat="false" ht="15" hidden="false" customHeight="true" outlineLevel="0" collapsed="false">
      <c r="A223" s="8" t="s">
        <v>394</v>
      </c>
      <c r="B223" s="8" t="s">
        <v>663</v>
      </c>
      <c r="C223" s="8" t="s">
        <v>665</v>
      </c>
      <c r="D223" s="26" t="n">
        <v>0</v>
      </c>
    </row>
    <row r="224" customFormat="false" ht="15" hidden="false" customHeight="true" outlineLevel="0" collapsed="false">
      <c r="A224" s="8" t="s">
        <v>394</v>
      </c>
      <c r="B224" s="8" t="s">
        <v>663</v>
      </c>
      <c r="C224" s="8" t="s">
        <v>666</v>
      </c>
      <c r="D224" s="26" t="n">
        <v>0</v>
      </c>
    </row>
    <row r="225" customFormat="false" ht="15" hidden="false" customHeight="true" outlineLevel="0" collapsed="false">
      <c r="A225" s="8" t="s">
        <v>394</v>
      </c>
      <c r="B225" s="8" t="s">
        <v>663</v>
      </c>
      <c r="C225" s="8" t="s">
        <v>667</v>
      </c>
      <c r="D225" s="26" t="n">
        <v>0</v>
      </c>
    </row>
    <row r="226" customFormat="false" ht="15" hidden="false" customHeight="true" outlineLevel="0" collapsed="false">
      <c r="A226" s="8" t="s">
        <v>394</v>
      </c>
      <c r="B226" s="8" t="s">
        <v>668</v>
      </c>
      <c r="C226" s="8" t="s">
        <v>669</v>
      </c>
      <c r="D226" s="26" t="n">
        <v>0</v>
      </c>
    </row>
    <row r="227" customFormat="false" ht="15" hidden="false" customHeight="true" outlineLevel="0" collapsed="false">
      <c r="A227" s="8" t="s">
        <v>394</v>
      </c>
      <c r="B227" s="8" t="s">
        <v>668</v>
      </c>
      <c r="C227" s="8" t="s">
        <v>670</v>
      </c>
      <c r="D227" s="26" t="n">
        <v>0</v>
      </c>
    </row>
    <row r="228" customFormat="false" ht="15" hidden="false" customHeight="true" outlineLevel="0" collapsed="false">
      <c r="A228" s="8" t="s">
        <v>394</v>
      </c>
      <c r="B228" s="8" t="s">
        <v>671</v>
      </c>
      <c r="C228" s="8" t="s">
        <v>672</v>
      </c>
      <c r="D228" s="26" t="n">
        <v>0</v>
      </c>
    </row>
    <row r="229" customFormat="false" ht="15" hidden="false" customHeight="true" outlineLevel="0" collapsed="false">
      <c r="A229" s="8" t="s">
        <v>394</v>
      </c>
      <c r="B229" s="8" t="s">
        <v>671</v>
      </c>
      <c r="C229" s="8" t="s">
        <v>673</v>
      </c>
      <c r="D229" s="26" t="n">
        <v>0</v>
      </c>
    </row>
    <row r="230" customFormat="false" ht="15" hidden="false" customHeight="true" outlineLevel="0" collapsed="false">
      <c r="A230" s="8" t="s">
        <v>394</v>
      </c>
      <c r="B230" s="8" t="s">
        <v>671</v>
      </c>
      <c r="C230" s="8" t="s">
        <v>674</v>
      </c>
      <c r="D230" s="26" t="n">
        <v>0</v>
      </c>
    </row>
    <row r="231" customFormat="false" ht="15" hidden="false" customHeight="true" outlineLevel="0" collapsed="false">
      <c r="A231" s="8" t="s">
        <v>394</v>
      </c>
      <c r="B231" s="8" t="s">
        <v>671</v>
      </c>
      <c r="C231" s="8" t="s">
        <v>675</v>
      </c>
      <c r="D231" s="26" t="n">
        <v>0</v>
      </c>
    </row>
    <row r="232" customFormat="false" ht="15" hidden="false" customHeight="true" outlineLevel="0" collapsed="false">
      <c r="A232" s="8" t="s">
        <v>394</v>
      </c>
      <c r="B232" s="8" t="s">
        <v>671</v>
      </c>
      <c r="C232" s="8" t="s">
        <v>676</v>
      </c>
      <c r="D232" s="26" t="n">
        <v>0</v>
      </c>
    </row>
    <row r="233" customFormat="false" ht="15" hidden="false" customHeight="true" outlineLevel="0" collapsed="false">
      <c r="A233" s="8" t="s">
        <v>394</v>
      </c>
      <c r="B233" s="8" t="s">
        <v>76</v>
      </c>
      <c r="C233" s="8" t="s">
        <v>677</v>
      </c>
      <c r="D233" s="26" t="n">
        <v>0</v>
      </c>
    </row>
    <row r="234" customFormat="false" ht="15" hidden="false" customHeight="true" outlineLevel="0" collapsed="false">
      <c r="A234" s="8" t="s">
        <v>394</v>
      </c>
      <c r="B234" s="8" t="s">
        <v>76</v>
      </c>
      <c r="C234" s="8" t="s">
        <v>678</v>
      </c>
      <c r="D234" s="26" t="n">
        <v>0</v>
      </c>
    </row>
    <row r="235" customFormat="false" ht="15" hidden="false" customHeight="true" outlineLevel="0" collapsed="false">
      <c r="A235" s="8" t="s">
        <v>394</v>
      </c>
      <c r="B235" s="8" t="s">
        <v>76</v>
      </c>
      <c r="C235" s="8" t="s">
        <v>679</v>
      </c>
      <c r="D235" s="26" t="n">
        <v>0</v>
      </c>
    </row>
    <row r="236" customFormat="false" ht="15" hidden="false" customHeight="true" outlineLevel="0" collapsed="false">
      <c r="A236" s="8" t="s">
        <v>394</v>
      </c>
      <c r="B236" s="8" t="s">
        <v>76</v>
      </c>
      <c r="C236" s="8" t="s">
        <v>680</v>
      </c>
      <c r="D236" s="26" t="n">
        <v>0</v>
      </c>
    </row>
    <row r="237" customFormat="false" ht="15" hidden="false" customHeight="true" outlineLevel="0" collapsed="false">
      <c r="A237" s="8" t="s">
        <v>394</v>
      </c>
      <c r="B237" s="8" t="s">
        <v>54</v>
      </c>
      <c r="C237" s="8" t="s">
        <v>681</v>
      </c>
      <c r="D237" s="26" t="n">
        <v>0</v>
      </c>
    </row>
    <row r="238" customFormat="false" ht="15" hidden="false" customHeight="true" outlineLevel="0" collapsed="false">
      <c r="A238" s="8" t="s">
        <v>394</v>
      </c>
      <c r="B238" s="8" t="s">
        <v>54</v>
      </c>
      <c r="C238" s="8" t="s">
        <v>682</v>
      </c>
      <c r="D238" s="26" t="n">
        <v>0</v>
      </c>
    </row>
    <row r="239" customFormat="false" ht="15" hidden="false" customHeight="true" outlineLevel="0" collapsed="false">
      <c r="A239" s="8" t="s">
        <v>394</v>
      </c>
      <c r="B239" s="8" t="s">
        <v>54</v>
      </c>
      <c r="C239" s="8" t="s">
        <v>683</v>
      </c>
      <c r="D239" s="26" t="n">
        <v>0</v>
      </c>
    </row>
    <row r="240" customFormat="false" ht="15" hidden="false" customHeight="true" outlineLevel="0" collapsed="false">
      <c r="A240" s="8" t="s">
        <v>394</v>
      </c>
      <c r="B240" s="8" t="s">
        <v>54</v>
      </c>
      <c r="C240" s="8" t="s">
        <v>684</v>
      </c>
      <c r="D240" s="26" t="n">
        <v>0</v>
      </c>
    </row>
    <row r="241" customFormat="false" ht="15" hidden="false" customHeight="true" outlineLevel="0" collapsed="false">
      <c r="A241" s="8" t="s">
        <v>394</v>
      </c>
      <c r="B241" s="8" t="s">
        <v>65</v>
      </c>
      <c r="C241" s="8" t="s">
        <v>685</v>
      </c>
      <c r="D241" s="26" t="n">
        <v>0</v>
      </c>
    </row>
    <row r="242" customFormat="false" ht="15" hidden="false" customHeight="true" outlineLevel="0" collapsed="false">
      <c r="A242" s="8" t="s">
        <v>394</v>
      </c>
      <c r="B242" s="8" t="s">
        <v>65</v>
      </c>
      <c r="C242" s="8" t="s">
        <v>686</v>
      </c>
      <c r="D242" s="26" t="n">
        <v>0</v>
      </c>
    </row>
    <row r="243" customFormat="false" ht="15" hidden="false" customHeight="true" outlineLevel="0" collapsed="false">
      <c r="A243" s="8" t="s">
        <v>394</v>
      </c>
      <c r="B243" s="8" t="s">
        <v>65</v>
      </c>
      <c r="C243" s="8" t="s">
        <v>687</v>
      </c>
      <c r="D243" s="26" t="n">
        <v>0</v>
      </c>
    </row>
    <row r="244" customFormat="false" ht="15" hidden="false" customHeight="true" outlineLevel="0" collapsed="false">
      <c r="A244" s="8" t="s">
        <v>394</v>
      </c>
      <c r="B244" s="8" t="s">
        <v>65</v>
      </c>
      <c r="C244" s="8" t="s">
        <v>688</v>
      </c>
      <c r="D244" s="26" t="n">
        <v>0</v>
      </c>
    </row>
    <row r="245" customFormat="false" ht="15" hidden="false" customHeight="true" outlineLevel="0" collapsed="false">
      <c r="A245" s="8" t="s">
        <v>394</v>
      </c>
      <c r="B245" s="8" t="s">
        <v>65</v>
      </c>
      <c r="C245" s="8" t="s">
        <v>689</v>
      </c>
      <c r="D245" s="26" t="n">
        <v>0</v>
      </c>
    </row>
    <row r="246" customFormat="false" ht="15" hidden="false" customHeight="true" outlineLevel="0" collapsed="false">
      <c r="A246" s="8" t="s">
        <v>394</v>
      </c>
      <c r="B246" s="8" t="s">
        <v>65</v>
      </c>
      <c r="C246" s="8" t="s">
        <v>690</v>
      </c>
      <c r="D246" s="26" t="n">
        <v>0</v>
      </c>
    </row>
    <row r="247" customFormat="false" ht="15" hidden="false" customHeight="true" outlineLevel="0" collapsed="false">
      <c r="A247" s="8" t="s">
        <v>394</v>
      </c>
      <c r="B247" s="8" t="s">
        <v>141</v>
      </c>
      <c r="C247" s="8" t="s">
        <v>691</v>
      </c>
      <c r="D247" s="26" t="n">
        <v>0</v>
      </c>
    </row>
    <row r="248" customFormat="false" ht="15" hidden="false" customHeight="true" outlineLevel="0" collapsed="false">
      <c r="A248" s="8" t="s">
        <v>394</v>
      </c>
      <c r="B248" s="8" t="s">
        <v>108</v>
      </c>
      <c r="C248" s="8" t="s">
        <v>692</v>
      </c>
      <c r="D248" s="26" t="n">
        <v>0</v>
      </c>
    </row>
    <row r="249" customFormat="false" ht="15" hidden="false" customHeight="true" outlineLevel="0" collapsed="false">
      <c r="A249" s="8" t="s">
        <v>394</v>
      </c>
      <c r="B249" s="8" t="s">
        <v>693</v>
      </c>
      <c r="C249" s="8" t="s">
        <v>694</v>
      </c>
      <c r="D249" s="26" t="n">
        <v>0</v>
      </c>
    </row>
    <row r="250" customFormat="false" ht="15" hidden="false" customHeight="true" outlineLevel="0" collapsed="false">
      <c r="A250" s="8" t="s">
        <v>394</v>
      </c>
      <c r="B250" s="8" t="s">
        <v>693</v>
      </c>
      <c r="C250" s="8" t="s">
        <v>695</v>
      </c>
      <c r="D250" s="26" t="n">
        <v>0</v>
      </c>
    </row>
    <row r="251" customFormat="false" ht="15" hidden="false" customHeight="true" outlineLevel="0" collapsed="false">
      <c r="A251" s="8" t="s">
        <v>394</v>
      </c>
      <c r="B251" s="8" t="s">
        <v>693</v>
      </c>
      <c r="C251" s="8" t="s">
        <v>696</v>
      </c>
      <c r="D251" s="26" t="n">
        <v>0</v>
      </c>
    </row>
    <row r="252" customFormat="false" ht="15" hidden="false" customHeight="true" outlineLevel="0" collapsed="false">
      <c r="A252" s="8" t="s">
        <v>394</v>
      </c>
      <c r="B252" s="8" t="s">
        <v>693</v>
      </c>
      <c r="C252" s="8" t="s">
        <v>697</v>
      </c>
      <c r="D252" s="26" t="n">
        <v>0</v>
      </c>
    </row>
    <row r="253" customFormat="false" ht="15" hidden="false" customHeight="true" outlineLevel="0" collapsed="false">
      <c r="A253" s="8" t="s">
        <v>394</v>
      </c>
      <c r="B253" s="8" t="s">
        <v>693</v>
      </c>
      <c r="C253" s="8" t="s">
        <v>698</v>
      </c>
      <c r="D253" s="26" t="n">
        <v>0</v>
      </c>
    </row>
    <row r="254" customFormat="false" ht="15" hidden="false" customHeight="true" outlineLevel="0" collapsed="false">
      <c r="A254" s="8" t="s">
        <v>394</v>
      </c>
      <c r="B254" s="8" t="s">
        <v>693</v>
      </c>
      <c r="C254" s="8" t="s">
        <v>699</v>
      </c>
      <c r="D254" s="26" t="n">
        <v>0</v>
      </c>
    </row>
    <row r="255" customFormat="false" ht="15" hidden="false" customHeight="true" outlineLevel="0" collapsed="false">
      <c r="A255" s="8" t="s">
        <v>394</v>
      </c>
      <c r="B255" s="8" t="s">
        <v>64</v>
      </c>
      <c r="C255" s="8" t="s">
        <v>700</v>
      </c>
      <c r="D255" s="26" t="n">
        <v>0</v>
      </c>
    </row>
    <row r="256" customFormat="false" ht="15" hidden="false" customHeight="true" outlineLevel="0" collapsed="false">
      <c r="A256" s="8" t="s">
        <v>394</v>
      </c>
      <c r="B256" s="8" t="s">
        <v>64</v>
      </c>
      <c r="C256" s="8" t="s">
        <v>701</v>
      </c>
      <c r="D256" s="26" t="n">
        <v>0</v>
      </c>
    </row>
    <row r="257" customFormat="false" ht="15" hidden="false" customHeight="true" outlineLevel="0" collapsed="false">
      <c r="A257" s="8" t="s">
        <v>394</v>
      </c>
      <c r="B257" s="8" t="s">
        <v>64</v>
      </c>
      <c r="C257" s="8" t="s">
        <v>702</v>
      </c>
      <c r="D257" s="26" t="n">
        <v>0</v>
      </c>
    </row>
    <row r="258" customFormat="false" ht="15" hidden="false" customHeight="true" outlineLevel="0" collapsed="false">
      <c r="A258" s="8" t="s">
        <v>394</v>
      </c>
      <c r="B258" s="8" t="s">
        <v>111</v>
      </c>
      <c r="C258" s="8" t="s">
        <v>703</v>
      </c>
      <c r="D258" s="26" t="n">
        <v>0</v>
      </c>
    </row>
    <row r="259" customFormat="false" ht="15" hidden="false" customHeight="true" outlineLevel="0" collapsed="false">
      <c r="A259" s="8" t="s">
        <v>394</v>
      </c>
      <c r="B259" s="8" t="s">
        <v>704</v>
      </c>
      <c r="C259" s="8" t="s">
        <v>705</v>
      </c>
      <c r="D259" s="26" t="n">
        <v>0</v>
      </c>
    </row>
    <row r="260" customFormat="false" ht="15" hidden="false" customHeight="true" outlineLevel="0" collapsed="false">
      <c r="A260" s="8" t="s">
        <v>394</v>
      </c>
      <c r="B260" s="8" t="s">
        <v>704</v>
      </c>
      <c r="C260" s="8" t="s">
        <v>706</v>
      </c>
      <c r="D260" s="26" t="n">
        <v>0</v>
      </c>
    </row>
    <row r="261" customFormat="false" ht="15" hidden="false" customHeight="true" outlineLevel="0" collapsed="false">
      <c r="A261" s="8" t="s">
        <v>394</v>
      </c>
      <c r="B261" s="8" t="s">
        <v>707</v>
      </c>
      <c r="C261" s="8" t="s">
        <v>708</v>
      </c>
      <c r="D261" s="26" t="n">
        <v>0</v>
      </c>
    </row>
    <row r="262" customFormat="false" ht="15" hidden="false" customHeight="true" outlineLevel="0" collapsed="false">
      <c r="A262" s="8" t="s">
        <v>394</v>
      </c>
      <c r="B262" s="8" t="s">
        <v>707</v>
      </c>
      <c r="C262" s="8" t="s">
        <v>709</v>
      </c>
      <c r="D262" s="26" t="n">
        <v>0</v>
      </c>
    </row>
    <row r="263" customFormat="false" ht="15" hidden="false" customHeight="true" outlineLevel="0" collapsed="false">
      <c r="A263" s="8" t="s">
        <v>394</v>
      </c>
      <c r="B263" s="8" t="s">
        <v>707</v>
      </c>
      <c r="C263" s="8" t="s">
        <v>710</v>
      </c>
      <c r="D263" s="26" t="n">
        <v>0</v>
      </c>
    </row>
    <row r="264" customFormat="false" ht="15" hidden="false" customHeight="true" outlineLevel="0" collapsed="false">
      <c r="A264" s="8" t="s">
        <v>394</v>
      </c>
      <c r="B264" s="8" t="s">
        <v>707</v>
      </c>
      <c r="C264" s="8" t="s">
        <v>711</v>
      </c>
      <c r="D264" s="26" t="n">
        <v>0</v>
      </c>
    </row>
    <row r="265" customFormat="false" ht="15" hidden="false" customHeight="true" outlineLevel="0" collapsed="false">
      <c r="A265" s="8" t="s">
        <v>394</v>
      </c>
      <c r="B265" s="8" t="s">
        <v>707</v>
      </c>
      <c r="C265" s="8" t="s">
        <v>712</v>
      </c>
      <c r="D265" s="26" t="n">
        <v>0</v>
      </c>
    </row>
    <row r="266" customFormat="false" ht="15" hidden="false" customHeight="true" outlineLevel="0" collapsed="false">
      <c r="A266" s="8" t="s">
        <v>394</v>
      </c>
      <c r="B266" s="8" t="s">
        <v>713</v>
      </c>
      <c r="C266" s="8" t="s">
        <v>714</v>
      </c>
      <c r="D266" s="26" t="n">
        <v>0</v>
      </c>
    </row>
    <row r="267" customFormat="false" ht="15" hidden="false" customHeight="true" outlineLevel="0" collapsed="false">
      <c r="A267" s="8" t="s">
        <v>394</v>
      </c>
      <c r="B267" s="8" t="s">
        <v>713</v>
      </c>
      <c r="C267" s="8" t="s">
        <v>715</v>
      </c>
      <c r="D267" s="26" t="n">
        <v>0</v>
      </c>
    </row>
    <row r="268" customFormat="false" ht="15" hidden="false" customHeight="true" outlineLevel="0" collapsed="false">
      <c r="A268" s="8" t="s">
        <v>394</v>
      </c>
      <c r="B268" s="8" t="s">
        <v>713</v>
      </c>
      <c r="C268" s="8" t="s">
        <v>716</v>
      </c>
      <c r="D268" s="26" t="n">
        <v>0</v>
      </c>
    </row>
    <row r="269" customFormat="false" ht="15" hidden="false" customHeight="true" outlineLevel="0" collapsed="false">
      <c r="A269" s="8" t="s">
        <v>394</v>
      </c>
      <c r="B269" s="8" t="s">
        <v>713</v>
      </c>
      <c r="C269" s="8" t="s">
        <v>717</v>
      </c>
      <c r="D269" s="26" t="n">
        <v>0</v>
      </c>
    </row>
    <row r="270" customFormat="false" ht="15" hidden="false" customHeight="true" outlineLevel="0" collapsed="false">
      <c r="A270" s="8" t="s">
        <v>394</v>
      </c>
      <c r="B270" s="8" t="s">
        <v>718</v>
      </c>
      <c r="C270" s="8" t="s">
        <v>719</v>
      </c>
      <c r="D270" s="26" t="n">
        <v>0</v>
      </c>
    </row>
    <row r="271" customFormat="false" ht="15" hidden="false" customHeight="true" outlineLevel="0" collapsed="false">
      <c r="A271" s="8" t="s">
        <v>394</v>
      </c>
      <c r="B271" s="8" t="s">
        <v>718</v>
      </c>
      <c r="C271" s="8" t="s">
        <v>720</v>
      </c>
      <c r="D271" s="26" t="n">
        <v>0</v>
      </c>
    </row>
    <row r="272" customFormat="false" ht="15" hidden="false" customHeight="true" outlineLevel="0" collapsed="false">
      <c r="A272" s="8" t="s">
        <v>394</v>
      </c>
      <c r="B272" s="8" t="s">
        <v>718</v>
      </c>
      <c r="C272" s="8" t="s">
        <v>721</v>
      </c>
      <c r="D272" s="26" t="n">
        <v>0</v>
      </c>
    </row>
    <row r="273" customFormat="false" ht="15" hidden="false" customHeight="true" outlineLevel="0" collapsed="false">
      <c r="A273" s="8" t="s">
        <v>394</v>
      </c>
      <c r="B273" s="8" t="s">
        <v>718</v>
      </c>
      <c r="C273" s="8" t="s">
        <v>722</v>
      </c>
      <c r="D273" s="26" t="n">
        <v>0</v>
      </c>
    </row>
    <row r="274" customFormat="false" ht="15" hidden="false" customHeight="true" outlineLevel="0" collapsed="false">
      <c r="A274" s="8" t="s">
        <v>394</v>
      </c>
      <c r="B274" s="8" t="s">
        <v>723</v>
      </c>
      <c r="C274" s="8" t="s">
        <v>724</v>
      </c>
      <c r="D274" s="26" t="n">
        <v>0</v>
      </c>
    </row>
    <row r="275" customFormat="false" ht="15" hidden="false" customHeight="true" outlineLevel="0" collapsed="false">
      <c r="A275" s="8" t="s">
        <v>394</v>
      </c>
      <c r="B275" s="8" t="s">
        <v>725</v>
      </c>
      <c r="C275" s="8" t="s">
        <v>726</v>
      </c>
      <c r="D275" s="26" t="n">
        <v>0</v>
      </c>
    </row>
    <row r="276" customFormat="false" ht="15" hidden="false" customHeight="true" outlineLevel="0" collapsed="false">
      <c r="A276" s="8" t="s">
        <v>394</v>
      </c>
      <c r="B276" s="8" t="s">
        <v>725</v>
      </c>
      <c r="C276" s="8" t="s">
        <v>727</v>
      </c>
      <c r="D276" s="26" t="n">
        <v>0</v>
      </c>
    </row>
    <row r="277" customFormat="false" ht="15" hidden="false" customHeight="true" outlineLevel="0" collapsed="false">
      <c r="A277" s="8" t="s">
        <v>394</v>
      </c>
      <c r="B277" s="8" t="s">
        <v>725</v>
      </c>
      <c r="C277" s="8" t="s">
        <v>728</v>
      </c>
      <c r="D277" s="26" t="n">
        <v>0</v>
      </c>
    </row>
    <row r="278" customFormat="false" ht="15" hidden="false" customHeight="true" outlineLevel="0" collapsed="false">
      <c r="A278" s="8" t="s">
        <v>394</v>
      </c>
      <c r="B278" s="8" t="s">
        <v>58</v>
      </c>
      <c r="C278" s="8" t="s">
        <v>729</v>
      </c>
      <c r="D278" s="26" t="n">
        <v>0</v>
      </c>
    </row>
    <row r="279" customFormat="false" ht="15" hidden="false" customHeight="true" outlineLevel="0" collapsed="false">
      <c r="A279" s="8" t="s">
        <v>394</v>
      </c>
      <c r="B279" s="8" t="s">
        <v>58</v>
      </c>
      <c r="C279" s="8" t="s">
        <v>730</v>
      </c>
      <c r="D279" s="26" t="n">
        <v>0</v>
      </c>
    </row>
    <row r="280" customFormat="false" ht="15" hidden="false" customHeight="true" outlineLevel="0" collapsed="false">
      <c r="A280" s="8" t="s">
        <v>394</v>
      </c>
      <c r="B280" s="8" t="s">
        <v>58</v>
      </c>
      <c r="C280" s="8" t="s">
        <v>731</v>
      </c>
      <c r="D280" s="26" t="n">
        <v>0</v>
      </c>
    </row>
    <row r="281" customFormat="false" ht="15" hidden="false" customHeight="true" outlineLevel="0" collapsed="false">
      <c r="A281" s="8" t="s">
        <v>394</v>
      </c>
      <c r="B281" s="8" t="s">
        <v>58</v>
      </c>
      <c r="C281" s="8" t="s">
        <v>732</v>
      </c>
      <c r="D281" s="26" t="n">
        <v>0</v>
      </c>
    </row>
    <row r="282" customFormat="false" ht="15" hidden="false" customHeight="true" outlineLevel="0" collapsed="false">
      <c r="A282" s="8" t="s">
        <v>394</v>
      </c>
      <c r="B282" s="8" t="s">
        <v>58</v>
      </c>
      <c r="C282" s="8" t="s">
        <v>733</v>
      </c>
      <c r="D282" s="26" t="n">
        <v>0</v>
      </c>
    </row>
    <row r="283" customFormat="false" ht="15" hidden="false" customHeight="true" outlineLevel="0" collapsed="false">
      <c r="A283" s="8" t="s">
        <v>394</v>
      </c>
      <c r="B283" s="8" t="s">
        <v>734</v>
      </c>
      <c r="C283" s="8" t="s">
        <v>735</v>
      </c>
      <c r="D283" s="26" t="n">
        <v>0</v>
      </c>
    </row>
    <row r="284" customFormat="false" ht="15" hidden="false" customHeight="true" outlineLevel="0" collapsed="false">
      <c r="A284" s="8" t="s">
        <v>394</v>
      </c>
      <c r="B284" s="8" t="s">
        <v>734</v>
      </c>
      <c r="C284" s="8" t="s">
        <v>736</v>
      </c>
      <c r="D284" s="26" t="n">
        <v>0</v>
      </c>
    </row>
    <row r="285" customFormat="false" ht="15" hidden="false" customHeight="true" outlineLevel="0" collapsed="false">
      <c r="A285" s="8" t="s">
        <v>394</v>
      </c>
      <c r="B285" s="8" t="s">
        <v>737</v>
      </c>
      <c r="C285" s="8" t="s">
        <v>738</v>
      </c>
      <c r="D285" s="26" t="n">
        <v>0</v>
      </c>
    </row>
    <row r="286" customFormat="false" ht="15" hidden="false" customHeight="true" outlineLevel="0" collapsed="false">
      <c r="A286" s="8" t="s">
        <v>394</v>
      </c>
      <c r="B286" s="8" t="s">
        <v>737</v>
      </c>
      <c r="C286" s="8" t="s">
        <v>739</v>
      </c>
      <c r="D286" s="26" t="n">
        <v>0</v>
      </c>
    </row>
    <row r="287" customFormat="false" ht="15" hidden="false" customHeight="true" outlineLevel="0" collapsed="false">
      <c r="A287" s="8" t="s">
        <v>394</v>
      </c>
      <c r="B287" s="8" t="s">
        <v>737</v>
      </c>
      <c r="C287" s="8" t="s">
        <v>740</v>
      </c>
      <c r="D287" s="26" t="n">
        <v>0</v>
      </c>
    </row>
    <row r="288" customFormat="false" ht="15" hidden="false" customHeight="true" outlineLevel="0" collapsed="false">
      <c r="A288" s="8" t="s">
        <v>394</v>
      </c>
      <c r="B288" s="8" t="s">
        <v>741</v>
      </c>
      <c r="C288" s="8" t="s">
        <v>742</v>
      </c>
      <c r="D288" s="26" t="n">
        <v>0</v>
      </c>
    </row>
    <row r="289" customFormat="false" ht="15" hidden="false" customHeight="true" outlineLevel="0" collapsed="false">
      <c r="A289" s="8" t="s">
        <v>394</v>
      </c>
      <c r="B289" s="8" t="s">
        <v>741</v>
      </c>
      <c r="C289" s="8" t="s">
        <v>743</v>
      </c>
      <c r="D289" s="26" t="n">
        <v>0</v>
      </c>
    </row>
    <row r="290" customFormat="false" ht="15" hidden="false" customHeight="true" outlineLevel="0" collapsed="false">
      <c r="A290" s="8" t="s">
        <v>394</v>
      </c>
      <c r="B290" s="8" t="s">
        <v>741</v>
      </c>
      <c r="C290" s="8" t="s">
        <v>744</v>
      </c>
      <c r="D290" s="26" t="n">
        <v>0</v>
      </c>
    </row>
    <row r="291" customFormat="false" ht="15" hidden="false" customHeight="true" outlineLevel="0" collapsed="false">
      <c r="A291" s="8" t="s">
        <v>394</v>
      </c>
      <c r="B291" s="8" t="s">
        <v>76</v>
      </c>
      <c r="C291" s="8" t="s">
        <v>745</v>
      </c>
      <c r="D291" s="26" t="n">
        <v>0</v>
      </c>
    </row>
    <row r="292" customFormat="false" ht="15" hidden="false" customHeight="true" outlineLevel="0" collapsed="false">
      <c r="A292" s="8" t="s">
        <v>394</v>
      </c>
      <c r="B292" s="8" t="s">
        <v>154</v>
      </c>
      <c r="C292" s="8" t="s">
        <v>746</v>
      </c>
      <c r="D292" s="26" t="n">
        <v>0</v>
      </c>
    </row>
    <row r="293" customFormat="false" ht="15" hidden="false" customHeight="true" outlineLevel="0" collapsed="false">
      <c r="A293" s="8" t="s">
        <v>394</v>
      </c>
      <c r="B293" s="8" t="s">
        <v>154</v>
      </c>
      <c r="C293" s="8" t="s">
        <v>747</v>
      </c>
      <c r="D293" s="26" t="n">
        <v>0</v>
      </c>
    </row>
    <row r="294" customFormat="false" ht="15" hidden="false" customHeight="true" outlineLevel="0" collapsed="false">
      <c r="A294" s="8" t="s">
        <v>394</v>
      </c>
      <c r="B294" s="8" t="s">
        <v>154</v>
      </c>
      <c r="C294" s="8" t="s">
        <v>748</v>
      </c>
      <c r="D294" s="26" t="n">
        <v>0</v>
      </c>
    </row>
    <row r="295" customFormat="false" ht="15" hidden="false" customHeight="true" outlineLevel="0" collapsed="false">
      <c r="A295" s="8" t="s">
        <v>394</v>
      </c>
      <c r="B295" s="8" t="s">
        <v>749</v>
      </c>
      <c r="C295" s="8" t="s">
        <v>750</v>
      </c>
      <c r="D295" s="26" t="n">
        <v>0</v>
      </c>
    </row>
    <row r="296" customFormat="false" ht="15" hidden="false" customHeight="true" outlineLevel="0" collapsed="false">
      <c r="A296" s="8" t="s">
        <v>394</v>
      </c>
      <c r="B296" s="8" t="s">
        <v>749</v>
      </c>
      <c r="C296" s="8" t="s">
        <v>751</v>
      </c>
      <c r="D296" s="26" t="n">
        <v>0</v>
      </c>
    </row>
    <row r="297" customFormat="false" ht="15" hidden="false" customHeight="true" outlineLevel="0" collapsed="false">
      <c r="A297" s="8" t="s">
        <v>394</v>
      </c>
      <c r="B297" s="8" t="s">
        <v>749</v>
      </c>
      <c r="C297" s="8" t="s">
        <v>752</v>
      </c>
      <c r="D297" s="26" t="n">
        <v>0</v>
      </c>
    </row>
    <row r="298" customFormat="false" ht="15" hidden="false" customHeight="true" outlineLevel="0" collapsed="false">
      <c r="A298" s="8" t="s">
        <v>394</v>
      </c>
      <c r="B298" s="8" t="s">
        <v>749</v>
      </c>
      <c r="C298" s="8" t="s">
        <v>753</v>
      </c>
      <c r="D298" s="26" t="n">
        <v>0</v>
      </c>
    </row>
    <row r="299" customFormat="false" ht="15" hidden="false" customHeight="true" outlineLevel="0" collapsed="false">
      <c r="A299" s="8" t="s">
        <v>394</v>
      </c>
      <c r="B299" s="8" t="s">
        <v>749</v>
      </c>
      <c r="C299" s="8" t="s">
        <v>754</v>
      </c>
      <c r="D299" s="26" t="n">
        <v>0</v>
      </c>
    </row>
    <row r="300" customFormat="false" ht="15" hidden="false" customHeight="true" outlineLevel="0" collapsed="false">
      <c r="A300" s="8" t="s">
        <v>394</v>
      </c>
      <c r="B300" s="8" t="s">
        <v>693</v>
      </c>
      <c r="C300" s="8" t="s">
        <v>755</v>
      </c>
      <c r="D300" s="26" t="n">
        <v>0</v>
      </c>
    </row>
    <row r="301" customFormat="false" ht="15" hidden="false" customHeight="true" outlineLevel="0" collapsed="false">
      <c r="A301" s="8" t="s">
        <v>394</v>
      </c>
      <c r="B301" s="8" t="s">
        <v>723</v>
      </c>
      <c r="C301" s="8" t="s">
        <v>756</v>
      </c>
      <c r="D301" s="26" t="n">
        <v>0</v>
      </c>
    </row>
    <row r="302" customFormat="false" ht="15" hidden="false" customHeight="true" outlineLevel="0" collapsed="false">
      <c r="A302" s="8" t="s">
        <v>394</v>
      </c>
      <c r="B302" s="8" t="s">
        <v>146</v>
      </c>
      <c r="C302" s="8" t="s">
        <v>757</v>
      </c>
      <c r="D302" s="26" t="n">
        <v>0</v>
      </c>
    </row>
    <row r="303" customFormat="false" ht="15" hidden="false" customHeight="true" outlineLevel="0" collapsed="false">
      <c r="A303" s="8" t="s">
        <v>394</v>
      </c>
      <c r="B303" s="8" t="s">
        <v>102</v>
      </c>
      <c r="C303" s="8" t="s">
        <v>758</v>
      </c>
      <c r="D303" s="26" t="n">
        <v>0</v>
      </c>
    </row>
    <row r="304" customFormat="false" ht="15" hidden="false" customHeight="true" outlineLevel="0" collapsed="false">
      <c r="A304" s="8" t="s">
        <v>394</v>
      </c>
      <c r="B304" s="8" t="s">
        <v>63</v>
      </c>
      <c r="C304" s="8" t="s">
        <v>759</v>
      </c>
      <c r="D304" s="26" t="n">
        <v>0</v>
      </c>
    </row>
    <row r="305" customFormat="false" ht="15" hidden="false" customHeight="true" outlineLevel="0" collapsed="false">
      <c r="A305" s="8" t="s">
        <v>394</v>
      </c>
      <c r="B305" s="8" t="s">
        <v>760</v>
      </c>
      <c r="C305" s="8" t="s">
        <v>761</v>
      </c>
      <c r="D305" s="26" t="n">
        <v>0</v>
      </c>
    </row>
    <row r="306" customFormat="false" ht="15" hidden="false" customHeight="true" outlineLevel="0" collapsed="false">
      <c r="A306" s="8" t="s">
        <v>394</v>
      </c>
      <c r="B306" s="8" t="s">
        <v>762</v>
      </c>
      <c r="C306" s="8" t="s">
        <v>763</v>
      </c>
      <c r="D306" s="26" t="n">
        <v>0</v>
      </c>
    </row>
    <row r="307" customFormat="false" ht="15" hidden="false" customHeight="true" outlineLevel="0" collapsed="false">
      <c r="A307" s="8" t="s">
        <v>394</v>
      </c>
      <c r="B307" s="8" t="s">
        <v>764</v>
      </c>
      <c r="C307" s="8" t="s">
        <v>765</v>
      </c>
      <c r="D307" s="26" t="n">
        <v>0</v>
      </c>
    </row>
    <row r="308" customFormat="false" ht="15" hidden="false" customHeight="true" outlineLevel="0" collapsed="false">
      <c r="A308" s="8" t="s">
        <v>394</v>
      </c>
      <c r="B308" s="8" t="s">
        <v>766</v>
      </c>
      <c r="C308" s="8" t="s">
        <v>767</v>
      </c>
      <c r="D308" s="26" t="n">
        <v>0</v>
      </c>
    </row>
    <row r="309" customFormat="false" ht="15" hidden="false" customHeight="true" outlineLevel="0" collapsed="false">
      <c r="A309" s="8" t="s">
        <v>394</v>
      </c>
      <c r="B309" s="8" t="s">
        <v>768</v>
      </c>
      <c r="C309" s="8" t="s">
        <v>769</v>
      </c>
      <c r="D309" s="26" t="n">
        <v>0</v>
      </c>
    </row>
    <row r="310" customFormat="false" ht="15" hidden="false" customHeight="true" outlineLevel="0" collapsed="false">
      <c r="A310" s="8" t="s">
        <v>394</v>
      </c>
      <c r="B310" s="8" t="s">
        <v>55</v>
      </c>
      <c r="C310" s="8" t="s">
        <v>770</v>
      </c>
      <c r="D310" s="26" t="n">
        <v>0</v>
      </c>
    </row>
    <row r="311" customFormat="false" ht="15" hidden="false" customHeight="true" outlineLevel="0" collapsed="false">
      <c r="A311" s="8" t="s">
        <v>394</v>
      </c>
      <c r="B311" s="8" t="s">
        <v>127</v>
      </c>
      <c r="C311" s="8" t="s">
        <v>771</v>
      </c>
      <c r="D311" s="26" t="n">
        <v>0</v>
      </c>
    </row>
    <row r="312" customFormat="false" ht="15" hidden="false" customHeight="true" outlineLevel="0" collapsed="false">
      <c r="A312" s="8" t="s">
        <v>394</v>
      </c>
      <c r="B312" s="8" t="s">
        <v>772</v>
      </c>
      <c r="C312" s="8" t="s">
        <v>773</v>
      </c>
      <c r="D312" s="26" t="n">
        <v>0</v>
      </c>
    </row>
    <row r="313" customFormat="false" ht="15" hidden="false" customHeight="true" outlineLevel="0" collapsed="false">
      <c r="A313" s="8" t="s">
        <v>394</v>
      </c>
      <c r="B313" s="8" t="s">
        <v>772</v>
      </c>
      <c r="C313" s="8" t="s">
        <v>774</v>
      </c>
      <c r="D313" s="26" t="n">
        <v>0</v>
      </c>
    </row>
    <row r="314" customFormat="false" ht="15" hidden="false" customHeight="true" outlineLevel="0" collapsed="false">
      <c r="A314" s="8" t="s">
        <v>394</v>
      </c>
      <c r="B314" s="8" t="s">
        <v>772</v>
      </c>
      <c r="C314" s="8" t="s">
        <v>775</v>
      </c>
      <c r="D314" s="26" t="n">
        <v>0</v>
      </c>
    </row>
    <row r="315" customFormat="false" ht="15" hidden="false" customHeight="true" outlineLevel="0" collapsed="false">
      <c r="A315" s="8" t="s">
        <v>394</v>
      </c>
      <c r="B315" s="8" t="s">
        <v>772</v>
      </c>
      <c r="C315" s="8" t="s">
        <v>776</v>
      </c>
      <c r="D315" s="26" t="n">
        <v>0</v>
      </c>
    </row>
    <row r="316" customFormat="false" ht="15" hidden="false" customHeight="true" outlineLevel="0" collapsed="false">
      <c r="A316" s="8" t="s">
        <v>394</v>
      </c>
      <c r="B316" s="8" t="s">
        <v>777</v>
      </c>
      <c r="C316" s="8" t="s">
        <v>778</v>
      </c>
      <c r="D316" s="26" t="n">
        <v>0</v>
      </c>
    </row>
    <row r="317" customFormat="false" ht="15" hidden="false" customHeight="true" outlineLevel="0" collapsed="false">
      <c r="A317" s="8" t="s">
        <v>394</v>
      </c>
      <c r="B317" s="8" t="s">
        <v>779</v>
      </c>
      <c r="C317" s="8" t="s">
        <v>780</v>
      </c>
      <c r="D317" s="26" t="n">
        <v>0</v>
      </c>
    </row>
    <row r="318" customFormat="false" ht="15" hidden="false" customHeight="true" outlineLevel="0" collapsed="false">
      <c r="A318" s="8" t="s">
        <v>394</v>
      </c>
      <c r="B318" s="8" t="s">
        <v>779</v>
      </c>
      <c r="C318" s="8" t="s">
        <v>781</v>
      </c>
      <c r="D318" s="26" t="n">
        <v>0</v>
      </c>
    </row>
    <row r="319" customFormat="false" ht="15" hidden="false" customHeight="true" outlineLevel="0" collapsed="false">
      <c r="A319" s="8" t="s">
        <v>394</v>
      </c>
      <c r="B319" s="8" t="s">
        <v>779</v>
      </c>
      <c r="C319" s="8" t="s">
        <v>782</v>
      </c>
      <c r="D319" s="26" t="n">
        <v>0</v>
      </c>
    </row>
    <row r="320" customFormat="false" ht="15" hidden="false" customHeight="true" outlineLevel="0" collapsed="false">
      <c r="A320" s="8" t="s">
        <v>394</v>
      </c>
      <c r="B320" s="8" t="s">
        <v>779</v>
      </c>
      <c r="C320" s="8" t="s">
        <v>783</v>
      </c>
      <c r="D320" s="26" t="n">
        <v>0</v>
      </c>
    </row>
    <row r="321" customFormat="false" ht="15" hidden="false" customHeight="true" outlineLevel="0" collapsed="false">
      <c r="A321" s="8" t="s">
        <v>394</v>
      </c>
      <c r="B321" s="8" t="s">
        <v>779</v>
      </c>
      <c r="C321" s="8" t="s">
        <v>784</v>
      </c>
      <c r="D321" s="26" t="n">
        <v>0</v>
      </c>
    </row>
    <row r="322" customFormat="false" ht="15" hidden="false" customHeight="true" outlineLevel="0" collapsed="false">
      <c r="A322" s="8" t="s">
        <v>394</v>
      </c>
      <c r="B322" s="8" t="s">
        <v>785</v>
      </c>
      <c r="C322" s="8" t="s">
        <v>786</v>
      </c>
      <c r="D322" s="26" t="n">
        <v>0</v>
      </c>
    </row>
    <row r="323" customFormat="false" ht="15" hidden="false" customHeight="true" outlineLevel="0" collapsed="false">
      <c r="A323" s="8" t="s">
        <v>394</v>
      </c>
      <c r="B323" s="8" t="s">
        <v>785</v>
      </c>
      <c r="C323" s="8" t="s">
        <v>787</v>
      </c>
      <c r="D323" s="26" t="n">
        <v>0</v>
      </c>
    </row>
    <row r="324" customFormat="false" ht="15" hidden="false" customHeight="true" outlineLevel="0" collapsed="false">
      <c r="A324" s="8" t="s">
        <v>394</v>
      </c>
      <c r="B324" s="8" t="s">
        <v>785</v>
      </c>
      <c r="C324" s="8" t="s">
        <v>788</v>
      </c>
      <c r="D324" s="26" t="n">
        <v>0</v>
      </c>
    </row>
    <row r="325" customFormat="false" ht="15" hidden="false" customHeight="true" outlineLevel="0" collapsed="false">
      <c r="A325" s="8" t="s">
        <v>394</v>
      </c>
      <c r="B325" s="8" t="s">
        <v>785</v>
      </c>
      <c r="C325" s="8" t="s">
        <v>789</v>
      </c>
      <c r="D325" s="26" t="n">
        <v>0</v>
      </c>
    </row>
    <row r="326" customFormat="false" ht="15" hidden="false" customHeight="true" outlineLevel="0" collapsed="false">
      <c r="A326" s="8" t="s">
        <v>394</v>
      </c>
      <c r="B326" s="8" t="s">
        <v>790</v>
      </c>
      <c r="C326" s="8" t="s">
        <v>791</v>
      </c>
      <c r="D326" s="26" t="n">
        <v>0</v>
      </c>
    </row>
    <row r="327" customFormat="false" ht="15" hidden="false" customHeight="true" outlineLevel="0" collapsed="false">
      <c r="A327" s="8" t="s">
        <v>394</v>
      </c>
      <c r="B327" s="8" t="s">
        <v>126</v>
      </c>
      <c r="C327" s="8" t="s">
        <v>792</v>
      </c>
      <c r="D327" s="26" t="n">
        <v>0</v>
      </c>
    </row>
    <row r="328" customFormat="false" ht="15" hidden="false" customHeight="true" outlineLevel="0" collapsed="false">
      <c r="A328" s="8" t="s">
        <v>394</v>
      </c>
      <c r="B328" s="8" t="s">
        <v>793</v>
      </c>
      <c r="C328" s="8" t="s">
        <v>794</v>
      </c>
      <c r="D328" s="26" t="n">
        <v>0</v>
      </c>
    </row>
    <row r="329" customFormat="false" ht="15" hidden="false" customHeight="true" outlineLevel="0" collapsed="false">
      <c r="A329" s="8" t="s">
        <v>394</v>
      </c>
      <c r="B329" s="8" t="s">
        <v>795</v>
      </c>
      <c r="C329" s="8" t="s">
        <v>796</v>
      </c>
      <c r="D329" s="26" t="n">
        <v>0</v>
      </c>
    </row>
    <row r="330" customFormat="false" ht="15" hidden="false" customHeight="true" outlineLevel="0" collapsed="false">
      <c r="A330" s="8" t="s">
        <v>394</v>
      </c>
      <c r="B330" s="8" t="s">
        <v>797</v>
      </c>
      <c r="C330" s="8" t="s">
        <v>798</v>
      </c>
      <c r="D330" s="26" t="n">
        <v>0</v>
      </c>
    </row>
    <row r="331" customFormat="false" ht="15" hidden="false" customHeight="true" outlineLevel="0" collapsed="false">
      <c r="A331" s="8" t="s">
        <v>394</v>
      </c>
      <c r="B331" s="8" t="s">
        <v>72</v>
      </c>
      <c r="C331" s="8" t="s">
        <v>799</v>
      </c>
      <c r="D331" s="26" t="n">
        <v>0</v>
      </c>
    </row>
    <row r="332" customFormat="false" ht="15" hidden="false" customHeight="true" outlineLevel="0" collapsed="false">
      <c r="A332" s="8" t="s">
        <v>394</v>
      </c>
      <c r="B332" s="8" t="s">
        <v>800</v>
      </c>
      <c r="C332" s="8" t="s">
        <v>801</v>
      </c>
      <c r="D332" s="26" t="n">
        <v>0</v>
      </c>
    </row>
    <row r="333" customFormat="false" ht="15" hidden="false" customHeight="true" outlineLevel="0" collapsed="false">
      <c r="A333" s="8" t="s">
        <v>394</v>
      </c>
      <c r="B333" s="8" t="s">
        <v>800</v>
      </c>
      <c r="C333" s="8" t="s">
        <v>802</v>
      </c>
      <c r="D333" s="26" t="n">
        <v>0</v>
      </c>
    </row>
    <row r="334" customFormat="false" ht="15" hidden="false" customHeight="true" outlineLevel="0" collapsed="false">
      <c r="A334" s="8" t="s">
        <v>394</v>
      </c>
      <c r="B334" s="8" t="s">
        <v>803</v>
      </c>
      <c r="C334" s="8" t="s">
        <v>804</v>
      </c>
      <c r="D334" s="26" t="n">
        <v>0</v>
      </c>
    </row>
    <row r="335" customFormat="false" ht="15" hidden="false" customHeight="true" outlineLevel="0" collapsed="false">
      <c r="A335" s="8" t="s">
        <v>394</v>
      </c>
      <c r="B335" s="8" t="s">
        <v>803</v>
      </c>
      <c r="C335" s="8" t="s">
        <v>805</v>
      </c>
      <c r="D335" s="26" t="n">
        <v>0</v>
      </c>
    </row>
    <row r="336" customFormat="false" ht="15" hidden="false" customHeight="true" outlineLevel="0" collapsed="false">
      <c r="A336" s="8" t="s">
        <v>394</v>
      </c>
      <c r="B336" s="8" t="s">
        <v>803</v>
      </c>
      <c r="C336" s="8" t="s">
        <v>802</v>
      </c>
      <c r="D336" s="26" t="n">
        <v>0</v>
      </c>
    </row>
    <row r="337" customFormat="false" ht="15" hidden="false" customHeight="true" outlineLevel="0" collapsed="false">
      <c r="A337" s="8" t="s">
        <v>394</v>
      </c>
      <c r="B337" s="8" t="s">
        <v>806</v>
      </c>
      <c r="C337" s="8" t="s">
        <v>807</v>
      </c>
      <c r="D337" s="26" t="n">
        <v>0</v>
      </c>
    </row>
    <row r="338" customFormat="false" ht="15" hidden="false" customHeight="true" outlineLevel="0" collapsed="false">
      <c r="A338" s="8" t="s">
        <v>394</v>
      </c>
      <c r="B338" s="8" t="s">
        <v>806</v>
      </c>
      <c r="C338" s="8" t="s">
        <v>808</v>
      </c>
      <c r="D338" s="26" t="n">
        <v>0</v>
      </c>
    </row>
    <row r="339" customFormat="false" ht="15" hidden="false" customHeight="true" outlineLevel="0" collapsed="false">
      <c r="A339" s="8" t="s">
        <v>394</v>
      </c>
      <c r="B339" s="8" t="s">
        <v>809</v>
      </c>
      <c r="C339" s="8" t="s">
        <v>807</v>
      </c>
      <c r="D339" s="26" t="n">
        <v>0</v>
      </c>
    </row>
    <row r="340" customFormat="false" ht="15" hidden="false" customHeight="true" outlineLevel="0" collapsed="false">
      <c r="A340" s="8" t="s">
        <v>394</v>
      </c>
      <c r="B340" s="8" t="s">
        <v>809</v>
      </c>
      <c r="C340" s="8" t="s">
        <v>808</v>
      </c>
      <c r="D340" s="26" t="n">
        <v>0</v>
      </c>
    </row>
    <row r="341" customFormat="false" ht="15" hidden="false" customHeight="true" outlineLevel="0" collapsed="false">
      <c r="A341" s="8" t="s">
        <v>394</v>
      </c>
      <c r="B341" s="8" t="s">
        <v>150</v>
      </c>
      <c r="C341" s="8" t="s">
        <v>810</v>
      </c>
      <c r="D341" s="26" t="n">
        <v>0</v>
      </c>
    </row>
    <row r="342" customFormat="false" ht="15" hidden="false" customHeight="true" outlineLevel="0" collapsed="false">
      <c r="A342" s="8" t="s">
        <v>394</v>
      </c>
      <c r="B342" s="8" t="s">
        <v>811</v>
      </c>
      <c r="C342" s="8" t="s">
        <v>812</v>
      </c>
      <c r="D342" s="26" t="n">
        <v>0</v>
      </c>
    </row>
    <row r="343" customFormat="false" ht="15" hidden="false" customHeight="true" outlineLevel="0" collapsed="false">
      <c r="A343" s="8" t="s">
        <v>394</v>
      </c>
      <c r="B343" s="8" t="s">
        <v>811</v>
      </c>
      <c r="C343" s="8" t="s">
        <v>813</v>
      </c>
      <c r="D343" s="26" t="n">
        <v>0</v>
      </c>
    </row>
    <row r="344" customFormat="false" ht="15" hidden="false" customHeight="true" outlineLevel="0" collapsed="false">
      <c r="A344" s="8" t="s">
        <v>394</v>
      </c>
      <c r="B344" s="8" t="s">
        <v>814</v>
      </c>
      <c r="C344" s="8" t="s">
        <v>815</v>
      </c>
      <c r="D344" s="26" t="n">
        <v>0</v>
      </c>
    </row>
    <row r="345" customFormat="false" ht="15" hidden="false" customHeight="true" outlineLevel="0" collapsed="false">
      <c r="A345" s="8" t="s">
        <v>394</v>
      </c>
      <c r="B345" s="8" t="s">
        <v>814</v>
      </c>
      <c r="C345" s="8" t="s">
        <v>816</v>
      </c>
      <c r="D345" s="26" t="n">
        <v>0</v>
      </c>
    </row>
    <row r="346" customFormat="false" ht="15" hidden="false" customHeight="true" outlineLevel="0" collapsed="false">
      <c r="A346" s="8" t="s">
        <v>394</v>
      </c>
      <c r="B346" s="8" t="s">
        <v>811</v>
      </c>
      <c r="C346" s="8" t="s">
        <v>817</v>
      </c>
      <c r="D346" s="26" t="n">
        <v>0</v>
      </c>
    </row>
    <row r="347" customFormat="false" ht="15" hidden="false" customHeight="true" outlineLevel="0" collapsed="false">
      <c r="A347" s="8" t="s">
        <v>394</v>
      </c>
      <c r="B347" s="8" t="s">
        <v>818</v>
      </c>
      <c r="C347" s="8" t="s">
        <v>815</v>
      </c>
      <c r="D347" s="26" t="n">
        <v>0</v>
      </c>
    </row>
    <row r="348" customFormat="false" ht="15" hidden="false" customHeight="true" outlineLevel="0" collapsed="false">
      <c r="A348" s="8" t="s">
        <v>394</v>
      </c>
      <c r="B348" s="8" t="s">
        <v>779</v>
      </c>
      <c r="C348" s="8" t="s">
        <v>819</v>
      </c>
      <c r="D348" s="26" t="n">
        <v>0</v>
      </c>
    </row>
    <row r="349" customFormat="false" ht="15" hidden="false" customHeight="true" outlineLevel="0" collapsed="false">
      <c r="A349" s="8" t="s">
        <v>394</v>
      </c>
      <c r="B349" s="8" t="s">
        <v>51</v>
      </c>
      <c r="C349" s="8" t="s">
        <v>820</v>
      </c>
      <c r="D349" s="26" t="n">
        <v>0</v>
      </c>
    </row>
    <row r="350" customFormat="false" ht="15" hidden="false" customHeight="true" outlineLevel="0" collapsed="false">
      <c r="A350" s="8" t="s">
        <v>394</v>
      </c>
      <c r="B350" s="8" t="s">
        <v>51</v>
      </c>
      <c r="C350" s="8" t="s">
        <v>821</v>
      </c>
      <c r="D350" s="26" t="n">
        <v>0</v>
      </c>
    </row>
    <row r="351" customFormat="false" ht="15" hidden="false" customHeight="true" outlineLevel="0" collapsed="false">
      <c r="A351" s="8" t="s">
        <v>394</v>
      </c>
      <c r="B351" s="8" t="s">
        <v>51</v>
      </c>
      <c r="C351" s="8" t="s">
        <v>822</v>
      </c>
      <c r="D351" s="26" t="n">
        <v>0</v>
      </c>
    </row>
    <row r="352" customFormat="false" ht="15" hidden="false" customHeight="true" outlineLevel="0" collapsed="false">
      <c r="A352" s="8" t="s">
        <v>394</v>
      </c>
      <c r="B352" s="8" t="s">
        <v>823</v>
      </c>
      <c r="C352" s="8" t="s">
        <v>824</v>
      </c>
      <c r="D352" s="26" t="n">
        <v>0</v>
      </c>
    </row>
    <row r="353" customFormat="false" ht="15" hidden="false" customHeight="true" outlineLevel="0" collapsed="false">
      <c r="A353" s="8" t="s">
        <v>394</v>
      </c>
      <c r="B353" s="8" t="s">
        <v>823</v>
      </c>
      <c r="C353" s="8" t="s">
        <v>825</v>
      </c>
      <c r="D353" s="26" t="n">
        <v>0</v>
      </c>
    </row>
    <row r="354" customFormat="false" ht="15" hidden="false" customHeight="true" outlineLevel="0" collapsed="false">
      <c r="A354" s="8" t="s">
        <v>394</v>
      </c>
      <c r="B354" s="8" t="s">
        <v>823</v>
      </c>
      <c r="C354" s="8" t="s">
        <v>826</v>
      </c>
      <c r="D354" s="26" t="n">
        <v>0</v>
      </c>
    </row>
    <row r="355" customFormat="false" ht="15" hidden="false" customHeight="true" outlineLevel="0" collapsed="false">
      <c r="A355" s="8" t="s">
        <v>394</v>
      </c>
      <c r="B355" s="8" t="s">
        <v>827</v>
      </c>
      <c r="C355" s="8" t="s">
        <v>828</v>
      </c>
      <c r="D355" s="26" t="n">
        <v>0</v>
      </c>
    </row>
    <row r="356" customFormat="false" ht="15" hidden="false" customHeight="true" outlineLevel="0" collapsed="false">
      <c r="A356" s="8" t="s">
        <v>394</v>
      </c>
      <c r="B356" s="8" t="s">
        <v>116</v>
      </c>
      <c r="C356" s="8" t="s">
        <v>692</v>
      </c>
      <c r="D356" s="26" t="n">
        <v>0</v>
      </c>
    </row>
    <row r="357" customFormat="false" ht="15" hidden="false" customHeight="true" outlineLevel="0" collapsed="false">
      <c r="A357" s="8" t="s">
        <v>394</v>
      </c>
      <c r="B357" s="8" t="s">
        <v>829</v>
      </c>
      <c r="C357" s="8" t="s">
        <v>830</v>
      </c>
      <c r="D357" s="26" t="n">
        <v>0</v>
      </c>
    </row>
    <row r="358" customFormat="false" ht="15" hidden="false" customHeight="true" outlineLevel="0" collapsed="false">
      <c r="A358" s="8" t="s">
        <v>394</v>
      </c>
      <c r="B358" s="8" t="s">
        <v>831</v>
      </c>
      <c r="C358" s="8" t="s">
        <v>832</v>
      </c>
      <c r="D358" s="26" t="n">
        <v>0</v>
      </c>
    </row>
    <row r="359" customFormat="false" ht="15" hidden="false" customHeight="true" outlineLevel="0" collapsed="false">
      <c r="A359" s="8" t="s">
        <v>394</v>
      </c>
      <c r="B359" s="8" t="s">
        <v>831</v>
      </c>
      <c r="C359" s="8" t="s">
        <v>833</v>
      </c>
      <c r="D359" s="26" t="n">
        <v>0</v>
      </c>
    </row>
    <row r="360" customFormat="false" ht="15" hidden="false" customHeight="true" outlineLevel="0" collapsed="false">
      <c r="A360" s="8" t="s">
        <v>394</v>
      </c>
      <c r="B360" s="8" t="s">
        <v>831</v>
      </c>
      <c r="C360" s="8" t="s">
        <v>834</v>
      </c>
      <c r="D360" s="26" t="n">
        <v>0</v>
      </c>
    </row>
    <row r="361" customFormat="false" ht="15" hidden="false" customHeight="true" outlineLevel="0" collapsed="false">
      <c r="A361" s="8" t="s">
        <v>394</v>
      </c>
      <c r="B361" s="8" t="s">
        <v>831</v>
      </c>
      <c r="C361" s="8" t="s">
        <v>835</v>
      </c>
      <c r="D361" s="26" t="n">
        <v>0</v>
      </c>
    </row>
    <row r="362" customFormat="false" ht="15" hidden="false" customHeight="true" outlineLevel="0" collapsed="false">
      <c r="A362" s="8" t="s">
        <v>394</v>
      </c>
      <c r="B362" s="8" t="s">
        <v>831</v>
      </c>
      <c r="C362" s="8" t="s">
        <v>836</v>
      </c>
      <c r="D362" s="26" t="n">
        <v>0</v>
      </c>
    </row>
    <row r="363" customFormat="false" ht="15" hidden="false" customHeight="true" outlineLevel="0" collapsed="false">
      <c r="A363" s="8" t="s">
        <v>394</v>
      </c>
      <c r="B363" s="8" t="s">
        <v>837</v>
      </c>
      <c r="C363" s="8" t="s">
        <v>838</v>
      </c>
      <c r="D363" s="26" t="n">
        <v>0</v>
      </c>
    </row>
    <row r="364" customFormat="false" ht="15" hidden="false" customHeight="true" outlineLevel="0" collapsed="false">
      <c r="A364" s="8" t="s">
        <v>394</v>
      </c>
      <c r="B364" s="8" t="s">
        <v>839</v>
      </c>
      <c r="C364" s="8" t="s">
        <v>840</v>
      </c>
      <c r="D364" s="26" t="n">
        <v>0</v>
      </c>
    </row>
    <row r="365" customFormat="false" ht="15" hidden="false" customHeight="true" outlineLevel="0" collapsed="false">
      <c r="A365" s="8" t="s">
        <v>394</v>
      </c>
      <c r="B365" s="8" t="s">
        <v>841</v>
      </c>
      <c r="C365" s="8" t="s">
        <v>842</v>
      </c>
      <c r="D365" s="26" t="n">
        <v>0</v>
      </c>
    </row>
    <row r="366" customFormat="false" ht="15" hidden="false" customHeight="true" outlineLevel="0" collapsed="false">
      <c r="A366" s="8" t="s">
        <v>394</v>
      </c>
      <c r="B366" s="8" t="s">
        <v>843</v>
      </c>
      <c r="C366" s="8" t="s">
        <v>844</v>
      </c>
      <c r="D366" s="26" t="n">
        <v>0</v>
      </c>
    </row>
    <row r="367" customFormat="false" ht="15" hidden="false" customHeight="true" outlineLevel="0" collapsed="false">
      <c r="A367" s="8" t="s">
        <v>394</v>
      </c>
      <c r="B367" s="8" t="s">
        <v>845</v>
      </c>
      <c r="C367" s="8" t="s">
        <v>846</v>
      </c>
      <c r="D367" s="26" t="n">
        <v>0</v>
      </c>
    </row>
    <row r="368" customFormat="false" ht="15" hidden="false" customHeight="true" outlineLevel="0" collapsed="false">
      <c r="A368" s="8" t="s">
        <v>394</v>
      </c>
      <c r="B368" s="8" t="s">
        <v>74</v>
      </c>
      <c r="C368" s="8" t="s">
        <v>847</v>
      </c>
      <c r="D368" s="26" t="n">
        <v>0</v>
      </c>
    </row>
    <row r="369" customFormat="false" ht="15" hidden="false" customHeight="true" outlineLevel="0" collapsed="false">
      <c r="A369" s="8" t="s">
        <v>394</v>
      </c>
      <c r="B369" s="8" t="s">
        <v>848</v>
      </c>
      <c r="C369" s="8" t="s">
        <v>849</v>
      </c>
      <c r="D369" s="26" t="n">
        <v>0</v>
      </c>
    </row>
    <row r="370" customFormat="false" ht="15" hidden="false" customHeight="true" outlineLevel="0" collapsed="false">
      <c r="A370" s="8" t="s">
        <v>394</v>
      </c>
      <c r="B370" s="8" t="s">
        <v>123</v>
      </c>
      <c r="C370" s="8" t="s">
        <v>850</v>
      </c>
      <c r="D370" s="26" t="n">
        <v>0</v>
      </c>
    </row>
    <row r="371" customFormat="false" ht="15" hidden="false" customHeight="true" outlineLevel="0" collapsed="false">
      <c r="A371" s="8" t="s">
        <v>394</v>
      </c>
      <c r="B371" s="8" t="s">
        <v>851</v>
      </c>
      <c r="C371" s="8" t="s">
        <v>852</v>
      </c>
      <c r="D371" s="26" t="n">
        <v>0</v>
      </c>
    </row>
    <row r="372" customFormat="false" ht="15" hidden="false" customHeight="true" outlineLevel="0" collapsed="false">
      <c r="A372" s="8" t="s">
        <v>394</v>
      </c>
      <c r="B372" s="8" t="s">
        <v>91</v>
      </c>
      <c r="C372" s="8" t="s">
        <v>853</v>
      </c>
      <c r="D372" s="26" t="n">
        <v>0</v>
      </c>
    </row>
    <row r="373" customFormat="false" ht="15" hidden="false" customHeight="true" outlineLevel="0" collapsed="false">
      <c r="A373" s="8" t="s">
        <v>394</v>
      </c>
      <c r="B373" s="8" t="s">
        <v>136</v>
      </c>
      <c r="C373" s="8" t="s">
        <v>854</v>
      </c>
      <c r="D373" s="26" t="n">
        <v>0</v>
      </c>
    </row>
    <row r="374" customFormat="false" ht="15" hidden="false" customHeight="true" outlineLevel="0" collapsed="false">
      <c r="A374" s="8" t="s">
        <v>394</v>
      </c>
      <c r="B374" s="8" t="s">
        <v>855</v>
      </c>
      <c r="C374" s="8" t="s">
        <v>856</v>
      </c>
      <c r="D374" s="26" t="n">
        <v>0</v>
      </c>
    </row>
    <row r="375" customFormat="false" ht="15" hidden="false" customHeight="true" outlineLevel="0" collapsed="false">
      <c r="A375" s="8" t="s">
        <v>394</v>
      </c>
      <c r="B375" s="8" t="s">
        <v>855</v>
      </c>
      <c r="C375" s="8" t="s">
        <v>857</v>
      </c>
      <c r="D375" s="26" t="n">
        <v>0</v>
      </c>
    </row>
    <row r="376" customFormat="false" ht="15" hidden="false" customHeight="true" outlineLevel="0" collapsed="false">
      <c r="A376" s="8" t="s">
        <v>394</v>
      </c>
      <c r="B376" s="8" t="s">
        <v>855</v>
      </c>
      <c r="C376" s="8" t="s">
        <v>858</v>
      </c>
      <c r="D376" s="26" t="n">
        <v>0</v>
      </c>
    </row>
    <row r="377" customFormat="false" ht="15" hidden="false" customHeight="true" outlineLevel="0" collapsed="false">
      <c r="A377" s="8" t="s">
        <v>394</v>
      </c>
      <c r="B377" s="8" t="s">
        <v>855</v>
      </c>
      <c r="C377" s="8" t="s">
        <v>859</v>
      </c>
      <c r="D377" s="26" t="n">
        <v>0</v>
      </c>
    </row>
    <row r="378" customFormat="false" ht="15" hidden="false" customHeight="true" outlineLevel="0" collapsed="false">
      <c r="A378" s="8" t="s">
        <v>394</v>
      </c>
      <c r="B378" s="8" t="s">
        <v>855</v>
      </c>
      <c r="C378" s="8" t="s">
        <v>860</v>
      </c>
      <c r="D378" s="26" t="n">
        <v>0</v>
      </c>
    </row>
    <row r="379" customFormat="false" ht="15" hidden="false" customHeight="true" outlineLevel="0" collapsed="false">
      <c r="A379" s="8" t="s">
        <v>394</v>
      </c>
      <c r="B379" s="8" t="s">
        <v>855</v>
      </c>
      <c r="C379" s="8" t="s">
        <v>861</v>
      </c>
      <c r="D379" s="26" t="n">
        <v>0</v>
      </c>
    </row>
    <row r="380" customFormat="false" ht="15" hidden="false" customHeight="true" outlineLevel="0" collapsed="false">
      <c r="A380" s="8" t="s">
        <v>394</v>
      </c>
      <c r="B380" s="8" t="s">
        <v>855</v>
      </c>
      <c r="C380" s="8" t="s">
        <v>862</v>
      </c>
      <c r="D380" s="26" t="n">
        <v>0</v>
      </c>
    </row>
    <row r="381" customFormat="false" ht="15" hidden="false" customHeight="true" outlineLevel="0" collapsed="false">
      <c r="A381" s="8" t="s">
        <v>394</v>
      </c>
      <c r="B381" s="8" t="s">
        <v>855</v>
      </c>
      <c r="C381" s="8" t="s">
        <v>863</v>
      </c>
      <c r="D381" s="26" t="n">
        <v>0</v>
      </c>
    </row>
    <row r="382" customFormat="false" ht="15" hidden="false" customHeight="true" outlineLevel="0" collapsed="false">
      <c r="A382" s="8" t="s">
        <v>394</v>
      </c>
      <c r="B382" s="8" t="s">
        <v>855</v>
      </c>
      <c r="C382" s="8" t="s">
        <v>864</v>
      </c>
      <c r="D382" s="26" t="n">
        <v>0</v>
      </c>
    </row>
    <row r="383" customFormat="false" ht="15" hidden="false" customHeight="true" outlineLevel="0" collapsed="false">
      <c r="A383" s="8" t="s">
        <v>394</v>
      </c>
      <c r="B383" s="8" t="s">
        <v>855</v>
      </c>
      <c r="C383" s="8" t="s">
        <v>865</v>
      </c>
      <c r="D383" s="26" t="n">
        <v>0</v>
      </c>
    </row>
    <row r="384" customFormat="false" ht="15" hidden="false" customHeight="true" outlineLevel="0" collapsed="false">
      <c r="A384" s="8" t="s">
        <v>394</v>
      </c>
      <c r="B384" s="8" t="s">
        <v>855</v>
      </c>
      <c r="C384" s="8" t="s">
        <v>866</v>
      </c>
      <c r="D384" s="26" t="n">
        <v>0</v>
      </c>
    </row>
    <row r="385" customFormat="false" ht="15" hidden="false" customHeight="true" outlineLevel="0" collapsed="false">
      <c r="A385" s="8" t="s">
        <v>394</v>
      </c>
      <c r="B385" s="8" t="s">
        <v>124</v>
      </c>
      <c r="C385" s="8" t="s">
        <v>867</v>
      </c>
      <c r="D385" s="26" t="n">
        <v>0</v>
      </c>
    </row>
    <row r="386" customFormat="false" ht="15" hidden="false" customHeight="true" outlineLevel="0" collapsed="false">
      <c r="A386" s="8" t="s">
        <v>394</v>
      </c>
      <c r="B386" s="8" t="s">
        <v>109</v>
      </c>
      <c r="C386" s="8" t="s">
        <v>868</v>
      </c>
      <c r="D386" s="26" t="n">
        <v>0</v>
      </c>
    </row>
    <row r="387" customFormat="false" ht="15" hidden="false" customHeight="true" outlineLevel="0" collapsed="false">
      <c r="A387" s="8" t="s">
        <v>394</v>
      </c>
      <c r="B387" s="8" t="s">
        <v>149</v>
      </c>
      <c r="C387" s="8" t="s">
        <v>869</v>
      </c>
      <c r="D387" s="26" t="n">
        <v>0</v>
      </c>
    </row>
    <row r="388" customFormat="false" ht="15" hidden="false" customHeight="true" outlineLevel="0" collapsed="false">
      <c r="A388" s="8" t="s">
        <v>394</v>
      </c>
      <c r="B388" s="8" t="s">
        <v>870</v>
      </c>
      <c r="C388" s="8" t="s">
        <v>871</v>
      </c>
      <c r="D388" s="26" t="n">
        <v>0</v>
      </c>
    </row>
    <row r="389" customFormat="false" ht="15" hidden="false" customHeight="true" outlineLevel="0" collapsed="false">
      <c r="A389" s="8" t="s">
        <v>394</v>
      </c>
      <c r="B389" s="8" t="s">
        <v>870</v>
      </c>
      <c r="C389" s="8" t="s">
        <v>872</v>
      </c>
      <c r="D389" s="26" t="n">
        <v>0</v>
      </c>
    </row>
    <row r="390" customFormat="false" ht="15" hidden="false" customHeight="true" outlineLevel="0" collapsed="false">
      <c r="A390" s="8" t="s">
        <v>394</v>
      </c>
      <c r="B390" s="8" t="s">
        <v>873</v>
      </c>
      <c r="C390" s="8" t="s">
        <v>874</v>
      </c>
      <c r="D390" s="26" t="n">
        <v>0</v>
      </c>
    </row>
    <row r="391" customFormat="false" ht="15" hidden="false" customHeight="true" outlineLevel="0" collapsed="false">
      <c r="A391" s="8" t="s">
        <v>394</v>
      </c>
      <c r="B391" s="8" t="s">
        <v>147</v>
      </c>
      <c r="C391" s="8" t="s">
        <v>875</v>
      </c>
      <c r="D391" s="26" t="n">
        <v>0</v>
      </c>
    </row>
    <row r="392" customFormat="false" ht="15" hidden="false" customHeight="true" outlineLevel="0" collapsed="false">
      <c r="A392" s="8" t="s">
        <v>394</v>
      </c>
      <c r="B392" s="8" t="s">
        <v>876</v>
      </c>
      <c r="C392" s="8" t="s">
        <v>877</v>
      </c>
      <c r="D392" s="26" t="n">
        <v>0</v>
      </c>
    </row>
    <row r="393" customFormat="false" ht="15" hidden="false" customHeight="true" outlineLevel="0" collapsed="false">
      <c r="A393" s="8" t="s">
        <v>394</v>
      </c>
      <c r="B393" s="8" t="s">
        <v>143</v>
      </c>
      <c r="C393" s="8" t="s">
        <v>878</v>
      </c>
      <c r="D393" s="26" t="n">
        <v>0</v>
      </c>
    </row>
    <row r="394" customFormat="false" ht="15" hidden="false" customHeight="true" outlineLevel="0" collapsed="false">
      <c r="A394" s="8" t="s">
        <v>394</v>
      </c>
      <c r="B394" s="8" t="s">
        <v>144</v>
      </c>
      <c r="C394" s="8" t="s">
        <v>879</v>
      </c>
      <c r="D394" s="26" t="n">
        <v>0</v>
      </c>
    </row>
    <row r="395" customFormat="false" ht="15" hidden="false" customHeight="true" outlineLevel="0" collapsed="false">
      <c r="A395" s="8" t="s">
        <v>394</v>
      </c>
      <c r="B395" s="8" t="s">
        <v>71</v>
      </c>
      <c r="C395" s="8" t="s">
        <v>880</v>
      </c>
      <c r="D395" s="26" t="n">
        <v>0</v>
      </c>
    </row>
    <row r="396" customFormat="false" ht="15" hidden="false" customHeight="true" outlineLevel="0" collapsed="false">
      <c r="A396" s="8" t="s">
        <v>394</v>
      </c>
      <c r="B396" s="8" t="s">
        <v>89</v>
      </c>
      <c r="C396" s="8" t="s">
        <v>881</v>
      </c>
      <c r="D396" s="26" t="n">
        <v>0</v>
      </c>
    </row>
    <row r="397" customFormat="false" ht="15" hidden="false" customHeight="true" outlineLevel="0" collapsed="false">
      <c r="A397" s="8" t="s">
        <v>394</v>
      </c>
      <c r="B397" s="8" t="s">
        <v>112</v>
      </c>
      <c r="C397" s="8" t="s">
        <v>882</v>
      </c>
      <c r="D397" s="26" t="n">
        <v>0</v>
      </c>
    </row>
    <row r="398" customFormat="false" ht="15" hidden="false" customHeight="true" outlineLevel="0" collapsed="false">
      <c r="A398" s="8" t="s">
        <v>394</v>
      </c>
      <c r="B398" s="8" t="s">
        <v>883</v>
      </c>
      <c r="C398" s="8" t="s">
        <v>884</v>
      </c>
      <c r="D398" s="26" t="n">
        <v>0</v>
      </c>
    </row>
    <row r="399" customFormat="false" ht="15" hidden="false" customHeight="true" outlineLevel="0" collapsed="false">
      <c r="A399" s="8" t="s">
        <v>394</v>
      </c>
      <c r="B399" s="8" t="s">
        <v>85</v>
      </c>
      <c r="C399" s="8" t="s">
        <v>885</v>
      </c>
      <c r="D399" s="26" t="n">
        <v>0</v>
      </c>
    </row>
    <row r="400" customFormat="false" ht="15" hidden="false" customHeight="true" outlineLevel="0" collapsed="false">
      <c r="A400" s="8" t="s">
        <v>394</v>
      </c>
      <c r="B400" s="8" t="s">
        <v>85</v>
      </c>
      <c r="C400" s="8" t="s">
        <v>886</v>
      </c>
      <c r="D400" s="26" t="n">
        <v>0</v>
      </c>
    </row>
    <row r="401" customFormat="false" ht="15" hidden="false" customHeight="true" outlineLevel="0" collapsed="false">
      <c r="A401" s="8" t="s">
        <v>394</v>
      </c>
      <c r="B401" s="8" t="s">
        <v>85</v>
      </c>
      <c r="C401" s="8" t="s">
        <v>887</v>
      </c>
      <c r="D401" s="26" t="n">
        <v>0</v>
      </c>
    </row>
    <row r="402" customFormat="false" ht="15" hidden="false" customHeight="true" outlineLevel="0" collapsed="false">
      <c r="A402" s="8" t="s">
        <v>394</v>
      </c>
      <c r="B402" s="8" t="s">
        <v>85</v>
      </c>
      <c r="C402" s="8" t="s">
        <v>888</v>
      </c>
      <c r="D402" s="26" t="n">
        <v>0</v>
      </c>
    </row>
    <row r="403" customFormat="false" ht="15" hidden="false" customHeight="true" outlineLevel="0" collapsed="false">
      <c r="A403" s="8" t="s">
        <v>394</v>
      </c>
      <c r="B403" s="8" t="s">
        <v>85</v>
      </c>
      <c r="C403" s="8" t="s">
        <v>889</v>
      </c>
      <c r="D403" s="26" t="n">
        <v>0</v>
      </c>
    </row>
    <row r="404" customFormat="false" ht="15" hidden="false" customHeight="true" outlineLevel="0" collapsed="false">
      <c r="A404" s="8" t="s">
        <v>394</v>
      </c>
      <c r="B404" s="8" t="s">
        <v>48</v>
      </c>
      <c r="C404" s="8" t="s">
        <v>890</v>
      </c>
      <c r="D404" s="26" t="n">
        <v>0</v>
      </c>
    </row>
    <row r="405" customFormat="false" ht="15" hidden="false" customHeight="true" outlineLevel="0" collapsed="false">
      <c r="A405" s="8" t="s">
        <v>394</v>
      </c>
      <c r="B405" s="8" t="s">
        <v>49</v>
      </c>
      <c r="C405" s="8" t="s">
        <v>799</v>
      </c>
      <c r="D405" s="26" t="n">
        <v>0</v>
      </c>
    </row>
    <row r="406" customFormat="false" ht="15" hidden="false" customHeight="true" outlineLevel="0" collapsed="false">
      <c r="A406" s="8" t="s">
        <v>394</v>
      </c>
      <c r="B406" s="8" t="s">
        <v>891</v>
      </c>
      <c r="C406" s="8" t="s">
        <v>892</v>
      </c>
      <c r="D406" s="26" t="n">
        <v>0</v>
      </c>
    </row>
    <row r="407" customFormat="false" ht="15" hidden="false" customHeight="true" outlineLevel="0" collapsed="false">
      <c r="A407" s="8" t="s">
        <v>394</v>
      </c>
      <c r="B407" s="8" t="s">
        <v>891</v>
      </c>
      <c r="C407" s="8" t="s">
        <v>893</v>
      </c>
      <c r="D407" s="26" t="n">
        <v>0</v>
      </c>
    </row>
    <row r="408" customFormat="false" ht="15" hidden="false" customHeight="true" outlineLevel="0" collapsed="false">
      <c r="A408" s="8" t="s">
        <v>394</v>
      </c>
      <c r="B408" s="8" t="s">
        <v>891</v>
      </c>
      <c r="C408" s="8" t="s">
        <v>894</v>
      </c>
      <c r="D408" s="26" t="n">
        <v>0</v>
      </c>
    </row>
    <row r="409" customFormat="false" ht="15" hidden="false" customHeight="true" outlineLevel="0" collapsed="false">
      <c r="A409" s="8" t="s">
        <v>394</v>
      </c>
      <c r="B409" s="8" t="s">
        <v>895</v>
      </c>
      <c r="C409" s="8" t="s">
        <v>896</v>
      </c>
      <c r="D409" s="26" t="n">
        <v>0</v>
      </c>
    </row>
    <row r="410" customFormat="false" ht="15" hidden="false" customHeight="true" outlineLevel="0" collapsed="false">
      <c r="A410" s="8" t="s">
        <v>394</v>
      </c>
      <c r="B410" s="8" t="s">
        <v>138</v>
      </c>
      <c r="C410" s="8" t="s">
        <v>897</v>
      </c>
      <c r="D410" s="26" t="n">
        <v>0</v>
      </c>
    </row>
    <row r="411" customFormat="false" ht="15" hidden="false" customHeight="true" outlineLevel="0" collapsed="false">
      <c r="A411" s="8" t="s">
        <v>394</v>
      </c>
      <c r="B411" s="8" t="s">
        <v>87</v>
      </c>
      <c r="C411" s="8" t="s">
        <v>897</v>
      </c>
      <c r="D411" s="26" t="n">
        <v>0</v>
      </c>
    </row>
    <row r="412" customFormat="false" ht="15" hidden="false" customHeight="true" outlineLevel="0" collapsed="false">
      <c r="A412" s="8" t="s">
        <v>394</v>
      </c>
      <c r="B412" s="8" t="s">
        <v>61</v>
      </c>
      <c r="C412" s="8" t="s">
        <v>897</v>
      </c>
      <c r="D412" s="26" t="n">
        <v>0</v>
      </c>
    </row>
    <row r="413" customFormat="false" ht="15" hidden="false" customHeight="true" outlineLevel="0" collapsed="false">
      <c r="A413" s="8" t="s">
        <v>394</v>
      </c>
      <c r="B413" s="8" t="s">
        <v>70</v>
      </c>
      <c r="C413" s="8" t="s">
        <v>898</v>
      </c>
      <c r="D413" s="26" t="n">
        <v>0</v>
      </c>
    </row>
    <row r="414" customFormat="false" ht="15" hidden="false" customHeight="true" outlineLevel="0" collapsed="false">
      <c r="A414" s="8" t="s">
        <v>394</v>
      </c>
      <c r="B414" s="8" t="s">
        <v>79</v>
      </c>
      <c r="C414" s="8" t="s">
        <v>898</v>
      </c>
      <c r="D414" s="26" t="n">
        <v>0</v>
      </c>
    </row>
    <row r="415" customFormat="false" ht="15" hidden="false" customHeight="true" outlineLevel="0" collapsed="false">
      <c r="A415" s="8" t="s">
        <v>394</v>
      </c>
      <c r="B415" s="8" t="s">
        <v>899</v>
      </c>
      <c r="C415" s="8" t="s">
        <v>900</v>
      </c>
      <c r="D415" s="26" t="n">
        <v>0</v>
      </c>
    </row>
    <row r="416" customFormat="false" ht="15" hidden="false" customHeight="true" outlineLevel="0" collapsed="false">
      <c r="A416" s="8" t="s">
        <v>394</v>
      </c>
      <c r="B416" s="8" t="s">
        <v>901</v>
      </c>
      <c r="C416" s="8" t="s">
        <v>902</v>
      </c>
      <c r="D416" s="26" t="n">
        <v>0</v>
      </c>
    </row>
    <row r="417" customFormat="false" ht="15" hidden="false" customHeight="true" outlineLevel="0" collapsed="false">
      <c r="A417" s="8" t="s">
        <v>394</v>
      </c>
      <c r="B417" s="8" t="s">
        <v>903</v>
      </c>
      <c r="C417" s="8" t="s">
        <v>902</v>
      </c>
      <c r="D417" s="26" t="n">
        <v>0</v>
      </c>
    </row>
    <row r="418" customFormat="false" ht="15" hidden="false" customHeight="true" outlineLevel="0" collapsed="false">
      <c r="A418" s="8" t="s">
        <v>394</v>
      </c>
      <c r="B418" s="8" t="s">
        <v>904</v>
      </c>
      <c r="C418" s="8" t="s">
        <v>902</v>
      </c>
      <c r="D418" s="26" t="n">
        <v>0</v>
      </c>
    </row>
    <row r="419" customFormat="false" ht="15" hidden="false" customHeight="true" outlineLevel="0" collapsed="false">
      <c r="A419" s="8" t="s">
        <v>394</v>
      </c>
      <c r="B419" s="8" t="s">
        <v>905</v>
      </c>
      <c r="C419" s="8" t="s">
        <v>906</v>
      </c>
      <c r="D419" s="26" t="n">
        <v>0</v>
      </c>
    </row>
    <row r="420" customFormat="false" ht="15" hidden="false" customHeight="true" outlineLevel="0" collapsed="false">
      <c r="A420" s="8" t="s">
        <v>394</v>
      </c>
      <c r="B420" s="8" t="s">
        <v>907</v>
      </c>
      <c r="C420" s="8" t="s">
        <v>908</v>
      </c>
      <c r="D420" s="26" t="n">
        <v>0</v>
      </c>
    </row>
    <row r="421" customFormat="false" ht="15" hidden="false" customHeight="true" outlineLevel="0" collapsed="false">
      <c r="A421" s="8" t="s">
        <v>394</v>
      </c>
      <c r="B421" s="8" t="s">
        <v>909</v>
      </c>
      <c r="C421" s="8" t="s">
        <v>908</v>
      </c>
      <c r="D421" s="26" t="n">
        <v>0</v>
      </c>
    </row>
    <row r="422" customFormat="false" ht="15" hidden="false" customHeight="true" outlineLevel="0" collapsed="false">
      <c r="A422" s="8" t="s">
        <v>394</v>
      </c>
      <c r="B422" s="8" t="s">
        <v>910</v>
      </c>
      <c r="C422" s="8" t="s">
        <v>908</v>
      </c>
      <c r="D422" s="26" t="n">
        <v>0</v>
      </c>
    </row>
    <row r="423" customFormat="false" ht="15" hidden="false" customHeight="true" outlineLevel="0" collapsed="false">
      <c r="A423" s="8" t="s">
        <v>394</v>
      </c>
      <c r="B423" s="8" t="s">
        <v>911</v>
      </c>
      <c r="C423" s="8" t="s">
        <v>912</v>
      </c>
      <c r="D423" s="26" t="n">
        <v>0</v>
      </c>
    </row>
    <row r="424" customFormat="false" ht="15" hidden="false" customHeight="true" outlineLevel="0" collapsed="false">
      <c r="A424" s="8" t="s">
        <v>394</v>
      </c>
      <c r="B424" s="8" t="s">
        <v>913</v>
      </c>
      <c r="C424" s="8" t="s">
        <v>908</v>
      </c>
      <c r="D424" s="26" t="n">
        <v>0</v>
      </c>
    </row>
    <row r="425" customFormat="false" ht="15" hidden="false" customHeight="true" outlineLevel="0" collapsed="false">
      <c r="A425" s="8" t="s">
        <v>394</v>
      </c>
      <c r="B425" s="8" t="s">
        <v>67</v>
      </c>
      <c r="C425" s="8" t="s">
        <v>914</v>
      </c>
      <c r="D425" s="26" t="n">
        <v>0</v>
      </c>
    </row>
    <row r="426" customFormat="false" ht="15" hidden="false" customHeight="true" outlineLevel="0" collapsed="false">
      <c r="A426" s="8" t="s">
        <v>394</v>
      </c>
      <c r="B426" s="8" t="s">
        <v>67</v>
      </c>
      <c r="C426" s="8" t="s">
        <v>915</v>
      </c>
      <c r="D426" s="26" t="n">
        <v>0</v>
      </c>
    </row>
    <row r="427" customFormat="false" ht="15" hidden="false" customHeight="true" outlineLevel="0" collapsed="false">
      <c r="A427" s="8" t="s">
        <v>394</v>
      </c>
      <c r="B427" s="8" t="s">
        <v>67</v>
      </c>
      <c r="C427" s="8" t="s">
        <v>916</v>
      </c>
      <c r="D427" s="26" t="n">
        <v>0</v>
      </c>
    </row>
    <row r="428" customFormat="false" ht="15" hidden="false" customHeight="true" outlineLevel="0" collapsed="false">
      <c r="A428" s="8" t="s">
        <v>394</v>
      </c>
      <c r="B428" s="8" t="s">
        <v>917</v>
      </c>
      <c r="C428" s="8" t="s">
        <v>918</v>
      </c>
      <c r="D428" s="26" t="n">
        <v>0</v>
      </c>
    </row>
    <row r="429" customFormat="false" ht="15" hidden="false" customHeight="true" outlineLevel="0" collapsed="false">
      <c r="A429" s="8" t="s">
        <v>394</v>
      </c>
      <c r="B429" s="8" t="s">
        <v>917</v>
      </c>
      <c r="C429" s="8" t="s">
        <v>919</v>
      </c>
      <c r="D429" s="26" t="n">
        <v>0</v>
      </c>
    </row>
    <row r="430" customFormat="false" ht="15" hidden="false" customHeight="true" outlineLevel="0" collapsed="false">
      <c r="A430" s="8" t="s">
        <v>394</v>
      </c>
      <c r="B430" s="8" t="s">
        <v>917</v>
      </c>
      <c r="C430" s="8" t="s">
        <v>920</v>
      </c>
      <c r="D430" s="26" t="n">
        <v>0</v>
      </c>
    </row>
    <row r="431" customFormat="false" ht="15" hidden="false" customHeight="true" outlineLevel="0" collapsed="false">
      <c r="A431" s="8" t="s">
        <v>394</v>
      </c>
      <c r="B431" s="8" t="s">
        <v>917</v>
      </c>
      <c r="C431" s="8" t="s">
        <v>921</v>
      </c>
      <c r="D431" s="26" t="n">
        <v>0</v>
      </c>
    </row>
    <row r="432" customFormat="false" ht="15" hidden="false" customHeight="true" outlineLevel="0" collapsed="false">
      <c r="A432" s="8" t="s">
        <v>394</v>
      </c>
      <c r="B432" s="8" t="s">
        <v>531</v>
      </c>
      <c r="C432" s="8" t="s">
        <v>922</v>
      </c>
      <c r="D432" s="26" t="n">
        <v>0</v>
      </c>
    </row>
    <row r="433" customFormat="false" ht="15" hidden="false" customHeight="true" outlineLevel="0" collapsed="false">
      <c r="A433" s="8" t="s">
        <v>394</v>
      </c>
      <c r="B433" s="8" t="s">
        <v>923</v>
      </c>
      <c r="C433" s="8" t="s">
        <v>924</v>
      </c>
      <c r="D433" s="26" t="n">
        <v>0</v>
      </c>
    </row>
    <row r="434" customFormat="false" ht="15" hidden="false" customHeight="true" outlineLevel="0" collapsed="false">
      <c r="A434" s="8" t="s">
        <v>394</v>
      </c>
      <c r="B434" s="8" t="s">
        <v>925</v>
      </c>
      <c r="C434" s="8" t="s">
        <v>924</v>
      </c>
      <c r="D434" s="26" t="n">
        <v>0</v>
      </c>
    </row>
    <row r="435" customFormat="false" ht="15" hidden="false" customHeight="true" outlineLevel="0" collapsed="false">
      <c r="A435" s="8" t="s">
        <v>394</v>
      </c>
      <c r="B435" s="8" t="s">
        <v>926</v>
      </c>
      <c r="C435" s="8" t="s">
        <v>924</v>
      </c>
      <c r="D435" s="26" t="n">
        <v>0</v>
      </c>
    </row>
    <row r="436" customFormat="false" ht="15" hidden="false" customHeight="true" outlineLevel="0" collapsed="false">
      <c r="A436" s="8" t="s">
        <v>394</v>
      </c>
      <c r="B436" s="8" t="s">
        <v>927</v>
      </c>
      <c r="C436" s="8" t="s">
        <v>924</v>
      </c>
      <c r="D436" s="26" t="n">
        <v>0</v>
      </c>
    </row>
    <row r="437" customFormat="false" ht="15" hidden="false" customHeight="true" outlineLevel="0" collapsed="false">
      <c r="A437" s="8" t="s">
        <v>394</v>
      </c>
      <c r="B437" s="8" t="s">
        <v>120</v>
      </c>
      <c r="C437" s="8" t="s">
        <v>928</v>
      </c>
      <c r="D437" s="26" t="n">
        <v>0</v>
      </c>
    </row>
    <row r="438" customFormat="false" ht="15" hidden="false" customHeight="true" outlineLevel="0" collapsed="false">
      <c r="A438" s="8" t="s">
        <v>394</v>
      </c>
      <c r="B438" s="8" t="s">
        <v>113</v>
      </c>
      <c r="C438" s="8" t="s">
        <v>928</v>
      </c>
      <c r="D438" s="26" t="n">
        <v>0</v>
      </c>
    </row>
    <row r="439" customFormat="false" ht="15" hidden="false" customHeight="true" outlineLevel="0" collapsed="false">
      <c r="A439" s="8" t="s">
        <v>394</v>
      </c>
      <c r="B439" s="8" t="s">
        <v>99</v>
      </c>
      <c r="C439" s="8" t="s">
        <v>928</v>
      </c>
      <c r="D439" s="26" t="n">
        <v>0</v>
      </c>
    </row>
    <row r="440" customFormat="false" ht="15" hidden="false" customHeight="true" outlineLevel="0" collapsed="false">
      <c r="A440" s="8" t="s">
        <v>394</v>
      </c>
      <c r="B440" s="8" t="s">
        <v>95</v>
      </c>
      <c r="C440" s="8" t="s">
        <v>928</v>
      </c>
      <c r="D440" s="26" t="n">
        <v>0</v>
      </c>
    </row>
    <row r="441" customFormat="false" ht="15" hidden="false" customHeight="true" outlineLevel="0" collapsed="false">
      <c r="A441" s="8" t="s">
        <v>394</v>
      </c>
      <c r="B441" s="8" t="s">
        <v>51</v>
      </c>
      <c r="C441" s="8" t="s">
        <v>929</v>
      </c>
      <c r="D441" s="26" t="n">
        <v>0</v>
      </c>
    </row>
    <row r="442" customFormat="false" ht="15" hidden="false" customHeight="true" outlineLevel="0" collapsed="false">
      <c r="A442" s="8" t="s">
        <v>394</v>
      </c>
      <c r="B442" s="8" t="s">
        <v>60</v>
      </c>
      <c r="C442" s="8" t="s">
        <v>930</v>
      </c>
      <c r="D442" s="26" t="n">
        <v>0</v>
      </c>
    </row>
    <row r="443" customFormat="false" ht="15" hidden="false" customHeight="true" outlineLevel="0" collapsed="false">
      <c r="A443" s="8" t="s">
        <v>394</v>
      </c>
      <c r="B443" s="8" t="s">
        <v>931</v>
      </c>
      <c r="C443" s="8" t="s">
        <v>932</v>
      </c>
      <c r="D443" s="26" t="n">
        <v>0</v>
      </c>
    </row>
    <row r="444" customFormat="false" ht="15" hidden="false" customHeight="true" outlineLevel="0" collapsed="false">
      <c r="A444" s="8" t="s">
        <v>394</v>
      </c>
      <c r="B444" s="8" t="s">
        <v>931</v>
      </c>
      <c r="C444" s="8" t="s">
        <v>933</v>
      </c>
      <c r="D444" s="26" t="n">
        <v>0</v>
      </c>
    </row>
    <row r="445" customFormat="false" ht="15" hidden="false" customHeight="true" outlineLevel="0" collapsed="false">
      <c r="A445" s="8" t="s">
        <v>394</v>
      </c>
      <c r="B445" s="8" t="s">
        <v>931</v>
      </c>
      <c r="C445" s="8" t="s">
        <v>934</v>
      </c>
      <c r="D445" s="26" t="n">
        <v>0</v>
      </c>
    </row>
    <row r="446" customFormat="false" ht="15" hidden="false" customHeight="true" outlineLevel="0" collapsed="false">
      <c r="A446" s="8" t="s">
        <v>394</v>
      </c>
      <c r="B446" s="8" t="s">
        <v>931</v>
      </c>
      <c r="C446" s="8" t="s">
        <v>935</v>
      </c>
      <c r="D446" s="26" t="n">
        <v>0</v>
      </c>
    </row>
    <row r="447" customFormat="false" ht="15" hidden="false" customHeight="true" outlineLevel="0" collapsed="false">
      <c r="A447" s="8" t="s">
        <v>394</v>
      </c>
      <c r="B447" s="8" t="s">
        <v>931</v>
      </c>
      <c r="C447" s="8" t="s">
        <v>936</v>
      </c>
      <c r="D447" s="26" t="n">
        <v>0</v>
      </c>
    </row>
    <row r="448" customFormat="false" ht="15" hidden="false" customHeight="true" outlineLevel="0" collapsed="false">
      <c r="A448" s="8" t="s">
        <v>394</v>
      </c>
      <c r="B448" s="8" t="s">
        <v>931</v>
      </c>
      <c r="C448" s="8" t="s">
        <v>937</v>
      </c>
      <c r="D448" s="26" t="n">
        <v>0</v>
      </c>
    </row>
    <row r="449" customFormat="false" ht="15" hidden="false" customHeight="true" outlineLevel="0" collapsed="false">
      <c r="A449" s="8" t="s">
        <v>394</v>
      </c>
      <c r="B449" s="8" t="s">
        <v>82</v>
      </c>
      <c r="C449" s="8" t="s">
        <v>938</v>
      </c>
      <c r="D449" s="26" t="n">
        <v>0</v>
      </c>
    </row>
    <row r="450" customFormat="false" ht="15" hidden="false" customHeight="true" outlineLevel="0" collapsed="false">
      <c r="A450" s="8" t="s">
        <v>394</v>
      </c>
      <c r="B450" s="8" t="s">
        <v>115</v>
      </c>
      <c r="C450" s="8" t="s">
        <v>939</v>
      </c>
      <c r="D450" s="26" t="n">
        <v>0</v>
      </c>
    </row>
    <row r="451" customFormat="false" ht="15" hidden="false" customHeight="true" outlineLevel="0" collapsed="false">
      <c r="A451" s="8" t="s">
        <v>394</v>
      </c>
      <c r="B451" s="8" t="s">
        <v>60</v>
      </c>
      <c r="C451" s="8" t="s">
        <v>940</v>
      </c>
      <c r="D451" s="26" t="n">
        <v>0</v>
      </c>
    </row>
    <row r="452" customFormat="false" ht="15" hidden="false" customHeight="true" outlineLevel="0" collapsed="false">
      <c r="A452" s="8" t="s">
        <v>394</v>
      </c>
      <c r="B452" s="8" t="s">
        <v>941</v>
      </c>
      <c r="C452" s="8" t="s">
        <v>942</v>
      </c>
      <c r="D452" s="26" t="n">
        <v>0</v>
      </c>
    </row>
    <row r="453" customFormat="false" ht="15" hidden="false" customHeight="true" outlineLevel="0" collapsed="false">
      <c r="A453" s="8" t="s">
        <v>394</v>
      </c>
      <c r="B453" s="8" t="s">
        <v>941</v>
      </c>
      <c r="C453" s="8" t="s">
        <v>943</v>
      </c>
      <c r="D453" s="26" t="n">
        <v>0</v>
      </c>
    </row>
    <row r="454" customFormat="false" ht="15" hidden="false" customHeight="true" outlineLevel="0" collapsed="false">
      <c r="A454" s="8" t="s">
        <v>394</v>
      </c>
      <c r="B454" s="8" t="s">
        <v>941</v>
      </c>
      <c r="C454" s="8" t="s">
        <v>944</v>
      </c>
      <c r="D454" s="26" t="n">
        <v>0</v>
      </c>
    </row>
    <row r="455" customFormat="false" ht="15" hidden="false" customHeight="true" outlineLevel="0" collapsed="false">
      <c r="A455" s="8" t="s">
        <v>394</v>
      </c>
      <c r="B455" s="8" t="s">
        <v>941</v>
      </c>
      <c r="C455" s="8" t="s">
        <v>945</v>
      </c>
      <c r="D455" s="26" t="n">
        <v>0</v>
      </c>
    </row>
    <row r="456" customFormat="false" ht="15" hidden="false" customHeight="true" outlineLevel="0" collapsed="false">
      <c r="A456" s="8" t="s">
        <v>394</v>
      </c>
      <c r="B456" s="8" t="s">
        <v>941</v>
      </c>
      <c r="C456" s="8" t="s">
        <v>946</v>
      </c>
      <c r="D456" s="26" t="n">
        <v>0</v>
      </c>
    </row>
    <row r="457" customFormat="false" ht="15" hidden="false" customHeight="true" outlineLevel="0" collapsed="false">
      <c r="A457" s="8" t="s">
        <v>394</v>
      </c>
      <c r="B457" s="8" t="s">
        <v>56</v>
      </c>
      <c r="C457" s="8" t="s">
        <v>947</v>
      </c>
      <c r="D457" s="26" t="n">
        <v>0</v>
      </c>
    </row>
    <row r="458" customFormat="false" ht="15" hidden="false" customHeight="true" outlineLevel="0" collapsed="false">
      <c r="A458" s="8" t="s">
        <v>394</v>
      </c>
      <c r="B458" s="8" t="s">
        <v>948</v>
      </c>
      <c r="C458" s="8" t="s">
        <v>949</v>
      </c>
      <c r="D458" s="26" t="n">
        <v>0</v>
      </c>
    </row>
    <row r="459" customFormat="false" ht="15" hidden="false" customHeight="true" outlineLevel="0" collapsed="false">
      <c r="A459" s="8" t="s">
        <v>394</v>
      </c>
      <c r="B459" s="8" t="s">
        <v>950</v>
      </c>
      <c r="C459" s="8" t="s">
        <v>951</v>
      </c>
      <c r="D459" s="26" t="n">
        <v>0</v>
      </c>
    </row>
    <row r="460" customFormat="false" ht="15" hidden="false" customHeight="true" outlineLevel="0" collapsed="false">
      <c r="A460" s="8" t="s">
        <v>394</v>
      </c>
      <c r="B460" s="8" t="s">
        <v>952</v>
      </c>
      <c r="C460" s="8" t="s">
        <v>951</v>
      </c>
      <c r="D460" s="26" t="n">
        <v>0</v>
      </c>
    </row>
    <row r="461" customFormat="false" ht="15" hidden="false" customHeight="true" outlineLevel="0" collapsed="false">
      <c r="A461" s="8" t="s">
        <v>394</v>
      </c>
      <c r="B461" s="8" t="s">
        <v>953</v>
      </c>
      <c r="C461" s="8" t="s">
        <v>951</v>
      </c>
      <c r="D461" s="26" t="n">
        <v>0</v>
      </c>
    </row>
    <row r="462" customFormat="false" ht="15" hidden="false" customHeight="true" outlineLevel="0" collapsed="false">
      <c r="A462" s="8" t="s">
        <v>394</v>
      </c>
      <c r="B462" s="8" t="s">
        <v>954</v>
      </c>
      <c r="C462" s="8" t="s">
        <v>951</v>
      </c>
      <c r="D462" s="26" t="n">
        <v>0</v>
      </c>
    </row>
    <row r="463" customFormat="false" ht="15" hidden="false" customHeight="true" outlineLevel="0" collapsed="false">
      <c r="A463" s="8" t="s">
        <v>394</v>
      </c>
      <c r="B463" s="8" t="s">
        <v>955</v>
      </c>
      <c r="C463" s="8" t="s">
        <v>956</v>
      </c>
      <c r="D463" s="26" t="n">
        <v>0</v>
      </c>
    </row>
    <row r="464" customFormat="false" ht="15" hidden="false" customHeight="true" outlineLevel="0" collapsed="false">
      <c r="A464" s="8" t="s">
        <v>394</v>
      </c>
      <c r="B464" s="8" t="s">
        <v>957</v>
      </c>
      <c r="C464" s="8" t="s">
        <v>958</v>
      </c>
      <c r="D464" s="26" t="n">
        <v>0</v>
      </c>
    </row>
    <row r="465" customFormat="false" ht="15" hidden="false" customHeight="true" outlineLevel="0" collapsed="false">
      <c r="A465" s="8" t="s">
        <v>394</v>
      </c>
      <c r="B465" s="8" t="s">
        <v>959</v>
      </c>
      <c r="C465" s="8" t="s">
        <v>960</v>
      </c>
      <c r="D465" s="26" t="n">
        <v>0</v>
      </c>
    </row>
    <row r="466" customFormat="false" ht="15" hidden="false" customHeight="true" outlineLevel="0" collapsed="false">
      <c r="A466" s="8" t="s">
        <v>394</v>
      </c>
      <c r="B466" s="8" t="s">
        <v>961</v>
      </c>
      <c r="C466" s="8" t="s">
        <v>960</v>
      </c>
      <c r="D466" s="26" t="n">
        <v>0</v>
      </c>
    </row>
    <row r="467" customFormat="false" ht="15" hidden="false" customHeight="true" outlineLevel="0" collapsed="false">
      <c r="A467" s="8" t="s">
        <v>394</v>
      </c>
      <c r="B467" s="8" t="s">
        <v>962</v>
      </c>
      <c r="C467" s="8" t="s">
        <v>960</v>
      </c>
      <c r="D467" s="26" t="n">
        <v>0</v>
      </c>
    </row>
    <row r="468" customFormat="false" ht="15" hidden="false" customHeight="true" outlineLevel="0" collapsed="false">
      <c r="A468" s="8" t="s">
        <v>394</v>
      </c>
      <c r="B468" s="8" t="s">
        <v>963</v>
      </c>
      <c r="C468" s="8" t="s">
        <v>964</v>
      </c>
      <c r="D468" s="26" t="n">
        <v>0</v>
      </c>
    </row>
    <row r="469" customFormat="false" ht="15" hidden="false" customHeight="true" outlineLevel="0" collapsed="false">
      <c r="A469" s="8" t="s">
        <v>394</v>
      </c>
      <c r="B469" s="8" t="s">
        <v>965</v>
      </c>
      <c r="C469" s="8" t="s">
        <v>966</v>
      </c>
      <c r="D469" s="26" t="n">
        <v>0</v>
      </c>
    </row>
    <row r="470" customFormat="false" ht="15" hidden="false" customHeight="true" outlineLevel="0" collapsed="false">
      <c r="A470" s="8" t="s">
        <v>394</v>
      </c>
      <c r="B470" s="8" t="s">
        <v>967</v>
      </c>
      <c r="C470" s="8" t="s">
        <v>966</v>
      </c>
      <c r="D470" s="26" t="n">
        <v>0</v>
      </c>
    </row>
    <row r="471" customFormat="false" ht="15" hidden="false" customHeight="true" outlineLevel="0" collapsed="false">
      <c r="A471" s="8" t="s">
        <v>394</v>
      </c>
      <c r="B471" s="8" t="s">
        <v>968</v>
      </c>
      <c r="C471" s="8" t="s">
        <v>966</v>
      </c>
      <c r="D471" s="26" t="n">
        <v>0</v>
      </c>
    </row>
    <row r="472" customFormat="false" ht="15" hidden="false" customHeight="true" outlineLevel="0" collapsed="false">
      <c r="A472" s="8" t="s">
        <v>394</v>
      </c>
      <c r="B472" s="8" t="s">
        <v>969</v>
      </c>
      <c r="C472" s="8" t="s">
        <v>966</v>
      </c>
      <c r="D472" s="26" t="n">
        <v>0</v>
      </c>
    </row>
    <row r="473" customFormat="false" ht="15" hidden="false" customHeight="true" outlineLevel="0" collapsed="false">
      <c r="A473" s="8" t="s">
        <v>394</v>
      </c>
      <c r="B473" s="8" t="s">
        <v>970</v>
      </c>
      <c r="C473" s="8" t="s">
        <v>971</v>
      </c>
      <c r="D473" s="26" t="n">
        <v>0</v>
      </c>
    </row>
    <row r="474" customFormat="false" ht="15" hidden="false" customHeight="true" outlineLevel="0" collapsed="false">
      <c r="A474" s="8" t="s">
        <v>394</v>
      </c>
      <c r="B474" s="8" t="s">
        <v>970</v>
      </c>
      <c r="C474" s="8" t="s">
        <v>972</v>
      </c>
      <c r="D474" s="26" t="n">
        <v>0</v>
      </c>
    </row>
    <row r="475" customFormat="false" ht="15" hidden="false" customHeight="true" outlineLevel="0" collapsed="false">
      <c r="A475" s="8" t="s">
        <v>394</v>
      </c>
      <c r="B475" s="8" t="s">
        <v>970</v>
      </c>
      <c r="C475" s="8" t="s">
        <v>973</v>
      </c>
      <c r="D475" s="26" t="n">
        <v>0</v>
      </c>
    </row>
    <row r="476" customFormat="false" ht="15" hidden="false" customHeight="true" outlineLevel="0" collapsed="false">
      <c r="A476" s="8" t="s">
        <v>394</v>
      </c>
      <c r="B476" s="8" t="s">
        <v>970</v>
      </c>
      <c r="C476" s="8" t="s">
        <v>974</v>
      </c>
      <c r="D476" s="26" t="n">
        <v>0</v>
      </c>
    </row>
    <row r="477" customFormat="false" ht="15" hidden="false" customHeight="true" outlineLevel="0" collapsed="false">
      <c r="A477" s="8" t="s">
        <v>394</v>
      </c>
      <c r="B477" s="8" t="s">
        <v>975</v>
      </c>
      <c r="C477" s="8" t="s">
        <v>976</v>
      </c>
      <c r="D477" s="26" t="n">
        <v>0</v>
      </c>
    </row>
    <row r="478" customFormat="false" ht="15" hidden="false" customHeight="true" outlineLevel="0" collapsed="false">
      <c r="A478" s="8" t="s">
        <v>394</v>
      </c>
      <c r="B478" s="8" t="s">
        <v>975</v>
      </c>
      <c r="C478" s="8" t="s">
        <v>977</v>
      </c>
      <c r="D478" s="26" t="n">
        <v>0</v>
      </c>
    </row>
    <row r="479" customFormat="false" ht="15" hidden="false" customHeight="true" outlineLevel="0" collapsed="false">
      <c r="A479" s="8" t="s">
        <v>394</v>
      </c>
      <c r="B479" s="8" t="s">
        <v>975</v>
      </c>
      <c r="C479" s="8" t="s">
        <v>978</v>
      </c>
      <c r="D479" s="26" t="n">
        <v>0</v>
      </c>
    </row>
    <row r="480" customFormat="false" ht="15" hidden="false" customHeight="true" outlineLevel="0" collapsed="false">
      <c r="A480" s="8" t="s">
        <v>394</v>
      </c>
      <c r="B480" s="8" t="s">
        <v>975</v>
      </c>
      <c r="C480" s="8" t="s">
        <v>979</v>
      </c>
      <c r="D480" s="26" t="n">
        <v>0</v>
      </c>
    </row>
    <row r="481" customFormat="false" ht="15" hidden="false" customHeight="true" outlineLevel="0" collapsed="false">
      <c r="A481" s="8" t="s">
        <v>394</v>
      </c>
      <c r="B481" s="8" t="s">
        <v>980</v>
      </c>
      <c r="C481" s="8" t="s">
        <v>721</v>
      </c>
      <c r="D481" s="26" t="n">
        <v>0</v>
      </c>
    </row>
    <row r="482" customFormat="false" ht="15" hidden="false" customHeight="true" outlineLevel="0" collapsed="false">
      <c r="A482" s="8" t="s">
        <v>394</v>
      </c>
      <c r="B482" s="8" t="s">
        <v>980</v>
      </c>
      <c r="C482" s="8" t="s">
        <v>720</v>
      </c>
      <c r="D482" s="26" t="n">
        <v>0</v>
      </c>
    </row>
    <row r="483" customFormat="false" ht="15" hidden="false" customHeight="true" outlineLevel="0" collapsed="false">
      <c r="A483" s="8" t="s">
        <v>394</v>
      </c>
      <c r="B483" s="8" t="s">
        <v>980</v>
      </c>
      <c r="C483" s="8" t="s">
        <v>722</v>
      </c>
      <c r="D483" s="26" t="n">
        <v>0</v>
      </c>
    </row>
    <row r="484" customFormat="false" ht="15" hidden="false" customHeight="true" outlineLevel="0" collapsed="false">
      <c r="A484" s="8" t="s">
        <v>394</v>
      </c>
      <c r="B484" s="8" t="s">
        <v>980</v>
      </c>
      <c r="C484" s="8" t="s">
        <v>719</v>
      </c>
      <c r="D484" s="26" t="n">
        <v>0</v>
      </c>
    </row>
    <row r="485" customFormat="false" ht="15" hidden="false" customHeight="true" outlineLevel="0" collapsed="false">
      <c r="A485" s="8" t="s">
        <v>394</v>
      </c>
      <c r="B485" s="8" t="s">
        <v>980</v>
      </c>
      <c r="C485" s="8" t="s">
        <v>981</v>
      </c>
      <c r="D485" s="26" t="n">
        <v>0</v>
      </c>
    </row>
    <row r="486" customFormat="false" ht="15" hidden="false" customHeight="true" outlineLevel="0" collapsed="false">
      <c r="A486" s="8" t="s">
        <v>394</v>
      </c>
      <c r="B486" s="8" t="s">
        <v>982</v>
      </c>
      <c r="C486" s="8" t="s">
        <v>983</v>
      </c>
      <c r="D486" s="26" t="n">
        <v>0</v>
      </c>
    </row>
    <row r="487" customFormat="false" ht="15" hidden="false" customHeight="true" outlineLevel="0" collapsed="false">
      <c r="A487" s="8" t="s">
        <v>394</v>
      </c>
      <c r="B487" s="8" t="s">
        <v>982</v>
      </c>
      <c r="C487" s="8" t="s">
        <v>984</v>
      </c>
      <c r="D487" s="26" t="n">
        <v>0</v>
      </c>
    </row>
    <row r="488" customFormat="false" ht="15" hidden="false" customHeight="true" outlineLevel="0" collapsed="false">
      <c r="A488" s="8" t="s">
        <v>394</v>
      </c>
      <c r="B488" s="8" t="s">
        <v>982</v>
      </c>
      <c r="C488" s="8" t="s">
        <v>985</v>
      </c>
      <c r="D488" s="26" t="n">
        <v>0</v>
      </c>
    </row>
    <row r="489" customFormat="false" ht="15" hidden="false" customHeight="true" outlineLevel="0" collapsed="false">
      <c r="A489" s="8" t="s">
        <v>394</v>
      </c>
      <c r="B489" s="8" t="s">
        <v>982</v>
      </c>
      <c r="C489" s="8" t="s">
        <v>986</v>
      </c>
      <c r="D489" s="26" t="n">
        <v>0</v>
      </c>
    </row>
    <row r="490" customFormat="false" ht="15" hidden="false" customHeight="true" outlineLevel="0" collapsed="false">
      <c r="A490" s="8" t="s">
        <v>394</v>
      </c>
      <c r="B490" s="8" t="s">
        <v>987</v>
      </c>
      <c r="C490" s="8" t="s">
        <v>988</v>
      </c>
      <c r="D490" s="26" t="n">
        <v>0</v>
      </c>
    </row>
    <row r="491" customFormat="false" ht="15" hidden="false" customHeight="true" outlineLevel="0" collapsed="false">
      <c r="A491" s="8" t="s">
        <v>394</v>
      </c>
      <c r="B491" s="8" t="s">
        <v>987</v>
      </c>
      <c r="C491" s="8" t="s">
        <v>989</v>
      </c>
      <c r="D491" s="26" t="n">
        <v>0</v>
      </c>
    </row>
    <row r="492" customFormat="false" ht="15" hidden="false" customHeight="true" outlineLevel="0" collapsed="false">
      <c r="A492" s="8" t="s">
        <v>394</v>
      </c>
      <c r="B492" s="8" t="s">
        <v>987</v>
      </c>
      <c r="C492" s="8" t="s">
        <v>990</v>
      </c>
      <c r="D492" s="26" t="n">
        <v>0</v>
      </c>
    </row>
    <row r="493" customFormat="false" ht="15" hidden="false" customHeight="true" outlineLevel="0" collapsed="false">
      <c r="A493" s="8" t="s">
        <v>394</v>
      </c>
      <c r="B493" s="8" t="s">
        <v>987</v>
      </c>
      <c r="C493" s="8" t="s">
        <v>991</v>
      </c>
      <c r="D493" s="26" t="n">
        <v>0</v>
      </c>
    </row>
    <row r="494" customFormat="false" ht="15" hidden="false" customHeight="true" outlineLevel="0" collapsed="false">
      <c r="A494" s="8" t="s">
        <v>394</v>
      </c>
      <c r="B494" s="8" t="s">
        <v>992</v>
      </c>
      <c r="C494" s="8" t="s">
        <v>993</v>
      </c>
      <c r="D494" s="26" t="n">
        <v>0</v>
      </c>
    </row>
    <row r="495" customFormat="false" ht="15" hidden="false" customHeight="true" outlineLevel="0" collapsed="false">
      <c r="A495" s="8" t="s">
        <v>394</v>
      </c>
      <c r="B495" s="8" t="s">
        <v>994</v>
      </c>
      <c r="C495" s="8" t="s">
        <v>993</v>
      </c>
      <c r="D495" s="26" t="n">
        <v>0</v>
      </c>
    </row>
    <row r="496" customFormat="false" ht="15" hidden="false" customHeight="true" outlineLevel="0" collapsed="false">
      <c r="A496" s="8" t="s">
        <v>394</v>
      </c>
      <c r="B496" s="8" t="s">
        <v>995</v>
      </c>
      <c r="C496" s="8" t="s">
        <v>993</v>
      </c>
      <c r="D496" s="26" t="n">
        <v>0</v>
      </c>
    </row>
    <row r="497" customFormat="false" ht="15" hidden="false" customHeight="true" outlineLevel="0" collapsed="false">
      <c r="A497" s="8" t="s">
        <v>394</v>
      </c>
      <c r="B497" s="8" t="s">
        <v>996</v>
      </c>
      <c r="C497" s="8" t="s">
        <v>993</v>
      </c>
      <c r="D497" s="26" t="n">
        <v>0</v>
      </c>
    </row>
    <row r="498" customFormat="false" ht="15" hidden="false" customHeight="true" outlineLevel="0" collapsed="false">
      <c r="A498" s="8" t="s">
        <v>394</v>
      </c>
      <c r="B498" s="8" t="s">
        <v>997</v>
      </c>
      <c r="C498" s="8" t="s">
        <v>998</v>
      </c>
      <c r="D498" s="26" t="n">
        <v>0</v>
      </c>
    </row>
    <row r="499" customFormat="false" ht="15" hidden="false" customHeight="true" outlineLevel="0" collapsed="false">
      <c r="A499" s="8" t="s">
        <v>394</v>
      </c>
      <c r="B499" s="8" t="s">
        <v>997</v>
      </c>
      <c r="C499" s="8" t="s">
        <v>999</v>
      </c>
      <c r="D499" s="26" t="n">
        <v>0</v>
      </c>
    </row>
    <row r="500" customFormat="false" ht="15" hidden="false" customHeight="true" outlineLevel="0" collapsed="false">
      <c r="A500" s="8" t="s">
        <v>394</v>
      </c>
      <c r="B500" s="8" t="s">
        <v>997</v>
      </c>
      <c r="C500" s="8" t="s">
        <v>1000</v>
      </c>
      <c r="D500" s="26" t="n">
        <v>0</v>
      </c>
    </row>
    <row r="501" customFormat="false" ht="15" hidden="false" customHeight="true" outlineLevel="0" collapsed="false">
      <c r="A501" s="8" t="s">
        <v>394</v>
      </c>
      <c r="B501" s="8" t="s">
        <v>997</v>
      </c>
      <c r="C501" s="8" t="s">
        <v>1001</v>
      </c>
      <c r="D501" s="26" t="n">
        <v>0</v>
      </c>
    </row>
    <row r="502" customFormat="false" ht="15" hidden="false" customHeight="true" outlineLevel="0" collapsed="false">
      <c r="A502" s="8" t="s">
        <v>394</v>
      </c>
      <c r="B502" s="8" t="s">
        <v>997</v>
      </c>
      <c r="C502" s="8" t="s">
        <v>1002</v>
      </c>
      <c r="D502" s="26" t="n">
        <v>0</v>
      </c>
    </row>
    <row r="503" customFormat="false" ht="15" hidden="false" customHeight="true" outlineLevel="0" collapsed="false">
      <c r="A503" s="8" t="s">
        <v>394</v>
      </c>
      <c r="B503" s="8" t="s">
        <v>948</v>
      </c>
      <c r="C503" s="8" t="s">
        <v>1003</v>
      </c>
      <c r="D503" s="26" t="n">
        <v>0</v>
      </c>
    </row>
    <row r="504" customFormat="false" ht="15" hidden="false" customHeight="true" outlineLevel="0" collapsed="false">
      <c r="A504" s="8" t="s">
        <v>394</v>
      </c>
      <c r="B504" s="8" t="s">
        <v>1004</v>
      </c>
      <c r="C504" s="8" t="s">
        <v>1005</v>
      </c>
      <c r="D504" s="26" t="n">
        <v>0</v>
      </c>
    </row>
    <row r="505" customFormat="false" ht="15" hidden="false" customHeight="true" outlineLevel="0" collapsed="false">
      <c r="A505" s="8" t="s">
        <v>394</v>
      </c>
      <c r="B505" s="8" t="s">
        <v>1004</v>
      </c>
      <c r="C505" s="8" t="s">
        <v>1006</v>
      </c>
      <c r="D505" s="26" t="n">
        <v>0</v>
      </c>
    </row>
    <row r="506" customFormat="false" ht="15" hidden="false" customHeight="true" outlineLevel="0" collapsed="false">
      <c r="A506" s="8" t="s">
        <v>394</v>
      </c>
      <c r="B506" s="8" t="s">
        <v>1007</v>
      </c>
      <c r="C506" s="8" t="s">
        <v>1008</v>
      </c>
      <c r="D506" s="26" t="n">
        <v>0</v>
      </c>
    </row>
    <row r="507" customFormat="false" ht="15" hidden="false" customHeight="true" outlineLevel="0" collapsed="false">
      <c r="A507" s="8" t="s">
        <v>394</v>
      </c>
      <c r="B507" s="8" t="s">
        <v>1007</v>
      </c>
      <c r="C507" s="8" t="s">
        <v>1009</v>
      </c>
      <c r="D507" s="26" t="n">
        <v>0</v>
      </c>
    </row>
    <row r="508" customFormat="false" ht="15" hidden="false" customHeight="true" outlineLevel="0" collapsed="false">
      <c r="A508" s="8" t="s">
        <v>394</v>
      </c>
      <c r="B508" s="8" t="s">
        <v>1010</v>
      </c>
      <c r="C508" s="8" t="s">
        <v>1011</v>
      </c>
      <c r="D508" s="26" t="n">
        <v>0</v>
      </c>
    </row>
    <row r="509" customFormat="false" ht="15" hidden="false" customHeight="true" outlineLevel="0" collapsed="false">
      <c r="A509" s="8" t="s">
        <v>394</v>
      </c>
      <c r="B509" s="8" t="s">
        <v>1010</v>
      </c>
      <c r="C509" s="8" t="s">
        <v>1012</v>
      </c>
      <c r="D509" s="26" t="n">
        <v>0</v>
      </c>
    </row>
    <row r="510" customFormat="false" ht="15" hidden="false" customHeight="true" outlineLevel="0" collapsed="false">
      <c r="A510" s="8" t="s">
        <v>394</v>
      </c>
      <c r="B510" s="8" t="s">
        <v>1013</v>
      </c>
      <c r="C510" s="8" t="s">
        <v>1014</v>
      </c>
      <c r="D510" s="26" t="n">
        <v>0</v>
      </c>
    </row>
    <row r="511" customFormat="false" ht="15" hidden="false" customHeight="true" outlineLevel="0" collapsed="false">
      <c r="A511" s="8" t="s">
        <v>394</v>
      </c>
      <c r="B511" s="8" t="s">
        <v>1013</v>
      </c>
      <c r="C511" s="8" t="s">
        <v>1015</v>
      </c>
      <c r="D511" s="26" t="n">
        <v>0</v>
      </c>
    </row>
    <row r="512" customFormat="false" ht="15" hidden="false" customHeight="true" outlineLevel="0" collapsed="false">
      <c r="A512" s="8" t="s">
        <v>394</v>
      </c>
      <c r="B512" s="8" t="s">
        <v>1016</v>
      </c>
      <c r="C512" s="8" t="s">
        <v>1017</v>
      </c>
      <c r="D512" s="26" t="n">
        <v>0</v>
      </c>
    </row>
    <row r="513" customFormat="false" ht="15" hidden="false" customHeight="true" outlineLevel="0" collapsed="false">
      <c r="A513" s="8" t="s">
        <v>394</v>
      </c>
      <c r="B513" s="8" t="s">
        <v>1016</v>
      </c>
      <c r="C513" s="8" t="s">
        <v>1018</v>
      </c>
      <c r="D513" s="26" t="n">
        <v>0</v>
      </c>
    </row>
    <row r="514" customFormat="false" ht="15" hidden="false" customHeight="true" outlineLevel="0" collapsed="false">
      <c r="A514" s="8" t="s">
        <v>394</v>
      </c>
      <c r="B514" s="8" t="s">
        <v>1016</v>
      </c>
      <c r="C514" s="8" t="s">
        <v>1019</v>
      </c>
      <c r="D514" s="26" t="n">
        <v>0</v>
      </c>
    </row>
    <row r="515" customFormat="false" ht="15" hidden="false" customHeight="true" outlineLevel="0" collapsed="false">
      <c r="A515" s="8" t="s">
        <v>394</v>
      </c>
      <c r="B515" s="8" t="s">
        <v>1020</v>
      </c>
      <c r="C515" s="8" t="s">
        <v>1021</v>
      </c>
      <c r="D515" s="26" t="n">
        <v>0</v>
      </c>
    </row>
    <row r="516" customFormat="false" ht="15" hidden="false" customHeight="true" outlineLevel="0" collapsed="false">
      <c r="A516" s="8" t="s">
        <v>394</v>
      </c>
      <c r="B516" s="8" t="s">
        <v>1022</v>
      </c>
      <c r="C516" s="8" t="s">
        <v>1021</v>
      </c>
      <c r="D516" s="26" t="n">
        <v>0</v>
      </c>
    </row>
    <row r="517" customFormat="false" ht="15" hidden="false" customHeight="true" outlineLevel="0" collapsed="false">
      <c r="A517" s="8" t="s">
        <v>394</v>
      </c>
      <c r="B517" s="8" t="s">
        <v>1023</v>
      </c>
      <c r="C517" s="8" t="s">
        <v>1021</v>
      </c>
      <c r="D517" s="26" t="n">
        <v>0</v>
      </c>
    </row>
    <row r="518" customFormat="false" ht="15" hidden="false" customHeight="true" outlineLevel="0" collapsed="false">
      <c r="A518" s="8" t="s">
        <v>394</v>
      </c>
      <c r="B518" s="8" t="s">
        <v>1024</v>
      </c>
      <c r="C518" s="8" t="s">
        <v>1021</v>
      </c>
      <c r="D518" s="26" t="n">
        <v>0</v>
      </c>
    </row>
    <row r="519" customFormat="false" ht="15" hidden="false" customHeight="true" outlineLevel="0" collapsed="false">
      <c r="A519" s="8" t="s">
        <v>394</v>
      </c>
      <c r="B519" s="8" t="s">
        <v>1025</v>
      </c>
      <c r="C519" s="8" t="s">
        <v>1026</v>
      </c>
      <c r="D519" s="26" t="n">
        <v>0</v>
      </c>
    </row>
    <row r="520" customFormat="false" ht="15" hidden="false" customHeight="true" outlineLevel="0" collapsed="false">
      <c r="A520" s="8" t="s">
        <v>394</v>
      </c>
      <c r="B520" s="8" t="s">
        <v>1027</v>
      </c>
      <c r="C520" s="8" t="s">
        <v>1026</v>
      </c>
      <c r="D520" s="26" t="n">
        <v>0</v>
      </c>
    </row>
    <row r="521" customFormat="false" ht="15" hidden="false" customHeight="true" outlineLevel="0" collapsed="false">
      <c r="A521" s="8" t="s">
        <v>394</v>
      </c>
      <c r="B521" s="8" t="s">
        <v>1028</v>
      </c>
      <c r="C521" s="8" t="s">
        <v>1026</v>
      </c>
      <c r="D521" s="26" t="n">
        <v>0</v>
      </c>
    </row>
    <row r="522" customFormat="false" ht="15" hidden="false" customHeight="true" outlineLevel="0" collapsed="false">
      <c r="A522" s="8" t="s">
        <v>394</v>
      </c>
      <c r="B522" s="8" t="s">
        <v>1029</v>
      </c>
      <c r="C522" s="8" t="s">
        <v>1026</v>
      </c>
      <c r="D522" s="26" t="n">
        <v>0</v>
      </c>
    </row>
    <row r="523" customFormat="false" ht="15" hidden="false" customHeight="true" outlineLevel="0" collapsed="false">
      <c r="A523" s="8" t="s">
        <v>394</v>
      </c>
      <c r="B523" s="8" t="s">
        <v>1030</v>
      </c>
      <c r="C523" s="8" t="s">
        <v>1031</v>
      </c>
      <c r="D523" s="26" t="n">
        <v>0</v>
      </c>
    </row>
    <row r="524" customFormat="false" ht="15" hidden="false" customHeight="true" outlineLevel="0" collapsed="false">
      <c r="A524" s="8" t="s">
        <v>394</v>
      </c>
      <c r="B524" s="8" t="s">
        <v>1030</v>
      </c>
      <c r="C524" s="8" t="s">
        <v>1032</v>
      </c>
      <c r="D524" s="26" t="n">
        <v>0</v>
      </c>
    </row>
    <row r="525" customFormat="false" ht="15" hidden="false" customHeight="true" outlineLevel="0" collapsed="false">
      <c r="A525" s="8" t="s">
        <v>394</v>
      </c>
      <c r="B525" s="8" t="s">
        <v>1033</v>
      </c>
      <c r="C525" s="8" t="s">
        <v>1034</v>
      </c>
      <c r="D525" s="26" t="n">
        <v>0</v>
      </c>
    </row>
    <row r="526" customFormat="false" ht="15" hidden="false" customHeight="true" outlineLevel="0" collapsed="false">
      <c r="A526" s="8" t="s">
        <v>394</v>
      </c>
      <c r="B526" s="8" t="s">
        <v>1035</v>
      </c>
      <c r="C526" s="8" t="s">
        <v>1036</v>
      </c>
      <c r="D526" s="26" t="n">
        <v>0</v>
      </c>
    </row>
    <row r="527" customFormat="false" ht="15" hidden="false" customHeight="true" outlineLevel="0" collapsed="false">
      <c r="A527" s="8" t="s">
        <v>394</v>
      </c>
      <c r="B527" s="8" t="s">
        <v>1037</v>
      </c>
      <c r="C527" s="8" t="s">
        <v>1038</v>
      </c>
      <c r="D527" s="26" t="n">
        <v>0</v>
      </c>
    </row>
    <row r="528" customFormat="false" ht="15" hidden="false" customHeight="true" outlineLevel="0" collapsed="false">
      <c r="A528" s="8" t="s">
        <v>394</v>
      </c>
      <c r="B528" s="8" t="s">
        <v>1035</v>
      </c>
      <c r="C528" s="8" t="s">
        <v>1039</v>
      </c>
      <c r="D528" s="26" t="n">
        <v>0</v>
      </c>
    </row>
    <row r="529" customFormat="false" ht="15" hidden="false" customHeight="true" outlineLevel="0" collapsed="false">
      <c r="A529" s="8" t="s">
        <v>394</v>
      </c>
      <c r="B529" s="8" t="s">
        <v>1040</v>
      </c>
      <c r="C529" s="8" t="s">
        <v>1041</v>
      </c>
      <c r="D529" s="26" t="n">
        <v>0</v>
      </c>
    </row>
    <row r="530" customFormat="false" ht="15" hidden="false" customHeight="true" outlineLevel="0" collapsed="false">
      <c r="A530" s="8" t="s">
        <v>394</v>
      </c>
      <c r="B530" s="8" t="s">
        <v>1042</v>
      </c>
      <c r="C530" s="8" t="s">
        <v>1043</v>
      </c>
      <c r="D530" s="26" t="n">
        <v>0</v>
      </c>
    </row>
    <row r="531" customFormat="false" ht="15" hidden="false" customHeight="true" outlineLevel="0" collapsed="false">
      <c r="A531" s="8" t="s">
        <v>394</v>
      </c>
      <c r="B531" s="8" t="s">
        <v>1042</v>
      </c>
      <c r="C531" s="8" t="s">
        <v>1044</v>
      </c>
      <c r="D531" s="26" t="n">
        <v>0</v>
      </c>
    </row>
    <row r="532" customFormat="false" ht="15" hidden="false" customHeight="true" outlineLevel="0" collapsed="false">
      <c r="A532" s="8" t="s">
        <v>394</v>
      </c>
      <c r="B532" s="8" t="s">
        <v>1042</v>
      </c>
      <c r="C532" s="8" t="s">
        <v>1045</v>
      </c>
      <c r="D532" s="26" t="n">
        <v>0</v>
      </c>
    </row>
    <row r="533" customFormat="false" ht="15" hidden="false" customHeight="true" outlineLevel="0" collapsed="false">
      <c r="A533" s="8" t="s">
        <v>394</v>
      </c>
      <c r="B533" s="8" t="s">
        <v>1042</v>
      </c>
      <c r="C533" s="8" t="s">
        <v>1046</v>
      </c>
      <c r="D533" s="26" t="n">
        <v>0</v>
      </c>
    </row>
    <row r="534" customFormat="false" ht="15" hidden="false" customHeight="true" outlineLevel="0" collapsed="false">
      <c r="A534" s="8" t="s">
        <v>394</v>
      </c>
      <c r="B534" s="8" t="s">
        <v>1042</v>
      </c>
      <c r="C534" s="8" t="s">
        <v>1047</v>
      </c>
      <c r="D534" s="26" t="n">
        <v>0</v>
      </c>
    </row>
    <row r="535" customFormat="false" ht="15" hidden="false" customHeight="true" outlineLevel="0" collapsed="false">
      <c r="A535" s="8" t="s">
        <v>394</v>
      </c>
      <c r="B535" s="8" t="s">
        <v>1048</v>
      </c>
      <c r="C535" s="8" t="s">
        <v>1049</v>
      </c>
      <c r="D535" s="26" t="n">
        <v>0</v>
      </c>
    </row>
    <row r="536" customFormat="false" ht="15" hidden="false" customHeight="true" outlineLevel="0" collapsed="false">
      <c r="A536" s="8" t="s">
        <v>394</v>
      </c>
      <c r="B536" s="8" t="s">
        <v>1048</v>
      </c>
      <c r="C536" s="8" t="s">
        <v>1050</v>
      </c>
      <c r="D536" s="26" t="n">
        <v>0</v>
      </c>
    </row>
    <row r="537" customFormat="false" ht="15" hidden="false" customHeight="true" outlineLevel="0" collapsed="false">
      <c r="A537" s="8" t="s">
        <v>394</v>
      </c>
      <c r="B537" s="8" t="s">
        <v>1048</v>
      </c>
      <c r="C537" s="8" t="s">
        <v>1051</v>
      </c>
      <c r="D537" s="26" t="n">
        <v>0</v>
      </c>
    </row>
    <row r="538" customFormat="false" ht="15" hidden="false" customHeight="true" outlineLevel="0" collapsed="false">
      <c r="A538" s="8" t="s">
        <v>394</v>
      </c>
      <c r="B538" s="8" t="s">
        <v>1048</v>
      </c>
      <c r="C538" s="8" t="s">
        <v>1052</v>
      </c>
      <c r="D538" s="26" t="n">
        <v>0</v>
      </c>
    </row>
    <row r="539" customFormat="false" ht="15" hidden="false" customHeight="true" outlineLevel="0" collapsed="false">
      <c r="A539" s="8" t="s">
        <v>394</v>
      </c>
      <c r="B539" s="8" t="s">
        <v>1048</v>
      </c>
      <c r="C539" s="8" t="s">
        <v>1053</v>
      </c>
      <c r="D539" s="26" t="n">
        <v>0</v>
      </c>
    </row>
    <row r="540" customFormat="false" ht="15" hidden="false" customHeight="true" outlineLevel="0" collapsed="false">
      <c r="A540" s="8" t="s">
        <v>394</v>
      </c>
      <c r="B540" s="8" t="s">
        <v>1054</v>
      </c>
      <c r="C540" s="8" t="s">
        <v>1055</v>
      </c>
      <c r="D540" s="26" t="n">
        <v>0</v>
      </c>
    </row>
    <row r="541" customFormat="false" ht="15" hidden="false" customHeight="true" outlineLevel="0" collapsed="false">
      <c r="A541" s="8" t="s">
        <v>394</v>
      </c>
      <c r="B541" s="8" t="s">
        <v>1054</v>
      </c>
      <c r="C541" s="8" t="s">
        <v>1056</v>
      </c>
      <c r="D541" s="26" t="n">
        <v>0</v>
      </c>
    </row>
    <row r="542" customFormat="false" ht="15" hidden="false" customHeight="true" outlineLevel="0" collapsed="false">
      <c r="A542" s="8" t="s">
        <v>394</v>
      </c>
      <c r="B542" s="8" t="s">
        <v>1054</v>
      </c>
      <c r="C542" s="8" t="s">
        <v>1057</v>
      </c>
      <c r="D542" s="26" t="n">
        <v>0</v>
      </c>
    </row>
    <row r="543" customFormat="false" ht="15" hidden="false" customHeight="true" outlineLevel="0" collapsed="false">
      <c r="A543" s="8" t="s">
        <v>394</v>
      </c>
      <c r="B543" s="8" t="s">
        <v>1054</v>
      </c>
      <c r="C543" s="8" t="s">
        <v>1058</v>
      </c>
      <c r="D543" s="26" t="n">
        <v>0</v>
      </c>
    </row>
    <row r="544" customFormat="false" ht="15" hidden="false" customHeight="true" outlineLevel="0" collapsed="false">
      <c r="A544" s="8" t="s">
        <v>394</v>
      </c>
      <c r="B544" s="8" t="s">
        <v>1054</v>
      </c>
      <c r="C544" s="8" t="s">
        <v>1059</v>
      </c>
      <c r="D544" s="26" t="n">
        <v>0</v>
      </c>
    </row>
    <row r="545" customFormat="false" ht="15" hidden="false" customHeight="true" outlineLevel="0" collapsed="false">
      <c r="A545" s="8" t="s">
        <v>394</v>
      </c>
      <c r="B545" s="8" t="s">
        <v>1060</v>
      </c>
      <c r="C545" s="8" t="s">
        <v>1061</v>
      </c>
      <c r="D545" s="26" t="n">
        <v>0</v>
      </c>
    </row>
    <row r="546" customFormat="false" ht="15" hidden="false" customHeight="true" outlineLevel="0" collapsed="false">
      <c r="A546" s="8" t="s">
        <v>394</v>
      </c>
      <c r="B546" s="8" t="s">
        <v>1062</v>
      </c>
      <c r="C546" s="8" t="s">
        <v>1063</v>
      </c>
      <c r="D546" s="26" t="n">
        <v>0</v>
      </c>
    </row>
    <row r="547" customFormat="false" ht="15" hidden="false" customHeight="true" outlineLevel="0" collapsed="false">
      <c r="A547" s="8" t="s">
        <v>394</v>
      </c>
      <c r="B547" s="8" t="s">
        <v>1064</v>
      </c>
      <c r="C547" s="8" t="s">
        <v>1065</v>
      </c>
      <c r="D547" s="26" t="n">
        <v>0</v>
      </c>
    </row>
    <row r="548" customFormat="false" ht="15" hidden="false" customHeight="true" outlineLevel="0" collapsed="false">
      <c r="A548" s="8" t="s">
        <v>394</v>
      </c>
      <c r="B548" s="8" t="s">
        <v>1066</v>
      </c>
      <c r="C548" s="8" t="s">
        <v>1067</v>
      </c>
      <c r="D548" s="26" t="n">
        <v>0</v>
      </c>
    </row>
    <row r="549" customFormat="false" ht="15" hidden="false" customHeight="true" outlineLevel="0" collapsed="false">
      <c r="A549" s="8" t="s">
        <v>394</v>
      </c>
      <c r="B549" s="8" t="s">
        <v>1068</v>
      </c>
      <c r="C549" s="8" t="s">
        <v>1069</v>
      </c>
      <c r="D549" s="26" t="n">
        <v>0</v>
      </c>
    </row>
    <row r="550" customFormat="false" ht="15" hidden="false" customHeight="true" outlineLevel="0" collapsed="false">
      <c r="A550" s="8" t="s">
        <v>394</v>
      </c>
      <c r="B550" s="8" t="s">
        <v>1070</v>
      </c>
      <c r="C550" s="8" t="s">
        <v>1071</v>
      </c>
      <c r="D550" s="26" t="n">
        <v>0</v>
      </c>
    </row>
    <row r="551" customFormat="false" ht="15" hidden="false" customHeight="true" outlineLevel="0" collapsed="false">
      <c r="A551" s="8" t="s">
        <v>394</v>
      </c>
      <c r="B551" s="8" t="s">
        <v>1070</v>
      </c>
      <c r="C551" s="8" t="s">
        <v>1072</v>
      </c>
      <c r="D551" s="26" t="n">
        <v>0</v>
      </c>
    </row>
    <row r="552" customFormat="false" ht="15" hidden="false" customHeight="true" outlineLevel="0" collapsed="false">
      <c r="A552" s="8" t="s">
        <v>394</v>
      </c>
      <c r="B552" s="8" t="s">
        <v>1070</v>
      </c>
      <c r="C552" s="8" t="s">
        <v>1073</v>
      </c>
      <c r="D552" s="26" t="n">
        <v>0</v>
      </c>
    </row>
    <row r="553" customFormat="false" ht="15" hidden="false" customHeight="true" outlineLevel="0" collapsed="false">
      <c r="A553" s="8" t="s">
        <v>394</v>
      </c>
      <c r="B553" s="8" t="s">
        <v>1070</v>
      </c>
      <c r="C553" s="8" t="s">
        <v>1074</v>
      </c>
      <c r="D553" s="26" t="n">
        <v>0</v>
      </c>
    </row>
    <row r="554" customFormat="false" ht="15" hidden="false" customHeight="true" outlineLevel="0" collapsed="false">
      <c r="A554" s="8" t="s">
        <v>394</v>
      </c>
      <c r="B554" s="8" t="s">
        <v>1075</v>
      </c>
      <c r="C554" s="8" t="s">
        <v>1076</v>
      </c>
      <c r="D554" s="26" t="n">
        <v>0</v>
      </c>
    </row>
    <row r="555" customFormat="false" ht="15" hidden="false" customHeight="true" outlineLevel="0" collapsed="false">
      <c r="A555" s="8" t="s">
        <v>394</v>
      </c>
      <c r="B555" s="8" t="s">
        <v>1077</v>
      </c>
      <c r="C555" s="8" t="s">
        <v>1078</v>
      </c>
      <c r="D555" s="26" t="n">
        <v>0</v>
      </c>
    </row>
    <row r="556" customFormat="false" ht="15" hidden="false" customHeight="true" outlineLevel="0" collapsed="false">
      <c r="A556" s="8" t="s">
        <v>394</v>
      </c>
      <c r="B556" s="8" t="s">
        <v>1079</v>
      </c>
      <c r="C556" s="8" t="s">
        <v>1080</v>
      </c>
      <c r="D556" s="26" t="n">
        <v>0</v>
      </c>
    </row>
    <row r="557" customFormat="false" ht="15" hidden="false" customHeight="true" outlineLevel="0" collapsed="false">
      <c r="A557" s="8" t="s">
        <v>394</v>
      </c>
      <c r="B557" s="8" t="s">
        <v>1081</v>
      </c>
      <c r="C557" s="8" t="s">
        <v>1082</v>
      </c>
      <c r="D557" s="26" t="n">
        <v>0</v>
      </c>
    </row>
    <row r="558" customFormat="false" ht="15" hidden="false" customHeight="true" outlineLevel="0" collapsed="false">
      <c r="A558" s="8" t="s">
        <v>394</v>
      </c>
      <c r="B558" s="8" t="s">
        <v>1083</v>
      </c>
      <c r="C558" s="8" t="s">
        <v>1084</v>
      </c>
      <c r="D558" s="26" t="n">
        <v>0</v>
      </c>
    </row>
    <row r="559" customFormat="false" ht="15" hidden="false" customHeight="true" outlineLevel="0" collapsed="false">
      <c r="A559" s="8" t="s">
        <v>394</v>
      </c>
      <c r="B559" s="8" t="s">
        <v>107</v>
      </c>
      <c r="C559" s="8" t="s">
        <v>1085</v>
      </c>
      <c r="D559" s="26" t="n">
        <v>0</v>
      </c>
    </row>
    <row r="560" customFormat="false" ht="15" hidden="false" customHeight="true" outlineLevel="0" collapsed="false">
      <c r="A560" s="8" t="s">
        <v>394</v>
      </c>
      <c r="B560" s="8" t="s">
        <v>1086</v>
      </c>
      <c r="C560" s="8" t="s">
        <v>1087</v>
      </c>
      <c r="D560" s="26" t="n">
        <v>0</v>
      </c>
    </row>
    <row r="561" customFormat="false" ht="15" hidden="false" customHeight="true" outlineLevel="0" collapsed="false">
      <c r="A561" s="8" t="s">
        <v>394</v>
      </c>
      <c r="B561" s="8" t="s">
        <v>1088</v>
      </c>
      <c r="C561" s="8" t="s">
        <v>1089</v>
      </c>
      <c r="D561" s="26" t="n">
        <v>0</v>
      </c>
    </row>
    <row r="562" customFormat="false" ht="15" hidden="false" customHeight="true" outlineLevel="0" collapsed="false">
      <c r="A562" s="8" t="s">
        <v>394</v>
      </c>
      <c r="B562" s="8" t="s">
        <v>1088</v>
      </c>
      <c r="C562" s="8" t="s">
        <v>1090</v>
      </c>
      <c r="D562" s="26" t="n">
        <v>0</v>
      </c>
    </row>
    <row r="563" customFormat="false" ht="15" hidden="false" customHeight="true" outlineLevel="0" collapsed="false">
      <c r="A563" s="8" t="s">
        <v>394</v>
      </c>
      <c r="B563" s="8" t="s">
        <v>1088</v>
      </c>
      <c r="C563" s="8" t="s">
        <v>1091</v>
      </c>
      <c r="D563" s="26" t="n">
        <v>0</v>
      </c>
    </row>
    <row r="564" customFormat="false" ht="15" hidden="false" customHeight="true" outlineLevel="0" collapsed="false">
      <c r="A564" s="8" t="s">
        <v>394</v>
      </c>
      <c r="B564" s="8" t="s">
        <v>1088</v>
      </c>
      <c r="C564" s="8" t="s">
        <v>1092</v>
      </c>
      <c r="D564" s="26" t="n">
        <v>0</v>
      </c>
    </row>
    <row r="565" customFormat="false" ht="15" hidden="false" customHeight="true" outlineLevel="0" collapsed="false">
      <c r="A565" s="8" t="s">
        <v>394</v>
      </c>
      <c r="B565" s="8" t="s">
        <v>1093</v>
      </c>
      <c r="C565" s="8" t="s">
        <v>1094</v>
      </c>
      <c r="D565" s="26" t="n">
        <v>0</v>
      </c>
    </row>
    <row r="566" customFormat="false" ht="15" hidden="false" customHeight="true" outlineLevel="0" collapsed="false">
      <c r="A566" s="8" t="s">
        <v>394</v>
      </c>
      <c r="B566" s="8" t="s">
        <v>1095</v>
      </c>
      <c r="C566" s="8" t="s">
        <v>1094</v>
      </c>
      <c r="D566" s="26" t="n">
        <v>0</v>
      </c>
    </row>
    <row r="567" customFormat="false" ht="15" hidden="false" customHeight="true" outlineLevel="0" collapsed="false">
      <c r="A567" s="8" t="s">
        <v>394</v>
      </c>
      <c r="B567" s="8" t="s">
        <v>1093</v>
      </c>
      <c r="C567" s="8" t="s">
        <v>1096</v>
      </c>
      <c r="D567" s="26" t="n">
        <v>0</v>
      </c>
    </row>
    <row r="568" customFormat="false" ht="15" hidden="false" customHeight="true" outlineLevel="0" collapsed="false">
      <c r="A568" s="8" t="s">
        <v>394</v>
      </c>
      <c r="B568" s="8" t="s">
        <v>151</v>
      </c>
      <c r="C568" s="8" t="s">
        <v>1096</v>
      </c>
      <c r="D568" s="26" t="n">
        <v>0</v>
      </c>
    </row>
    <row r="569" customFormat="false" ht="15" hidden="false" customHeight="true" outlineLevel="0" collapsed="false">
      <c r="A569" s="8" t="s">
        <v>394</v>
      </c>
      <c r="B569" s="8" t="s">
        <v>81</v>
      </c>
      <c r="C569" s="8" t="s">
        <v>1097</v>
      </c>
      <c r="D569" s="26" t="n">
        <v>0</v>
      </c>
    </row>
    <row r="570" customFormat="false" ht="15" hidden="false" customHeight="true" outlineLevel="0" collapsed="false">
      <c r="A570" s="8" t="s">
        <v>394</v>
      </c>
      <c r="B570" s="8" t="s">
        <v>1098</v>
      </c>
      <c r="C570" s="8" t="s">
        <v>1099</v>
      </c>
      <c r="D570" s="26" t="n">
        <v>0</v>
      </c>
    </row>
    <row r="571" customFormat="false" ht="15" hidden="false" customHeight="true" outlineLevel="0" collapsed="false">
      <c r="A571" s="8" t="s">
        <v>394</v>
      </c>
      <c r="B571" s="8" t="s">
        <v>1100</v>
      </c>
      <c r="C571" s="8" t="s">
        <v>1101</v>
      </c>
      <c r="D571" s="26" t="n">
        <v>0</v>
      </c>
    </row>
    <row r="572" customFormat="false" ht="15" hidden="false" customHeight="true" outlineLevel="0" collapsed="false">
      <c r="A572" s="8" t="s">
        <v>394</v>
      </c>
      <c r="B572" s="8" t="s">
        <v>1102</v>
      </c>
      <c r="C572" s="8" t="s">
        <v>556</v>
      </c>
      <c r="D572" s="26" t="n">
        <v>0</v>
      </c>
    </row>
    <row r="573" customFormat="false" ht="15" hidden="false" customHeight="true" outlineLevel="0" collapsed="false">
      <c r="A573" s="8" t="s">
        <v>394</v>
      </c>
      <c r="B573" s="8" t="s">
        <v>1103</v>
      </c>
      <c r="C573" s="8" t="s">
        <v>1104</v>
      </c>
      <c r="D573" s="26" t="n">
        <v>0</v>
      </c>
    </row>
    <row r="574" customFormat="false" ht="15" hidden="false" customHeight="true" outlineLevel="0" collapsed="false">
      <c r="A574" s="8" t="s">
        <v>394</v>
      </c>
      <c r="B574" s="8" t="s">
        <v>1105</v>
      </c>
      <c r="C574" s="8" t="s">
        <v>1106</v>
      </c>
      <c r="D574" s="26" t="n">
        <v>0</v>
      </c>
    </row>
    <row r="575" customFormat="false" ht="15" hidden="false" customHeight="true" outlineLevel="0" collapsed="false">
      <c r="A575" s="8" t="s">
        <v>394</v>
      </c>
      <c r="B575" s="8" t="s">
        <v>1105</v>
      </c>
      <c r="C575" s="8" t="s">
        <v>1107</v>
      </c>
      <c r="D575" s="26" t="n">
        <v>0</v>
      </c>
    </row>
    <row r="576" customFormat="false" ht="15" hidden="false" customHeight="true" outlineLevel="0" collapsed="false">
      <c r="A576" s="8" t="s">
        <v>394</v>
      </c>
      <c r="B576" s="8" t="s">
        <v>1105</v>
      </c>
      <c r="C576" s="8" t="s">
        <v>1108</v>
      </c>
      <c r="D576" s="26" t="n">
        <v>0</v>
      </c>
    </row>
    <row r="577" customFormat="false" ht="15" hidden="false" customHeight="true" outlineLevel="0" collapsed="false">
      <c r="A577" s="8" t="s">
        <v>394</v>
      </c>
      <c r="B577" s="8" t="s">
        <v>1109</v>
      </c>
      <c r="C577" s="8" t="s">
        <v>1110</v>
      </c>
      <c r="D577" s="26" t="n">
        <v>0</v>
      </c>
    </row>
    <row r="578" customFormat="false" ht="15" hidden="false" customHeight="true" outlineLevel="0" collapsed="false">
      <c r="A578" s="8" t="s">
        <v>394</v>
      </c>
      <c r="B578" s="8" t="s">
        <v>1111</v>
      </c>
      <c r="C578" s="8" t="s">
        <v>1110</v>
      </c>
      <c r="D578" s="26" t="n">
        <v>0</v>
      </c>
    </row>
    <row r="579" customFormat="false" ht="15" hidden="false" customHeight="true" outlineLevel="0" collapsed="false">
      <c r="A579" s="8" t="s">
        <v>394</v>
      </c>
      <c r="B579" s="8" t="s">
        <v>1112</v>
      </c>
      <c r="C579" s="8" t="s">
        <v>1110</v>
      </c>
      <c r="D579" s="26" t="n">
        <v>0</v>
      </c>
    </row>
    <row r="580" customFormat="false" ht="15" hidden="false" customHeight="true" outlineLevel="0" collapsed="false">
      <c r="A580" s="8" t="s">
        <v>394</v>
      </c>
      <c r="B580" s="8" t="s">
        <v>1109</v>
      </c>
      <c r="C580" s="8" t="s">
        <v>1113</v>
      </c>
      <c r="D580" s="26" t="n">
        <v>0</v>
      </c>
    </row>
    <row r="581" customFormat="false" ht="15" hidden="false" customHeight="true" outlineLevel="0" collapsed="false">
      <c r="A581" s="8" t="s">
        <v>394</v>
      </c>
      <c r="B581" s="8" t="s">
        <v>1111</v>
      </c>
      <c r="C581" s="8" t="s">
        <v>1113</v>
      </c>
      <c r="D581" s="26" t="n">
        <v>0</v>
      </c>
    </row>
    <row r="582" customFormat="false" ht="15" hidden="false" customHeight="true" outlineLevel="0" collapsed="false">
      <c r="A582" s="8" t="s">
        <v>394</v>
      </c>
      <c r="B582" s="8" t="s">
        <v>1112</v>
      </c>
      <c r="C582" s="8" t="s">
        <v>1113</v>
      </c>
      <c r="D582" s="26" t="n">
        <v>0</v>
      </c>
    </row>
    <row r="583" customFormat="false" ht="15" hidden="false" customHeight="true" outlineLevel="0" collapsed="false">
      <c r="A583" s="8" t="s">
        <v>394</v>
      </c>
      <c r="B583" s="8" t="s">
        <v>607</v>
      </c>
      <c r="C583" s="8" t="s">
        <v>1114</v>
      </c>
      <c r="D583" s="26" t="n">
        <v>0</v>
      </c>
    </row>
    <row r="584" customFormat="false" ht="15" hidden="false" customHeight="true" outlineLevel="0" collapsed="false">
      <c r="A584" s="8" t="s">
        <v>394</v>
      </c>
      <c r="B584" s="8" t="s">
        <v>90</v>
      </c>
      <c r="C584" s="8" t="s">
        <v>1115</v>
      </c>
      <c r="D584" s="26" t="n">
        <v>0</v>
      </c>
    </row>
    <row r="585" customFormat="false" ht="15" hidden="false" customHeight="true" outlineLevel="0" collapsed="false">
      <c r="A585" s="8" t="s">
        <v>394</v>
      </c>
      <c r="B585" s="8" t="s">
        <v>90</v>
      </c>
      <c r="C585" s="8" t="s">
        <v>1116</v>
      </c>
      <c r="D585" s="26" t="n">
        <v>0</v>
      </c>
    </row>
    <row r="586" customFormat="false" ht="15" hidden="false" customHeight="true" outlineLevel="0" collapsed="false">
      <c r="A586" s="8" t="s">
        <v>394</v>
      </c>
      <c r="B586" s="8" t="s">
        <v>134</v>
      </c>
      <c r="C586" s="8" t="s">
        <v>1117</v>
      </c>
      <c r="D586" s="26" t="n">
        <v>0</v>
      </c>
    </row>
    <row r="587" customFormat="false" ht="15" hidden="false" customHeight="true" outlineLevel="0" collapsed="false">
      <c r="A587" s="8" t="s">
        <v>394</v>
      </c>
      <c r="B587" s="8" t="s">
        <v>52</v>
      </c>
      <c r="C587" s="8" t="s">
        <v>1118</v>
      </c>
      <c r="D587" s="26" t="n">
        <v>0</v>
      </c>
    </row>
    <row r="588" customFormat="false" ht="15" hidden="false" customHeight="true" outlineLevel="0" collapsed="false">
      <c r="A588" s="8" t="s">
        <v>394</v>
      </c>
      <c r="B588" s="8" t="s">
        <v>52</v>
      </c>
      <c r="C588" s="8" t="s">
        <v>1119</v>
      </c>
      <c r="D588" s="26" t="n">
        <v>0</v>
      </c>
    </row>
    <row r="589" customFormat="false" ht="15" hidden="false" customHeight="true" outlineLevel="0" collapsed="false">
      <c r="A589" s="8" t="s">
        <v>394</v>
      </c>
      <c r="B589" s="8" t="s">
        <v>52</v>
      </c>
      <c r="C589" s="8" t="s">
        <v>1120</v>
      </c>
      <c r="D589" s="26" t="n">
        <v>0</v>
      </c>
    </row>
    <row r="590" customFormat="false" ht="15" hidden="false" customHeight="true" outlineLevel="0" collapsed="false">
      <c r="A590" s="8" t="s">
        <v>394</v>
      </c>
      <c r="B590" s="8" t="s">
        <v>52</v>
      </c>
      <c r="C590" s="8" t="s">
        <v>1121</v>
      </c>
      <c r="D590" s="26" t="n">
        <v>0</v>
      </c>
    </row>
    <row r="591" customFormat="false" ht="15" hidden="false" customHeight="true" outlineLevel="0" collapsed="false">
      <c r="A591" s="8" t="s">
        <v>394</v>
      </c>
      <c r="B591" s="8" t="s">
        <v>52</v>
      </c>
      <c r="C591" s="8" t="s">
        <v>1122</v>
      </c>
      <c r="D591" s="26" t="n">
        <v>0</v>
      </c>
    </row>
    <row r="592" customFormat="false" ht="15" hidden="false" customHeight="true" outlineLevel="0" collapsed="false">
      <c r="A592" s="8" t="s">
        <v>1123</v>
      </c>
      <c r="B592" s="8" t="s">
        <v>80</v>
      </c>
      <c r="C592" s="8" t="s">
        <v>395</v>
      </c>
      <c r="D592" s="26" t="n">
        <v>0</v>
      </c>
    </row>
    <row r="593" customFormat="false" ht="15" hidden="false" customHeight="true" outlineLevel="0" collapsed="false">
      <c r="A593" s="8" t="s">
        <v>1123</v>
      </c>
      <c r="B593" s="8" t="s">
        <v>80</v>
      </c>
      <c r="C593" s="8" t="s">
        <v>396</v>
      </c>
      <c r="D593" s="26" t="n">
        <v>0</v>
      </c>
    </row>
    <row r="594" customFormat="false" ht="15" hidden="false" customHeight="true" outlineLevel="0" collapsed="false">
      <c r="A594" s="8" t="s">
        <v>1123</v>
      </c>
      <c r="B594" s="8" t="s">
        <v>121</v>
      </c>
      <c r="C594" s="8" t="s">
        <v>397</v>
      </c>
      <c r="D594" s="26" t="n">
        <v>0</v>
      </c>
    </row>
    <row r="595" customFormat="false" ht="15" hidden="false" customHeight="true" outlineLevel="0" collapsed="false">
      <c r="A595" s="8" t="s">
        <v>1123</v>
      </c>
      <c r="B595" s="8" t="s">
        <v>398</v>
      </c>
      <c r="C595" s="8" t="s">
        <v>399</v>
      </c>
      <c r="D595" s="26" t="n">
        <v>0</v>
      </c>
    </row>
    <row r="596" customFormat="false" ht="15" hidden="false" customHeight="true" outlineLevel="0" collapsed="false">
      <c r="A596" s="8" t="s">
        <v>1123</v>
      </c>
      <c r="B596" s="8" t="s">
        <v>400</v>
      </c>
      <c r="C596" s="8" t="s">
        <v>401</v>
      </c>
      <c r="D596" s="26" t="n">
        <v>0</v>
      </c>
    </row>
    <row r="597" customFormat="false" ht="15" hidden="false" customHeight="true" outlineLevel="0" collapsed="false">
      <c r="A597" s="8" t="s">
        <v>1123</v>
      </c>
      <c r="B597" s="8" t="s">
        <v>402</v>
      </c>
      <c r="C597" s="8" t="s">
        <v>403</v>
      </c>
      <c r="D597" s="26" t="n">
        <v>0</v>
      </c>
    </row>
    <row r="598" customFormat="false" ht="15" hidden="false" customHeight="true" outlineLevel="0" collapsed="false">
      <c r="A598" s="8" t="s">
        <v>1123</v>
      </c>
      <c r="B598" s="8" t="s">
        <v>404</v>
      </c>
      <c r="C598" s="8" t="s">
        <v>405</v>
      </c>
      <c r="D598" s="26" t="n">
        <v>0</v>
      </c>
    </row>
    <row r="599" customFormat="false" ht="15" hidden="false" customHeight="true" outlineLevel="0" collapsed="false">
      <c r="A599" s="8" t="s">
        <v>1123</v>
      </c>
      <c r="B599" s="8" t="s">
        <v>125</v>
      </c>
      <c r="C599" s="8" t="s">
        <v>406</v>
      </c>
      <c r="D599" s="26" t="n">
        <v>0</v>
      </c>
    </row>
    <row r="600" customFormat="false" ht="15" hidden="false" customHeight="true" outlineLevel="0" collapsed="false">
      <c r="A600" s="8" t="s">
        <v>1123</v>
      </c>
      <c r="B600" s="8" t="s">
        <v>110</v>
      </c>
      <c r="C600" s="8" t="s">
        <v>407</v>
      </c>
      <c r="D600" s="26" t="n">
        <v>0</v>
      </c>
    </row>
    <row r="601" customFormat="false" ht="15" hidden="false" customHeight="true" outlineLevel="0" collapsed="false">
      <c r="A601" s="8" t="s">
        <v>1123</v>
      </c>
      <c r="B601" s="8" t="s">
        <v>129</v>
      </c>
      <c r="C601" s="8" t="s">
        <v>408</v>
      </c>
      <c r="D601" s="26" t="n">
        <v>0</v>
      </c>
    </row>
    <row r="602" customFormat="false" ht="15" hidden="false" customHeight="true" outlineLevel="0" collapsed="false">
      <c r="A602" s="8" t="s">
        <v>1123</v>
      </c>
      <c r="B602" s="8" t="s">
        <v>129</v>
      </c>
      <c r="C602" s="8" t="s">
        <v>409</v>
      </c>
      <c r="D602" s="26" t="n">
        <v>0</v>
      </c>
    </row>
    <row r="603" customFormat="false" ht="15" hidden="false" customHeight="true" outlineLevel="0" collapsed="false">
      <c r="A603" s="8" t="s">
        <v>1123</v>
      </c>
      <c r="B603" s="8" t="s">
        <v>129</v>
      </c>
      <c r="C603" s="8" t="s">
        <v>410</v>
      </c>
      <c r="D603" s="26" t="n">
        <v>0</v>
      </c>
    </row>
    <row r="604" customFormat="false" ht="15" hidden="false" customHeight="true" outlineLevel="0" collapsed="false">
      <c r="A604" s="8" t="s">
        <v>1123</v>
      </c>
      <c r="B604" s="8" t="s">
        <v>148</v>
      </c>
      <c r="C604" s="8" t="s">
        <v>411</v>
      </c>
      <c r="D604" s="26" t="n">
        <v>0</v>
      </c>
    </row>
    <row r="605" customFormat="false" ht="15" hidden="false" customHeight="true" outlineLevel="0" collapsed="false">
      <c r="A605" s="8" t="s">
        <v>1123</v>
      </c>
      <c r="B605" s="8" t="s">
        <v>148</v>
      </c>
      <c r="C605" s="8" t="s">
        <v>412</v>
      </c>
      <c r="D605" s="26" t="n">
        <v>0</v>
      </c>
    </row>
    <row r="606" customFormat="false" ht="15" hidden="false" customHeight="true" outlineLevel="0" collapsed="false">
      <c r="A606" s="8" t="s">
        <v>1123</v>
      </c>
      <c r="B606" s="8" t="s">
        <v>153</v>
      </c>
      <c r="C606" s="8" t="s">
        <v>413</v>
      </c>
      <c r="D606" s="26" t="n">
        <v>0</v>
      </c>
    </row>
    <row r="607" customFormat="false" ht="15" hidden="false" customHeight="true" outlineLevel="0" collapsed="false">
      <c r="A607" s="8" t="s">
        <v>1123</v>
      </c>
      <c r="B607" s="8" t="s">
        <v>414</v>
      </c>
      <c r="C607" s="8" t="s">
        <v>415</v>
      </c>
      <c r="D607" s="26" t="n">
        <v>0</v>
      </c>
    </row>
    <row r="608" customFormat="false" ht="15" hidden="false" customHeight="true" outlineLevel="0" collapsed="false">
      <c r="A608" s="8" t="s">
        <v>1123</v>
      </c>
      <c r="B608" s="8" t="s">
        <v>414</v>
      </c>
      <c r="C608" s="8" t="s">
        <v>416</v>
      </c>
      <c r="D608" s="26" t="n">
        <v>0</v>
      </c>
    </row>
    <row r="609" customFormat="false" ht="15" hidden="false" customHeight="true" outlineLevel="0" collapsed="false">
      <c r="A609" s="8" t="s">
        <v>1123</v>
      </c>
      <c r="B609" s="8" t="s">
        <v>414</v>
      </c>
      <c r="C609" s="8" t="s">
        <v>417</v>
      </c>
      <c r="D609" s="26" t="n">
        <v>0</v>
      </c>
    </row>
    <row r="610" customFormat="false" ht="15" hidden="false" customHeight="true" outlineLevel="0" collapsed="false">
      <c r="A610" s="8" t="s">
        <v>1123</v>
      </c>
      <c r="B610" s="8" t="s">
        <v>418</v>
      </c>
      <c r="C610" s="8" t="s">
        <v>419</v>
      </c>
      <c r="D610" s="26" t="n">
        <v>0</v>
      </c>
    </row>
    <row r="611" customFormat="false" ht="15" hidden="false" customHeight="true" outlineLevel="0" collapsed="false">
      <c r="A611" s="8" t="s">
        <v>1123</v>
      </c>
      <c r="B611" s="8" t="s">
        <v>133</v>
      </c>
      <c r="C611" s="8" t="s">
        <v>408</v>
      </c>
      <c r="D611" s="26" t="n">
        <v>0</v>
      </c>
    </row>
    <row r="612" customFormat="false" ht="15" hidden="false" customHeight="true" outlineLevel="0" collapsed="false">
      <c r="A612" s="8" t="s">
        <v>1123</v>
      </c>
      <c r="B612" s="8" t="s">
        <v>133</v>
      </c>
      <c r="C612" s="8" t="s">
        <v>420</v>
      </c>
      <c r="D612" s="26" t="n">
        <v>0</v>
      </c>
    </row>
    <row r="613" customFormat="false" ht="15" hidden="false" customHeight="true" outlineLevel="0" collapsed="false">
      <c r="A613" s="8" t="s">
        <v>1123</v>
      </c>
      <c r="B613" s="8" t="s">
        <v>133</v>
      </c>
      <c r="C613" s="8" t="s">
        <v>421</v>
      </c>
      <c r="D613" s="26" t="n">
        <v>0</v>
      </c>
    </row>
    <row r="614" customFormat="false" ht="15" hidden="false" customHeight="true" outlineLevel="0" collapsed="false">
      <c r="A614" s="8" t="s">
        <v>1123</v>
      </c>
      <c r="B614" s="8" t="s">
        <v>422</v>
      </c>
      <c r="C614" s="8" t="s">
        <v>423</v>
      </c>
      <c r="D614" s="26" t="n">
        <v>0</v>
      </c>
    </row>
    <row r="615" customFormat="false" ht="15" hidden="false" customHeight="true" outlineLevel="0" collapsed="false">
      <c r="A615" s="8" t="s">
        <v>1123</v>
      </c>
      <c r="B615" s="8" t="s">
        <v>422</v>
      </c>
      <c r="C615" s="8" t="s">
        <v>424</v>
      </c>
      <c r="D615" s="26" t="n">
        <v>0</v>
      </c>
    </row>
    <row r="616" customFormat="false" ht="15" hidden="false" customHeight="true" outlineLevel="0" collapsed="false">
      <c r="A616" s="8" t="s">
        <v>1123</v>
      </c>
      <c r="B616" s="8" t="s">
        <v>422</v>
      </c>
      <c r="C616" s="8" t="s">
        <v>425</v>
      </c>
      <c r="D616" s="26" t="n">
        <v>0</v>
      </c>
    </row>
    <row r="617" customFormat="false" ht="15" hidden="false" customHeight="true" outlineLevel="0" collapsed="false">
      <c r="A617" s="8" t="s">
        <v>1123</v>
      </c>
      <c r="B617" s="8" t="s">
        <v>122</v>
      </c>
      <c r="C617" s="8" t="s">
        <v>426</v>
      </c>
      <c r="D617" s="26" t="n">
        <v>0</v>
      </c>
    </row>
    <row r="618" customFormat="false" ht="15" hidden="false" customHeight="true" outlineLevel="0" collapsed="false">
      <c r="A618" s="8" t="s">
        <v>1123</v>
      </c>
      <c r="B618" s="8" t="s">
        <v>122</v>
      </c>
      <c r="C618" s="8" t="s">
        <v>427</v>
      </c>
      <c r="D618" s="26" t="n">
        <v>0</v>
      </c>
    </row>
    <row r="619" customFormat="false" ht="15" hidden="false" customHeight="true" outlineLevel="0" collapsed="false">
      <c r="A619" s="8" t="s">
        <v>1123</v>
      </c>
      <c r="B619" s="8" t="s">
        <v>122</v>
      </c>
      <c r="C619" s="8" t="s">
        <v>428</v>
      </c>
      <c r="D619" s="26" t="n">
        <v>0</v>
      </c>
    </row>
    <row r="620" customFormat="false" ht="15" hidden="false" customHeight="true" outlineLevel="0" collapsed="false">
      <c r="A620" s="8" t="s">
        <v>1123</v>
      </c>
      <c r="B620" s="8" t="s">
        <v>429</v>
      </c>
      <c r="C620" s="8" t="s">
        <v>430</v>
      </c>
      <c r="D620" s="26" t="n">
        <v>0</v>
      </c>
    </row>
    <row r="621" customFormat="false" ht="15" hidden="false" customHeight="true" outlineLevel="0" collapsed="false">
      <c r="A621" s="8" t="s">
        <v>1123</v>
      </c>
      <c r="B621" s="8" t="s">
        <v>431</v>
      </c>
      <c r="C621" s="8" t="s">
        <v>432</v>
      </c>
      <c r="D621" s="26" t="n">
        <v>0</v>
      </c>
    </row>
    <row r="622" customFormat="false" ht="15" hidden="false" customHeight="true" outlineLevel="0" collapsed="false">
      <c r="A622" s="8" t="s">
        <v>1123</v>
      </c>
      <c r="B622" s="8" t="s">
        <v>431</v>
      </c>
      <c r="C622" s="8" t="s">
        <v>433</v>
      </c>
      <c r="D622" s="26" t="n">
        <v>0</v>
      </c>
    </row>
    <row r="623" customFormat="false" ht="15" hidden="false" customHeight="true" outlineLevel="0" collapsed="false">
      <c r="A623" s="8" t="s">
        <v>1123</v>
      </c>
      <c r="B623" s="8" t="s">
        <v>431</v>
      </c>
      <c r="C623" s="8" t="s">
        <v>434</v>
      </c>
      <c r="D623" s="26" t="n">
        <v>0</v>
      </c>
    </row>
    <row r="624" customFormat="false" ht="15" hidden="false" customHeight="true" outlineLevel="0" collapsed="false">
      <c r="A624" s="8" t="s">
        <v>1123</v>
      </c>
      <c r="B624" s="8" t="s">
        <v>431</v>
      </c>
      <c r="C624" s="8" t="s">
        <v>435</v>
      </c>
      <c r="D624" s="26" t="n">
        <v>0</v>
      </c>
    </row>
    <row r="625" customFormat="false" ht="15" hidden="false" customHeight="true" outlineLevel="0" collapsed="false">
      <c r="A625" s="8" t="s">
        <v>1123</v>
      </c>
      <c r="B625" s="8" t="s">
        <v>436</v>
      </c>
      <c r="C625" s="8" t="s">
        <v>437</v>
      </c>
      <c r="D625" s="26" t="n">
        <v>0</v>
      </c>
    </row>
    <row r="626" customFormat="false" ht="15" hidden="false" customHeight="true" outlineLevel="0" collapsed="false">
      <c r="A626" s="8" t="s">
        <v>1123</v>
      </c>
      <c r="B626" s="8" t="s">
        <v>436</v>
      </c>
      <c r="C626" s="8" t="s">
        <v>438</v>
      </c>
      <c r="D626" s="26" t="n">
        <v>0</v>
      </c>
    </row>
    <row r="627" customFormat="false" ht="15" hidden="false" customHeight="true" outlineLevel="0" collapsed="false">
      <c r="A627" s="8" t="s">
        <v>1123</v>
      </c>
      <c r="B627" s="8" t="s">
        <v>436</v>
      </c>
      <c r="C627" s="8" t="s">
        <v>439</v>
      </c>
      <c r="D627" s="26" t="n">
        <v>0</v>
      </c>
    </row>
    <row r="628" customFormat="false" ht="15" hidden="false" customHeight="true" outlineLevel="0" collapsed="false">
      <c r="A628" s="8" t="s">
        <v>1123</v>
      </c>
      <c r="B628" s="8" t="s">
        <v>436</v>
      </c>
      <c r="C628" s="8" t="s">
        <v>440</v>
      </c>
      <c r="D628" s="26" t="n">
        <v>0</v>
      </c>
    </row>
    <row r="629" customFormat="false" ht="15" hidden="false" customHeight="true" outlineLevel="0" collapsed="false">
      <c r="A629" s="8" t="s">
        <v>1123</v>
      </c>
      <c r="B629" s="8" t="s">
        <v>436</v>
      </c>
      <c r="C629" s="8" t="s">
        <v>441</v>
      </c>
      <c r="D629" s="26" t="n">
        <v>0</v>
      </c>
    </row>
    <row r="630" customFormat="false" ht="15" hidden="false" customHeight="true" outlineLevel="0" collapsed="false">
      <c r="A630" s="8" t="s">
        <v>1123</v>
      </c>
      <c r="B630" s="8" t="s">
        <v>73</v>
      </c>
      <c r="C630" s="8" t="s">
        <v>442</v>
      </c>
      <c r="D630" s="26" t="n">
        <v>0</v>
      </c>
    </row>
    <row r="631" customFormat="false" ht="15" hidden="false" customHeight="true" outlineLevel="0" collapsed="false">
      <c r="A631" s="8" t="s">
        <v>1123</v>
      </c>
      <c r="B631" s="8" t="s">
        <v>73</v>
      </c>
      <c r="C631" s="8" t="s">
        <v>443</v>
      </c>
      <c r="D631" s="26" t="n">
        <v>0</v>
      </c>
    </row>
    <row r="632" customFormat="false" ht="15" hidden="false" customHeight="true" outlineLevel="0" collapsed="false">
      <c r="A632" s="8" t="s">
        <v>1123</v>
      </c>
      <c r="B632" s="8" t="s">
        <v>73</v>
      </c>
      <c r="C632" s="8" t="s">
        <v>444</v>
      </c>
      <c r="D632" s="26" t="n">
        <v>0</v>
      </c>
    </row>
    <row r="633" customFormat="false" ht="15" hidden="false" customHeight="true" outlineLevel="0" collapsed="false">
      <c r="A633" s="8" t="s">
        <v>1123</v>
      </c>
      <c r="B633" s="8" t="s">
        <v>73</v>
      </c>
      <c r="C633" s="8" t="s">
        <v>445</v>
      </c>
      <c r="D633" s="26" t="n">
        <v>0</v>
      </c>
    </row>
    <row r="634" customFormat="false" ht="15" hidden="false" customHeight="true" outlineLevel="0" collapsed="false">
      <c r="A634" s="8" t="s">
        <v>1123</v>
      </c>
      <c r="B634" s="8" t="s">
        <v>447</v>
      </c>
      <c r="C634" s="8" t="s">
        <v>448</v>
      </c>
      <c r="D634" s="26" t="n">
        <v>0</v>
      </c>
    </row>
    <row r="635" customFormat="false" ht="15" hidden="false" customHeight="true" outlineLevel="0" collapsed="false">
      <c r="A635" s="8" t="s">
        <v>1123</v>
      </c>
      <c r="B635" s="8" t="s">
        <v>449</v>
      </c>
      <c r="C635" s="8" t="s">
        <v>450</v>
      </c>
      <c r="D635" s="26" t="n">
        <v>0</v>
      </c>
    </row>
    <row r="636" customFormat="false" ht="15" hidden="false" customHeight="true" outlineLevel="0" collapsed="false">
      <c r="A636" s="8" t="s">
        <v>1123</v>
      </c>
      <c r="B636" s="8" t="s">
        <v>449</v>
      </c>
      <c r="C636" s="8" t="s">
        <v>451</v>
      </c>
      <c r="D636" s="26" t="n">
        <v>0</v>
      </c>
    </row>
    <row r="637" customFormat="false" ht="15" hidden="false" customHeight="true" outlineLevel="0" collapsed="false">
      <c r="A637" s="8" t="s">
        <v>1123</v>
      </c>
      <c r="B637" s="8" t="s">
        <v>449</v>
      </c>
      <c r="C637" s="8" t="s">
        <v>452</v>
      </c>
      <c r="D637" s="26" t="n">
        <v>0</v>
      </c>
    </row>
    <row r="638" customFormat="false" ht="15" hidden="false" customHeight="true" outlineLevel="0" collapsed="false">
      <c r="A638" s="8" t="s">
        <v>1123</v>
      </c>
      <c r="B638" s="8" t="s">
        <v>449</v>
      </c>
      <c r="C638" s="8" t="s">
        <v>453</v>
      </c>
      <c r="D638" s="26" t="n">
        <v>0</v>
      </c>
    </row>
    <row r="639" customFormat="false" ht="15" hidden="false" customHeight="true" outlineLevel="0" collapsed="false">
      <c r="A639" s="8" t="s">
        <v>1123</v>
      </c>
      <c r="B639" s="8" t="s">
        <v>449</v>
      </c>
      <c r="C639" s="8" t="s">
        <v>454</v>
      </c>
      <c r="D639" s="26" t="n">
        <v>0</v>
      </c>
    </row>
    <row r="640" customFormat="false" ht="15" hidden="false" customHeight="true" outlineLevel="0" collapsed="false">
      <c r="A640" s="8" t="s">
        <v>1123</v>
      </c>
      <c r="B640" s="8" t="s">
        <v>59</v>
      </c>
      <c r="C640" s="8" t="s">
        <v>455</v>
      </c>
      <c r="D640" s="26" t="n">
        <v>0</v>
      </c>
    </row>
    <row r="641" customFormat="false" ht="15" hidden="false" customHeight="true" outlineLevel="0" collapsed="false">
      <c r="A641" s="8" t="s">
        <v>1123</v>
      </c>
      <c r="B641" s="8" t="s">
        <v>59</v>
      </c>
      <c r="C641" s="8" t="s">
        <v>456</v>
      </c>
      <c r="D641" s="26" t="n">
        <v>0</v>
      </c>
    </row>
    <row r="642" customFormat="false" ht="15" hidden="false" customHeight="true" outlineLevel="0" collapsed="false">
      <c r="A642" s="8" t="s">
        <v>1123</v>
      </c>
      <c r="B642" s="8" t="s">
        <v>59</v>
      </c>
      <c r="C642" s="8" t="s">
        <v>457</v>
      </c>
      <c r="D642" s="26" t="n">
        <v>0</v>
      </c>
    </row>
    <row r="643" customFormat="false" ht="15" hidden="false" customHeight="true" outlineLevel="0" collapsed="false">
      <c r="A643" s="8" t="s">
        <v>1123</v>
      </c>
      <c r="B643" s="8" t="s">
        <v>59</v>
      </c>
      <c r="C643" s="8" t="s">
        <v>458</v>
      </c>
      <c r="D643" s="26" t="n">
        <v>0</v>
      </c>
    </row>
    <row r="644" customFormat="false" ht="15" hidden="false" customHeight="true" outlineLevel="0" collapsed="false">
      <c r="A644" s="8" t="s">
        <v>1123</v>
      </c>
      <c r="B644" s="8" t="s">
        <v>59</v>
      </c>
      <c r="C644" s="8" t="s">
        <v>459</v>
      </c>
      <c r="D644" s="26" t="n">
        <v>0</v>
      </c>
    </row>
    <row r="645" customFormat="false" ht="15" hidden="false" customHeight="true" outlineLevel="0" collapsed="false">
      <c r="A645" s="8" t="s">
        <v>1123</v>
      </c>
      <c r="B645" s="8" t="s">
        <v>460</v>
      </c>
      <c r="C645" s="8" t="s">
        <v>461</v>
      </c>
      <c r="D645" s="26" t="n">
        <v>0</v>
      </c>
    </row>
    <row r="646" customFormat="false" ht="15" hidden="false" customHeight="true" outlineLevel="0" collapsed="false">
      <c r="A646" s="8" t="s">
        <v>1123</v>
      </c>
      <c r="B646" s="8" t="s">
        <v>462</v>
      </c>
      <c r="C646" s="8" t="s">
        <v>463</v>
      </c>
      <c r="D646" s="26" t="n">
        <v>0</v>
      </c>
    </row>
    <row r="647" customFormat="false" ht="15" hidden="false" customHeight="true" outlineLevel="0" collapsed="false">
      <c r="A647" s="8" t="s">
        <v>1123</v>
      </c>
      <c r="B647" s="8" t="s">
        <v>462</v>
      </c>
      <c r="C647" s="8" t="s">
        <v>464</v>
      </c>
      <c r="D647" s="26" t="n">
        <v>0</v>
      </c>
    </row>
    <row r="648" customFormat="false" ht="15" hidden="false" customHeight="true" outlineLevel="0" collapsed="false">
      <c r="A648" s="8" t="s">
        <v>1123</v>
      </c>
      <c r="B648" s="8" t="s">
        <v>465</v>
      </c>
      <c r="C648" s="8" t="s">
        <v>466</v>
      </c>
      <c r="D648" s="26" t="n">
        <v>0</v>
      </c>
    </row>
    <row r="649" customFormat="false" ht="15" hidden="false" customHeight="true" outlineLevel="0" collapsed="false">
      <c r="A649" s="8" t="s">
        <v>1123</v>
      </c>
      <c r="B649" s="8" t="s">
        <v>465</v>
      </c>
      <c r="C649" s="8" t="s">
        <v>467</v>
      </c>
      <c r="D649" s="26" t="n">
        <v>0</v>
      </c>
    </row>
    <row r="650" customFormat="false" ht="15" hidden="false" customHeight="true" outlineLevel="0" collapsed="false">
      <c r="A650" s="8" t="s">
        <v>1123</v>
      </c>
      <c r="B650" s="8" t="s">
        <v>465</v>
      </c>
      <c r="C650" s="8" t="s">
        <v>468</v>
      </c>
      <c r="D650" s="26" t="n">
        <v>0</v>
      </c>
    </row>
    <row r="651" customFormat="false" ht="15" hidden="false" customHeight="true" outlineLevel="0" collapsed="false">
      <c r="A651" s="8" t="s">
        <v>1123</v>
      </c>
      <c r="B651" s="8" t="s">
        <v>465</v>
      </c>
      <c r="C651" s="8" t="s">
        <v>469</v>
      </c>
      <c r="D651" s="26" t="n">
        <v>0</v>
      </c>
    </row>
    <row r="652" customFormat="false" ht="15" hidden="false" customHeight="true" outlineLevel="0" collapsed="false">
      <c r="A652" s="8" t="s">
        <v>1123</v>
      </c>
      <c r="B652" s="8" t="s">
        <v>465</v>
      </c>
      <c r="C652" s="8" t="s">
        <v>470</v>
      </c>
      <c r="D652" s="26" t="n">
        <v>0</v>
      </c>
    </row>
    <row r="653" customFormat="false" ht="15" hidden="false" customHeight="true" outlineLevel="0" collapsed="false">
      <c r="A653" s="8" t="s">
        <v>1123</v>
      </c>
      <c r="B653" s="8" t="s">
        <v>56</v>
      </c>
      <c r="C653" s="8" t="s">
        <v>471</v>
      </c>
      <c r="D653" s="26" t="n">
        <v>0</v>
      </c>
    </row>
    <row r="654" customFormat="false" ht="15" hidden="false" customHeight="true" outlineLevel="0" collapsed="false">
      <c r="A654" s="8" t="s">
        <v>1123</v>
      </c>
      <c r="B654" s="8" t="s">
        <v>56</v>
      </c>
      <c r="C654" s="8" t="s">
        <v>472</v>
      </c>
      <c r="D654" s="26" t="n">
        <v>0</v>
      </c>
    </row>
    <row r="655" customFormat="false" ht="15" hidden="false" customHeight="true" outlineLevel="0" collapsed="false">
      <c r="A655" s="8" t="s">
        <v>1123</v>
      </c>
      <c r="B655" s="8" t="s">
        <v>56</v>
      </c>
      <c r="C655" s="8" t="s">
        <v>473</v>
      </c>
      <c r="D655" s="26" t="n">
        <v>0</v>
      </c>
    </row>
    <row r="656" customFormat="false" ht="15" hidden="false" customHeight="true" outlineLevel="0" collapsed="false">
      <c r="A656" s="8" t="s">
        <v>1123</v>
      </c>
      <c r="B656" s="8" t="s">
        <v>56</v>
      </c>
      <c r="C656" s="8" t="s">
        <v>474</v>
      </c>
      <c r="D656" s="26" t="n">
        <v>0</v>
      </c>
    </row>
    <row r="657" customFormat="false" ht="15" hidden="false" customHeight="true" outlineLevel="0" collapsed="false">
      <c r="A657" s="8" t="s">
        <v>1123</v>
      </c>
      <c r="B657" s="8" t="s">
        <v>475</v>
      </c>
      <c r="C657" s="8" t="s">
        <v>476</v>
      </c>
      <c r="D657" s="26" t="n">
        <v>0</v>
      </c>
    </row>
    <row r="658" customFormat="false" ht="15" hidden="false" customHeight="true" outlineLevel="0" collapsed="false">
      <c r="A658" s="8" t="s">
        <v>1123</v>
      </c>
      <c r="B658" s="8" t="s">
        <v>475</v>
      </c>
      <c r="C658" s="8" t="s">
        <v>477</v>
      </c>
      <c r="D658" s="26" t="n">
        <v>0</v>
      </c>
    </row>
    <row r="659" customFormat="false" ht="15" hidden="false" customHeight="true" outlineLevel="0" collapsed="false">
      <c r="A659" s="8" t="s">
        <v>1123</v>
      </c>
      <c r="B659" s="8" t="s">
        <v>475</v>
      </c>
      <c r="C659" s="8" t="s">
        <v>478</v>
      </c>
      <c r="D659" s="26" t="n">
        <v>0</v>
      </c>
    </row>
    <row r="660" customFormat="false" ht="15" hidden="false" customHeight="true" outlineLevel="0" collapsed="false">
      <c r="A660" s="8" t="s">
        <v>1123</v>
      </c>
      <c r="B660" s="8" t="s">
        <v>475</v>
      </c>
      <c r="C660" s="8" t="s">
        <v>479</v>
      </c>
      <c r="D660" s="26" t="n">
        <v>0</v>
      </c>
    </row>
    <row r="661" customFormat="false" ht="15" hidden="false" customHeight="true" outlineLevel="0" collapsed="false">
      <c r="A661" s="8" t="s">
        <v>1123</v>
      </c>
      <c r="B661" s="8" t="s">
        <v>480</v>
      </c>
      <c r="C661" s="8" t="s">
        <v>481</v>
      </c>
      <c r="D661" s="26" t="n">
        <v>0</v>
      </c>
    </row>
    <row r="662" customFormat="false" ht="15" hidden="false" customHeight="true" outlineLevel="0" collapsed="false">
      <c r="A662" s="8" t="s">
        <v>1123</v>
      </c>
      <c r="B662" s="8" t="s">
        <v>101</v>
      </c>
      <c r="C662" s="8" t="s">
        <v>482</v>
      </c>
      <c r="D662" s="26" t="n">
        <v>0</v>
      </c>
    </row>
    <row r="663" customFormat="false" ht="15" hidden="false" customHeight="true" outlineLevel="0" collapsed="false">
      <c r="A663" s="8" t="s">
        <v>1123</v>
      </c>
      <c r="B663" s="8" t="s">
        <v>101</v>
      </c>
      <c r="C663" s="8" t="s">
        <v>483</v>
      </c>
      <c r="D663" s="26" t="n">
        <v>0</v>
      </c>
    </row>
    <row r="664" customFormat="false" ht="15" hidden="false" customHeight="true" outlineLevel="0" collapsed="false">
      <c r="A664" s="8" t="s">
        <v>1123</v>
      </c>
      <c r="B664" s="8" t="s">
        <v>101</v>
      </c>
      <c r="C664" s="8" t="s">
        <v>484</v>
      </c>
      <c r="D664" s="26" t="n">
        <v>0</v>
      </c>
    </row>
    <row r="665" customFormat="false" ht="15" hidden="false" customHeight="true" outlineLevel="0" collapsed="false">
      <c r="A665" s="8" t="s">
        <v>1123</v>
      </c>
      <c r="B665" s="8" t="s">
        <v>101</v>
      </c>
      <c r="C665" s="8" t="s">
        <v>485</v>
      </c>
      <c r="D665" s="26" t="n">
        <v>0</v>
      </c>
    </row>
    <row r="666" customFormat="false" ht="15" hidden="false" customHeight="true" outlineLevel="0" collapsed="false">
      <c r="A666" s="8" t="s">
        <v>1123</v>
      </c>
      <c r="B666" s="8" t="s">
        <v>103</v>
      </c>
      <c r="C666" s="8" t="s">
        <v>486</v>
      </c>
      <c r="D666" s="26" t="n">
        <v>0</v>
      </c>
    </row>
    <row r="667" customFormat="false" ht="15" hidden="false" customHeight="true" outlineLevel="0" collapsed="false">
      <c r="A667" s="8" t="s">
        <v>1123</v>
      </c>
      <c r="B667" s="8" t="s">
        <v>103</v>
      </c>
      <c r="C667" s="8" t="s">
        <v>487</v>
      </c>
      <c r="D667" s="26" t="n">
        <v>0</v>
      </c>
    </row>
    <row r="668" customFormat="false" ht="15" hidden="false" customHeight="true" outlineLevel="0" collapsed="false">
      <c r="A668" s="8" t="s">
        <v>1123</v>
      </c>
      <c r="B668" s="8" t="s">
        <v>97</v>
      </c>
      <c r="C668" s="8" t="s">
        <v>488</v>
      </c>
      <c r="D668" s="26" t="n">
        <v>0</v>
      </c>
    </row>
    <row r="669" customFormat="false" ht="15" hidden="false" customHeight="true" outlineLevel="0" collapsed="false">
      <c r="A669" s="8" t="s">
        <v>1123</v>
      </c>
      <c r="B669" s="8" t="s">
        <v>97</v>
      </c>
      <c r="C669" s="8" t="s">
        <v>489</v>
      </c>
      <c r="D669" s="26" t="n">
        <v>0</v>
      </c>
    </row>
    <row r="670" customFormat="false" ht="15" hidden="false" customHeight="true" outlineLevel="0" collapsed="false">
      <c r="A670" s="8" t="s">
        <v>1123</v>
      </c>
      <c r="B670" s="8" t="s">
        <v>97</v>
      </c>
      <c r="C670" s="8" t="s">
        <v>490</v>
      </c>
      <c r="D670" s="26" t="n">
        <v>0</v>
      </c>
    </row>
    <row r="671" customFormat="false" ht="15" hidden="false" customHeight="true" outlineLevel="0" collapsed="false">
      <c r="A671" s="8" t="s">
        <v>1123</v>
      </c>
      <c r="B671" s="8" t="s">
        <v>97</v>
      </c>
      <c r="C671" s="8" t="s">
        <v>491</v>
      </c>
      <c r="D671" s="26" t="n">
        <v>0</v>
      </c>
    </row>
    <row r="672" customFormat="false" ht="15" hidden="false" customHeight="true" outlineLevel="0" collapsed="false">
      <c r="A672" s="8" t="s">
        <v>1123</v>
      </c>
      <c r="B672" s="8" t="s">
        <v>492</v>
      </c>
      <c r="C672" s="8" t="s">
        <v>493</v>
      </c>
      <c r="D672" s="26" t="n">
        <v>0</v>
      </c>
    </row>
    <row r="673" customFormat="false" ht="15" hidden="false" customHeight="true" outlineLevel="0" collapsed="false">
      <c r="A673" s="8" t="s">
        <v>1123</v>
      </c>
      <c r="B673" s="8" t="s">
        <v>494</v>
      </c>
      <c r="C673" s="8" t="s">
        <v>495</v>
      </c>
      <c r="D673" s="26" t="n">
        <v>0</v>
      </c>
    </row>
    <row r="674" customFormat="false" ht="15" hidden="false" customHeight="true" outlineLevel="0" collapsed="false">
      <c r="A674" s="8" t="s">
        <v>1123</v>
      </c>
      <c r="B674" s="8" t="s">
        <v>1124</v>
      </c>
      <c r="C674" s="8" t="s">
        <v>493</v>
      </c>
      <c r="D674" s="26" t="n">
        <v>0</v>
      </c>
    </row>
    <row r="675" customFormat="false" ht="15" hidden="false" customHeight="true" outlineLevel="0" collapsed="false">
      <c r="A675" s="8" t="s">
        <v>1123</v>
      </c>
      <c r="B675" s="8" t="s">
        <v>496</v>
      </c>
      <c r="C675" s="8" t="s">
        <v>497</v>
      </c>
      <c r="D675" s="26" t="n">
        <v>0</v>
      </c>
    </row>
    <row r="676" customFormat="false" ht="15" hidden="false" customHeight="true" outlineLevel="0" collapsed="false">
      <c r="A676" s="8" t="s">
        <v>1123</v>
      </c>
      <c r="B676" s="8" t="s">
        <v>498</v>
      </c>
      <c r="C676" s="8" t="s">
        <v>499</v>
      </c>
      <c r="D676" s="26" t="n">
        <v>0</v>
      </c>
    </row>
    <row r="677" customFormat="false" ht="15" hidden="false" customHeight="true" outlineLevel="0" collapsed="false">
      <c r="A677" s="8" t="s">
        <v>1123</v>
      </c>
      <c r="B677" s="8" t="s">
        <v>498</v>
      </c>
      <c r="C677" s="8" t="s">
        <v>500</v>
      </c>
      <c r="D677" s="26" t="n">
        <v>0</v>
      </c>
    </row>
    <row r="678" customFormat="false" ht="15" hidden="false" customHeight="true" outlineLevel="0" collapsed="false">
      <c r="A678" s="8" t="s">
        <v>1123</v>
      </c>
      <c r="B678" s="8" t="s">
        <v>498</v>
      </c>
      <c r="C678" s="8" t="s">
        <v>501</v>
      </c>
      <c r="D678" s="26" t="n">
        <v>0</v>
      </c>
    </row>
    <row r="679" customFormat="false" ht="15" hidden="false" customHeight="true" outlineLevel="0" collapsed="false">
      <c r="A679" s="8" t="s">
        <v>1123</v>
      </c>
      <c r="B679" s="8" t="s">
        <v>498</v>
      </c>
      <c r="C679" s="8" t="s">
        <v>502</v>
      </c>
      <c r="D679" s="26" t="n">
        <v>0</v>
      </c>
    </row>
    <row r="680" customFormat="false" ht="15" hidden="false" customHeight="true" outlineLevel="0" collapsed="false">
      <c r="A680" s="8" t="s">
        <v>1123</v>
      </c>
      <c r="B680" s="8" t="s">
        <v>498</v>
      </c>
      <c r="C680" s="8" t="s">
        <v>503</v>
      </c>
      <c r="D680" s="26" t="n">
        <v>0</v>
      </c>
    </row>
    <row r="681" customFormat="false" ht="15" hidden="false" customHeight="true" outlineLevel="0" collapsed="false">
      <c r="A681" s="8" t="s">
        <v>1123</v>
      </c>
      <c r="B681" s="8" t="s">
        <v>504</v>
      </c>
      <c r="C681" s="8" t="s">
        <v>505</v>
      </c>
      <c r="D681" s="26" t="n">
        <v>0</v>
      </c>
    </row>
    <row r="682" customFormat="false" ht="15" hidden="false" customHeight="true" outlineLevel="0" collapsed="false">
      <c r="A682" s="8" t="s">
        <v>1123</v>
      </c>
      <c r="B682" s="8" t="s">
        <v>504</v>
      </c>
      <c r="C682" s="8" t="s">
        <v>506</v>
      </c>
      <c r="D682" s="26" t="n">
        <v>0</v>
      </c>
    </row>
    <row r="683" customFormat="false" ht="15" hidden="false" customHeight="true" outlineLevel="0" collapsed="false">
      <c r="A683" s="8" t="s">
        <v>1123</v>
      </c>
      <c r="B683" s="8" t="s">
        <v>507</v>
      </c>
      <c r="C683" s="8" t="s">
        <v>508</v>
      </c>
      <c r="D683" s="26" t="n">
        <v>0</v>
      </c>
    </row>
    <row r="684" customFormat="false" ht="15" hidden="false" customHeight="true" outlineLevel="0" collapsed="false">
      <c r="A684" s="8" t="s">
        <v>1123</v>
      </c>
      <c r="B684" s="8" t="s">
        <v>507</v>
      </c>
      <c r="C684" s="8" t="s">
        <v>509</v>
      </c>
      <c r="D684" s="26" t="n">
        <v>0</v>
      </c>
    </row>
    <row r="685" customFormat="false" ht="15" hidden="false" customHeight="true" outlineLevel="0" collapsed="false">
      <c r="A685" s="8" t="s">
        <v>1123</v>
      </c>
      <c r="B685" s="8" t="s">
        <v>510</v>
      </c>
      <c r="C685" s="8" t="s">
        <v>511</v>
      </c>
      <c r="D685" s="26" t="n">
        <v>0</v>
      </c>
    </row>
    <row r="686" customFormat="false" ht="15" hidden="false" customHeight="true" outlineLevel="0" collapsed="false">
      <c r="A686" s="8" t="s">
        <v>1123</v>
      </c>
      <c r="B686" s="8" t="s">
        <v>512</v>
      </c>
      <c r="C686" s="8" t="s">
        <v>511</v>
      </c>
      <c r="D686" s="26" t="n">
        <v>0</v>
      </c>
    </row>
    <row r="687" customFormat="false" ht="15" hidden="false" customHeight="true" outlineLevel="0" collapsed="false">
      <c r="A687" s="8" t="s">
        <v>1123</v>
      </c>
      <c r="B687" s="8" t="s">
        <v>513</v>
      </c>
      <c r="C687" s="8" t="s">
        <v>514</v>
      </c>
      <c r="D687" s="26" t="n">
        <v>0</v>
      </c>
    </row>
    <row r="688" customFormat="false" ht="15" hidden="false" customHeight="true" outlineLevel="0" collapsed="false">
      <c r="A688" s="8" t="s">
        <v>1123</v>
      </c>
      <c r="B688" s="8" t="s">
        <v>515</v>
      </c>
      <c r="C688" s="8" t="s">
        <v>516</v>
      </c>
      <c r="D688" s="26" t="n">
        <v>0</v>
      </c>
    </row>
    <row r="689" customFormat="false" ht="15" hidden="false" customHeight="true" outlineLevel="0" collapsed="false">
      <c r="A689" s="8" t="s">
        <v>1123</v>
      </c>
      <c r="B689" s="8" t="s">
        <v>517</v>
      </c>
      <c r="C689" s="8" t="s">
        <v>518</v>
      </c>
      <c r="D689" s="26" t="n">
        <v>0</v>
      </c>
    </row>
    <row r="690" customFormat="false" ht="15" hidden="false" customHeight="true" outlineLevel="0" collapsed="false">
      <c r="A690" s="8" t="s">
        <v>1123</v>
      </c>
      <c r="B690" s="8" t="s">
        <v>517</v>
      </c>
      <c r="C690" s="8" t="s">
        <v>519</v>
      </c>
      <c r="D690" s="26" t="n">
        <v>0</v>
      </c>
    </row>
    <row r="691" customFormat="false" ht="15" hidden="false" customHeight="true" outlineLevel="0" collapsed="false">
      <c r="A691" s="8" t="s">
        <v>1123</v>
      </c>
      <c r="B691" s="8" t="s">
        <v>517</v>
      </c>
      <c r="C691" s="8" t="s">
        <v>520</v>
      </c>
      <c r="D691" s="26" t="n">
        <v>0</v>
      </c>
    </row>
    <row r="692" customFormat="false" ht="15" hidden="false" customHeight="true" outlineLevel="0" collapsed="false">
      <c r="A692" s="8" t="s">
        <v>1123</v>
      </c>
      <c r="B692" s="8" t="s">
        <v>517</v>
      </c>
      <c r="C692" s="8" t="s">
        <v>521</v>
      </c>
      <c r="D692" s="26" t="n">
        <v>0</v>
      </c>
    </row>
    <row r="693" customFormat="false" ht="15" hidden="false" customHeight="true" outlineLevel="0" collapsed="false">
      <c r="A693" s="8" t="s">
        <v>1123</v>
      </c>
      <c r="B693" s="8" t="s">
        <v>522</v>
      </c>
      <c r="C693" s="8" t="s">
        <v>523</v>
      </c>
      <c r="D693" s="26" t="n">
        <v>0</v>
      </c>
    </row>
    <row r="694" customFormat="false" ht="15" hidden="false" customHeight="true" outlineLevel="0" collapsed="false">
      <c r="A694" s="8" t="s">
        <v>1123</v>
      </c>
      <c r="B694" s="8" t="s">
        <v>522</v>
      </c>
      <c r="C694" s="8" t="s">
        <v>524</v>
      </c>
      <c r="D694" s="26" t="n">
        <v>0</v>
      </c>
    </row>
    <row r="695" customFormat="false" ht="15" hidden="false" customHeight="true" outlineLevel="0" collapsed="false">
      <c r="A695" s="8" t="s">
        <v>1123</v>
      </c>
      <c r="B695" s="8" t="s">
        <v>525</v>
      </c>
      <c r="C695" s="8" t="s">
        <v>526</v>
      </c>
      <c r="D695" s="26" t="n">
        <v>0</v>
      </c>
    </row>
    <row r="696" customFormat="false" ht="15" hidden="false" customHeight="true" outlineLevel="0" collapsed="false">
      <c r="A696" s="8" t="s">
        <v>1123</v>
      </c>
      <c r="B696" s="8" t="s">
        <v>527</v>
      </c>
      <c r="C696" s="8" t="s">
        <v>528</v>
      </c>
      <c r="D696" s="26" t="n">
        <v>0</v>
      </c>
    </row>
    <row r="697" customFormat="false" ht="15" hidden="false" customHeight="true" outlineLevel="0" collapsed="false">
      <c r="A697" s="8" t="s">
        <v>1123</v>
      </c>
      <c r="B697" s="8" t="s">
        <v>525</v>
      </c>
      <c r="C697" s="8" t="s">
        <v>529</v>
      </c>
      <c r="D697" s="26" t="n">
        <v>0</v>
      </c>
    </row>
    <row r="698" customFormat="false" ht="15" hidden="false" customHeight="true" outlineLevel="0" collapsed="false">
      <c r="A698" s="8" t="s">
        <v>1123</v>
      </c>
      <c r="B698" s="8" t="s">
        <v>517</v>
      </c>
      <c r="C698" s="8" t="s">
        <v>530</v>
      </c>
      <c r="D698" s="26" t="n">
        <v>0</v>
      </c>
    </row>
    <row r="699" customFormat="false" ht="15" hidden="false" customHeight="true" outlineLevel="0" collapsed="false">
      <c r="A699" s="8" t="s">
        <v>1123</v>
      </c>
      <c r="B699" s="8" t="s">
        <v>531</v>
      </c>
      <c r="C699" s="8" t="s">
        <v>532</v>
      </c>
      <c r="D699" s="26" t="n">
        <v>0</v>
      </c>
    </row>
    <row r="700" customFormat="false" ht="15" hidden="false" customHeight="true" outlineLevel="0" collapsed="false">
      <c r="A700" s="8" t="s">
        <v>1123</v>
      </c>
      <c r="B700" s="8" t="s">
        <v>531</v>
      </c>
      <c r="C700" s="8" t="s">
        <v>533</v>
      </c>
      <c r="D700" s="26" t="n">
        <v>0</v>
      </c>
    </row>
    <row r="701" customFormat="false" ht="15" hidden="false" customHeight="true" outlineLevel="0" collapsed="false">
      <c r="A701" s="8" t="s">
        <v>1123</v>
      </c>
      <c r="B701" s="8" t="s">
        <v>534</v>
      </c>
      <c r="C701" s="8" t="s">
        <v>535</v>
      </c>
      <c r="D701" s="26" t="n">
        <v>0</v>
      </c>
    </row>
    <row r="702" customFormat="false" ht="15" hidden="false" customHeight="true" outlineLevel="0" collapsed="false">
      <c r="A702" s="8" t="s">
        <v>1123</v>
      </c>
      <c r="B702" s="8" t="s">
        <v>536</v>
      </c>
      <c r="C702" s="8" t="s">
        <v>537</v>
      </c>
      <c r="D702" s="26" t="n">
        <v>0</v>
      </c>
    </row>
    <row r="703" customFormat="false" ht="15" hidden="false" customHeight="true" outlineLevel="0" collapsed="false">
      <c r="A703" s="8" t="s">
        <v>1123</v>
      </c>
      <c r="B703" s="8" t="s">
        <v>536</v>
      </c>
      <c r="C703" s="8" t="s">
        <v>538</v>
      </c>
      <c r="D703" s="26" t="n">
        <v>0</v>
      </c>
    </row>
    <row r="704" customFormat="false" ht="15" hidden="false" customHeight="true" outlineLevel="0" collapsed="false">
      <c r="A704" s="8" t="s">
        <v>1123</v>
      </c>
      <c r="B704" s="8" t="s">
        <v>539</v>
      </c>
      <c r="C704" s="8" t="s">
        <v>540</v>
      </c>
      <c r="D704" s="26" t="n">
        <v>0</v>
      </c>
    </row>
    <row r="705" customFormat="false" ht="15" hidden="false" customHeight="true" outlineLevel="0" collapsed="false">
      <c r="A705" s="8" t="s">
        <v>1123</v>
      </c>
      <c r="B705" s="8" t="s">
        <v>539</v>
      </c>
      <c r="C705" s="8" t="s">
        <v>541</v>
      </c>
      <c r="D705" s="26" t="n">
        <v>0</v>
      </c>
    </row>
    <row r="706" customFormat="false" ht="15" hidden="false" customHeight="true" outlineLevel="0" collapsed="false">
      <c r="A706" s="8" t="s">
        <v>1123</v>
      </c>
      <c r="B706" s="8" t="s">
        <v>539</v>
      </c>
      <c r="C706" s="8" t="s">
        <v>542</v>
      </c>
      <c r="D706" s="26" t="n">
        <v>0</v>
      </c>
    </row>
    <row r="707" customFormat="false" ht="15" hidden="false" customHeight="true" outlineLevel="0" collapsed="false">
      <c r="A707" s="8" t="s">
        <v>1123</v>
      </c>
      <c r="B707" s="8" t="s">
        <v>539</v>
      </c>
      <c r="C707" s="8" t="s">
        <v>543</v>
      </c>
      <c r="D707" s="26" t="n">
        <v>0</v>
      </c>
    </row>
    <row r="708" customFormat="false" ht="15" hidden="false" customHeight="true" outlineLevel="0" collapsed="false">
      <c r="A708" s="8" t="s">
        <v>1123</v>
      </c>
      <c r="B708" s="8" t="s">
        <v>539</v>
      </c>
      <c r="C708" s="8" t="s">
        <v>544</v>
      </c>
      <c r="D708" s="26" t="n">
        <v>0</v>
      </c>
    </row>
    <row r="709" customFormat="false" ht="15" hidden="false" customHeight="true" outlineLevel="0" collapsed="false">
      <c r="A709" s="8" t="s">
        <v>1123</v>
      </c>
      <c r="B709" s="8" t="s">
        <v>84</v>
      </c>
      <c r="C709" s="8" t="s">
        <v>545</v>
      </c>
      <c r="D709" s="26" t="n">
        <v>0</v>
      </c>
    </row>
    <row r="710" customFormat="false" ht="15" hidden="false" customHeight="true" outlineLevel="0" collapsed="false">
      <c r="A710" s="8" t="s">
        <v>1123</v>
      </c>
      <c r="B710" s="8" t="s">
        <v>84</v>
      </c>
      <c r="C710" s="8" t="s">
        <v>546</v>
      </c>
      <c r="D710" s="26" t="n">
        <v>0</v>
      </c>
    </row>
    <row r="711" customFormat="false" ht="15" hidden="false" customHeight="true" outlineLevel="0" collapsed="false">
      <c r="A711" s="8" t="s">
        <v>1123</v>
      </c>
      <c r="B711" s="8" t="s">
        <v>84</v>
      </c>
      <c r="C711" s="8" t="s">
        <v>547</v>
      </c>
      <c r="D711" s="26" t="n">
        <v>0</v>
      </c>
    </row>
    <row r="712" customFormat="false" ht="15" hidden="false" customHeight="true" outlineLevel="0" collapsed="false">
      <c r="A712" s="8" t="s">
        <v>1123</v>
      </c>
      <c r="B712" s="8" t="s">
        <v>84</v>
      </c>
      <c r="C712" s="8" t="s">
        <v>548</v>
      </c>
      <c r="D712" s="26" t="n">
        <v>0</v>
      </c>
    </row>
    <row r="713" customFormat="false" ht="15" hidden="false" customHeight="true" outlineLevel="0" collapsed="false">
      <c r="A713" s="8" t="s">
        <v>1123</v>
      </c>
      <c r="B713" s="8" t="s">
        <v>84</v>
      </c>
      <c r="C713" s="8" t="s">
        <v>549</v>
      </c>
      <c r="D713" s="26" t="n">
        <v>0</v>
      </c>
    </row>
    <row r="714" customFormat="false" ht="15" hidden="false" customHeight="true" outlineLevel="0" collapsed="false">
      <c r="A714" s="8" t="s">
        <v>1123</v>
      </c>
      <c r="B714" s="8" t="s">
        <v>59</v>
      </c>
      <c r="C714" s="8" t="s">
        <v>550</v>
      </c>
      <c r="D714" s="26" t="n">
        <v>0</v>
      </c>
    </row>
    <row r="715" customFormat="false" ht="15" hidden="false" customHeight="true" outlineLevel="0" collapsed="false">
      <c r="A715" s="8" t="s">
        <v>1123</v>
      </c>
      <c r="B715" s="8" t="s">
        <v>551</v>
      </c>
      <c r="C715" s="8" t="s">
        <v>552</v>
      </c>
      <c r="D715" s="26" t="n">
        <v>0</v>
      </c>
    </row>
    <row r="716" customFormat="false" ht="15" hidden="false" customHeight="true" outlineLevel="0" collapsed="false">
      <c r="A716" s="8" t="s">
        <v>1123</v>
      </c>
      <c r="B716" s="8" t="s">
        <v>551</v>
      </c>
      <c r="C716" s="8" t="s">
        <v>553</v>
      </c>
      <c r="D716" s="26" t="n">
        <v>0</v>
      </c>
    </row>
    <row r="717" customFormat="false" ht="15" hidden="false" customHeight="true" outlineLevel="0" collapsed="false">
      <c r="A717" s="8" t="s">
        <v>1123</v>
      </c>
      <c r="B717" s="8" t="s">
        <v>551</v>
      </c>
      <c r="C717" s="8" t="s">
        <v>554</v>
      </c>
      <c r="D717" s="26" t="n">
        <v>0</v>
      </c>
    </row>
    <row r="718" customFormat="false" ht="15" hidden="false" customHeight="true" outlineLevel="0" collapsed="false">
      <c r="A718" s="8" t="s">
        <v>1123</v>
      </c>
      <c r="B718" s="8" t="s">
        <v>551</v>
      </c>
      <c r="C718" s="8" t="s">
        <v>555</v>
      </c>
      <c r="D718" s="26" t="n">
        <v>0</v>
      </c>
    </row>
    <row r="719" customFormat="false" ht="15" hidden="false" customHeight="true" outlineLevel="0" collapsed="false">
      <c r="A719" s="8" t="s">
        <v>1123</v>
      </c>
      <c r="B719" s="8" t="s">
        <v>83</v>
      </c>
      <c r="C719" s="8" t="s">
        <v>556</v>
      </c>
      <c r="D719" s="26" t="n">
        <v>0</v>
      </c>
    </row>
    <row r="720" customFormat="false" ht="15" hidden="false" customHeight="true" outlineLevel="0" collapsed="false">
      <c r="A720" s="8" t="s">
        <v>1123</v>
      </c>
      <c r="B720" s="8" t="s">
        <v>66</v>
      </c>
      <c r="C720" s="8" t="s">
        <v>557</v>
      </c>
      <c r="D720" s="26" t="n">
        <v>0</v>
      </c>
    </row>
    <row r="721" customFormat="false" ht="15" hidden="false" customHeight="true" outlineLevel="0" collapsed="false">
      <c r="A721" s="8" t="s">
        <v>1123</v>
      </c>
      <c r="B721" s="8" t="s">
        <v>132</v>
      </c>
      <c r="C721" s="8" t="s">
        <v>558</v>
      </c>
      <c r="D721" s="26" t="n">
        <v>0</v>
      </c>
    </row>
    <row r="722" customFormat="false" ht="15" hidden="false" customHeight="true" outlineLevel="0" collapsed="false">
      <c r="A722" s="8" t="s">
        <v>1123</v>
      </c>
      <c r="B722" s="8" t="s">
        <v>559</v>
      </c>
      <c r="C722" s="8" t="s">
        <v>560</v>
      </c>
      <c r="D722" s="26" t="n">
        <v>0</v>
      </c>
    </row>
    <row r="723" customFormat="false" ht="15" hidden="false" customHeight="true" outlineLevel="0" collapsed="false">
      <c r="A723" s="8" t="s">
        <v>1123</v>
      </c>
      <c r="B723" s="8" t="s">
        <v>561</v>
      </c>
      <c r="C723" s="8" t="s">
        <v>562</v>
      </c>
      <c r="D723" s="26" t="n">
        <v>0</v>
      </c>
    </row>
    <row r="724" customFormat="false" ht="15" hidden="false" customHeight="true" outlineLevel="0" collapsed="false">
      <c r="A724" s="8" t="s">
        <v>1123</v>
      </c>
      <c r="B724" s="8" t="s">
        <v>563</v>
      </c>
      <c r="C724" s="8" t="s">
        <v>564</v>
      </c>
      <c r="D724" s="26" t="n">
        <v>0</v>
      </c>
    </row>
    <row r="725" customFormat="false" ht="15" hidden="false" customHeight="true" outlineLevel="0" collapsed="false">
      <c r="A725" s="8" t="s">
        <v>1123</v>
      </c>
      <c r="B725" s="8" t="s">
        <v>565</v>
      </c>
      <c r="C725" s="8" t="s">
        <v>566</v>
      </c>
      <c r="D725" s="26" t="n">
        <v>0</v>
      </c>
    </row>
    <row r="726" customFormat="false" ht="15" hidden="false" customHeight="true" outlineLevel="0" collapsed="false">
      <c r="A726" s="8" t="s">
        <v>1123</v>
      </c>
      <c r="B726" s="8" t="s">
        <v>142</v>
      </c>
      <c r="C726" s="8" t="s">
        <v>556</v>
      </c>
      <c r="D726" s="26" t="n">
        <v>0</v>
      </c>
    </row>
    <row r="727" customFormat="false" ht="15" hidden="false" customHeight="true" outlineLevel="0" collapsed="false">
      <c r="A727" s="8" t="s">
        <v>1123</v>
      </c>
      <c r="B727" s="8" t="s">
        <v>69</v>
      </c>
      <c r="C727" s="8" t="s">
        <v>556</v>
      </c>
      <c r="D727" s="26" t="n">
        <v>0</v>
      </c>
    </row>
    <row r="728" customFormat="false" ht="15" hidden="false" customHeight="true" outlineLevel="0" collapsed="false">
      <c r="A728" s="8" t="s">
        <v>1123</v>
      </c>
      <c r="B728" s="8" t="s">
        <v>98</v>
      </c>
      <c r="C728" s="8" t="s">
        <v>567</v>
      </c>
      <c r="D728" s="26" t="n">
        <v>0</v>
      </c>
    </row>
    <row r="729" customFormat="false" ht="15" hidden="false" customHeight="true" outlineLevel="0" collapsed="false">
      <c r="A729" s="8" t="s">
        <v>1123</v>
      </c>
      <c r="B729" s="8" t="s">
        <v>98</v>
      </c>
      <c r="C729" s="8" t="s">
        <v>568</v>
      </c>
      <c r="D729" s="26" t="n">
        <v>0</v>
      </c>
    </row>
    <row r="730" customFormat="false" ht="15" hidden="false" customHeight="true" outlineLevel="0" collapsed="false">
      <c r="A730" s="8" t="s">
        <v>1123</v>
      </c>
      <c r="B730" s="8" t="s">
        <v>569</v>
      </c>
      <c r="C730" s="8" t="s">
        <v>570</v>
      </c>
      <c r="D730" s="26" t="n">
        <v>0</v>
      </c>
    </row>
    <row r="731" customFormat="false" ht="15" hidden="false" customHeight="true" outlineLevel="0" collapsed="false">
      <c r="A731" s="8" t="s">
        <v>1123</v>
      </c>
      <c r="B731" s="8" t="s">
        <v>571</v>
      </c>
      <c r="C731" s="8" t="s">
        <v>572</v>
      </c>
      <c r="D731" s="26" t="n">
        <v>0</v>
      </c>
    </row>
    <row r="732" customFormat="false" ht="15" hidden="false" customHeight="true" outlineLevel="0" collapsed="false">
      <c r="A732" s="8" t="s">
        <v>1123</v>
      </c>
      <c r="B732" s="8" t="s">
        <v>68</v>
      </c>
      <c r="C732" s="8" t="s">
        <v>573</v>
      </c>
      <c r="D732" s="26" t="n">
        <v>0</v>
      </c>
    </row>
    <row r="733" customFormat="false" ht="15" hidden="false" customHeight="true" outlineLevel="0" collapsed="false">
      <c r="A733" s="8" t="s">
        <v>1123</v>
      </c>
      <c r="B733" s="8" t="s">
        <v>100</v>
      </c>
      <c r="C733" s="8" t="s">
        <v>574</v>
      </c>
      <c r="D733" s="26" t="n">
        <v>0</v>
      </c>
    </row>
    <row r="734" customFormat="false" ht="15" hidden="false" customHeight="true" outlineLevel="0" collapsed="false">
      <c r="A734" s="8" t="s">
        <v>1123</v>
      </c>
      <c r="B734" s="8" t="s">
        <v>106</v>
      </c>
      <c r="C734" s="8" t="s">
        <v>575</v>
      </c>
      <c r="D734" s="26" t="n">
        <v>0</v>
      </c>
    </row>
    <row r="735" customFormat="false" ht="15" hidden="false" customHeight="true" outlineLevel="0" collapsed="false">
      <c r="A735" s="8" t="s">
        <v>1123</v>
      </c>
      <c r="B735" s="8" t="s">
        <v>576</v>
      </c>
      <c r="C735" s="8" t="s">
        <v>577</v>
      </c>
      <c r="D735" s="26" t="n">
        <v>0</v>
      </c>
    </row>
    <row r="736" customFormat="false" ht="15" hidden="false" customHeight="true" outlineLevel="0" collapsed="false">
      <c r="A736" s="8" t="s">
        <v>1123</v>
      </c>
      <c r="B736" s="8" t="s">
        <v>128</v>
      </c>
      <c r="C736" s="8" t="s">
        <v>578</v>
      </c>
      <c r="D736" s="26" t="n">
        <v>0</v>
      </c>
    </row>
    <row r="737" customFormat="false" ht="15" hidden="false" customHeight="true" outlineLevel="0" collapsed="false">
      <c r="A737" s="8" t="s">
        <v>1123</v>
      </c>
      <c r="B737" s="8" t="s">
        <v>579</v>
      </c>
      <c r="C737" s="8" t="s">
        <v>580</v>
      </c>
      <c r="D737" s="26" t="n">
        <v>0</v>
      </c>
    </row>
    <row r="738" customFormat="false" ht="15" hidden="false" customHeight="true" outlineLevel="0" collapsed="false">
      <c r="A738" s="8" t="s">
        <v>1123</v>
      </c>
      <c r="B738" s="8" t="s">
        <v>579</v>
      </c>
      <c r="C738" s="8" t="s">
        <v>581</v>
      </c>
      <c r="D738" s="26" t="n">
        <v>0</v>
      </c>
    </row>
    <row r="739" customFormat="false" ht="15" hidden="false" customHeight="true" outlineLevel="0" collapsed="false">
      <c r="A739" s="8" t="s">
        <v>1123</v>
      </c>
      <c r="B739" s="8" t="s">
        <v>579</v>
      </c>
      <c r="C739" s="8" t="s">
        <v>582</v>
      </c>
      <c r="D739" s="26" t="n">
        <v>0</v>
      </c>
    </row>
    <row r="740" customFormat="false" ht="15" hidden="false" customHeight="true" outlineLevel="0" collapsed="false">
      <c r="A740" s="8" t="s">
        <v>1123</v>
      </c>
      <c r="B740" s="8" t="s">
        <v>579</v>
      </c>
      <c r="C740" s="8" t="s">
        <v>583</v>
      </c>
      <c r="D740" s="26" t="n">
        <v>0</v>
      </c>
    </row>
    <row r="741" customFormat="false" ht="15" hidden="false" customHeight="true" outlineLevel="0" collapsed="false">
      <c r="A741" s="8" t="s">
        <v>1123</v>
      </c>
      <c r="B741" s="8" t="s">
        <v>579</v>
      </c>
      <c r="C741" s="8" t="s">
        <v>584</v>
      </c>
      <c r="D741" s="26" t="n">
        <v>0</v>
      </c>
    </row>
    <row r="742" customFormat="false" ht="15" hidden="false" customHeight="true" outlineLevel="0" collapsed="false">
      <c r="A742" s="8" t="s">
        <v>1123</v>
      </c>
      <c r="B742" s="8" t="s">
        <v>585</v>
      </c>
      <c r="C742" s="8" t="s">
        <v>586</v>
      </c>
      <c r="D742" s="26" t="n">
        <v>0</v>
      </c>
    </row>
    <row r="743" customFormat="false" ht="15" hidden="false" customHeight="true" outlineLevel="0" collapsed="false">
      <c r="A743" s="8" t="s">
        <v>1123</v>
      </c>
      <c r="B743" s="8" t="s">
        <v>585</v>
      </c>
      <c r="C743" s="8" t="s">
        <v>587</v>
      </c>
      <c r="D743" s="26" t="n">
        <v>0</v>
      </c>
    </row>
    <row r="744" customFormat="false" ht="15" hidden="false" customHeight="true" outlineLevel="0" collapsed="false">
      <c r="A744" s="8" t="s">
        <v>1123</v>
      </c>
      <c r="B744" s="8" t="s">
        <v>588</v>
      </c>
      <c r="C744" s="8" t="s">
        <v>589</v>
      </c>
      <c r="D744" s="26" t="n">
        <v>0</v>
      </c>
    </row>
    <row r="745" customFormat="false" ht="15" hidden="false" customHeight="true" outlineLevel="0" collapsed="false">
      <c r="A745" s="8" t="s">
        <v>1123</v>
      </c>
      <c r="B745" s="8" t="s">
        <v>588</v>
      </c>
      <c r="C745" s="8" t="s">
        <v>590</v>
      </c>
      <c r="D745" s="26" t="n">
        <v>0</v>
      </c>
    </row>
    <row r="746" customFormat="false" ht="15" hidden="false" customHeight="true" outlineLevel="0" collapsed="false">
      <c r="A746" s="8" t="s">
        <v>1123</v>
      </c>
      <c r="B746" s="8" t="s">
        <v>588</v>
      </c>
      <c r="C746" s="8" t="s">
        <v>591</v>
      </c>
      <c r="D746" s="26" t="n">
        <v>0</v>
      </c>
    </row>
    <row r="747" customFormat="false" ht="15" hidden="false" customHeight="true" outlineLevel="0" collapsed="false">
      <c r="A747" s="8" t="s">
        <v>1123</v>
      </c>
      <c r="B747" s="8" t="s">
        <v>588</v>
      </c>
      <c r="C747" s="8" t="s">
        <v>592</v>
      </c>
      <c r="D747" s="26" t="n">
        <v>0</v>
      </c>
    </row>
    <row r="748" customFormat="false" ht="15" hidden="false" customHeight="true" outlineLevel="0" collapsed="false">
      <c r="A748" s="8" t="s">
        <v>1123</v>
      </c>
      <c r="B748" s="8" t="s">
        <v>588</v>
      </c>
      <c r="C748" s="8" t="s">
        <v>593</v>
      </c>
      <c r="D748" s="26" t="n">
        <v>0</v>
      </c>
    </row>
    <row r="749" customFormat="false" ht="15" hidden="false" customHeight="true" outlineLevel="0" collapsed="false">
      <c r="A749" s="8" t="s">
        <v>1123</v>
      </c>
      <c r="B749" s="8" t="s">
        <v>114</v>
      </c>
      <c r="C749" s="8" t="s">
        <v>594</v>
      </c>
      <c r="D749" s="26" t="n">
        <v>0</v>
      </c>
    </row>
    <row r="750" customFormat="false" ht="15" hidden="false" customHeight="true" outlineLevel="0" collapsed="false">
      <c r="A750" s="8" t="s">
        <v>1123</v>
      </c>
      <c r="B750" s="8" t="s">
        <v>131</v>
      </c>
      <c r="C750" s="8" t="s">
        <v>595</v>
      </c>
      <c r="D750" s="26" t="n">
        <v>0</v>
      </c>
    </row>
    <row r="751" customFormat="false" ht="15" hidden="false" customHeight="true" outlineLevel="0" collapsed="false">
      <c r="A751" s="8" t="s">
        <v>1123</v>
      </c>
      <c r="B751" s="8" t="s">
        <v>53</v>
      </c>
      <c r="C751" s="8" t="s">
        <v>596</v>
      </c>
      <c r="D751" s="26" t="n">
        <v>0</v>
      </c>
    </row>
    <row r="752" customFormat="false" ht="15" hidden="false" customHeight="true" outlineLevel="0" collapsed="false">
      <c r="A752" s="8" t="s">
        <v>1123</v>
      </c>
      <c r="B752" s="8" t="s">
        <v>53</v>
      </c>
      <c r="C752" s="8" t="s">
        <v>597</v>
      </c>
      <c r="D752" s="26" t="n">
        <v>0</v>
      </c>
    </row>
    <row r="753" customFormat="false" ht="15" hidden="false" customHeight="true" outlineLevel="0" collapsed="false">
      <c r="A753" s="8" t="s">
        <v>1123</v>
      </c>
      <c r="B753" s="8" t="s">
        <v>53</v>
      </c>
      <c r="C753" s="8" t="s">
        <v>598</v>
      </c>
      <c r="D753" s="26" t="n">
        <v>0</v>
      </c>
    </row>
    <row r="754" customFormat="false" ht="15" hidden="false" customHeight="true" outlineLevel="0" collapsed="false">
      <c r="A754" s="8" t="s">
        <v>1123</v>
      </c>
      <c r="B754" s="8" t="s">
        <v>53</v>
      </c>
      <c r="C754" s="8" t="s">
        <v>599</v>
      </c>
      <c r="D754" s="26" t="n">
        <v>0</v>
      </c>
    </row>
    <row r="755" customFormat="false" ht="15" hidden="false" customHeight="true" outlineLevel="0" collapsed="false">
      <c r="A755" s="8" t="s">
        <v>1123</v>
      </c>
      <c r="B755" s="8" t="s">
        <v>53</v>
      </c>
      <c r="C755" s="8" t="s">
        <v>600</v>
      </c>
      <c r="D755" s="26" t="n">
        <v>0</v>
      </c>
    </row>
    <row r="756" customFormat="false" ht="15" hidden="false" customHeight="true" outlineLevel="0" collapsed="false">
      <c r="A756" s="8" t="s">
        <v>1123</v>
      </c>
      <c r="B756" s="8" t="s">
        <v>53</v>
      </c>
      <c r="C756" s="8" t="s">
        <v>601</v>
      </c>
      <c r="D756" s="26" t="n">
        <v>0</v>
      </c>
    </row>
    <row r="757" customFormat="false" ht="15" hidden="false" customHeight="true" outlineLevel="0" collapsed="false">
      <c r="A757" s="8" t="s">
        <v>1123</v>
      </c>
      <c r="B757" s="8" t="s">
        <v>63</v>
      </c>
      <c r="C757" s="8" t="s">
        <v>602</v>
      </c>
      <c r="D757" s="26" t="n">
        <v>0</v>
      </c>
    </row>
    <row r="758" customFormat="false" ht="15" hidden="false" customHeight="true" outlineLevel="0" collapsed="false">
      <c r="A758" s="8" t="s">
        <v>1123</v>
      </c>
      <c r="B758" s="8" t="s">
        <v>63</v>
      </c>
      <c r="C758" s="8" t="s">
        <v>603</v>
      </c>
      <c r="D758" s="26" t="n">
        <v>0</v>
      </c>
    </row>
    <row r="759" customFormat="false" ht="15" hidden="false" customHeight="true" outlineLevel="0" collapsed="false">
      <c r="A759" s="8" t="s">
        <v>1123</v>
      </c>
      <c r="B759" s="8" t="s">
        <v>63</v>
      </c>
      <c r="C759" s="8" t="s">
        <v>604</v>
      </c>
      <c r="D759" s="26" t="n">
        <v>0</v>
      </c>
    </row>
    <row r="760" customFormat="false" ht="15" hidden="false" customHeight="true" outlineLevel="0" collapsed="false">
      <c r="A760" s="8" t="s">
        <v>1123</v>
      </c>
      <c r="B760" s="8" t="s">
        <v>63</v>
      </c>
      <c r="C760" s="8" t="s">
        <v>605</v>
      </c>
      <c r="D760" s="26" t="n">
        <v>0</v>
      </c>
    </row>
    <row r="761" customFormat="false" ht="15" hidden="false" customHeight="true" outlineLevel="0" collapsed="false">
      <c r="A761" s="8" t="s">
        <v>1123</v>
      </c>
      <c r="B761" s="8" t="s">
        <v>63</v>
      </c>
      <c r="C761" s="8" t="s">
        <v>606</v>
      </c>
      <c r="D761" s="26" t="n">
        <v>0</v>
      </c>
    </row>
    <row r="762" customFormat="false" ht="15" hidden="false" customHeight="true" outlineLevel="0" collapsed="false">
      <c r="A762" s="8" t="s">
        <v>1123</v>
      </c>
      <c r="B762" s="8" t="s">
        <v>607</v>
      </c>
      <c r="C762" s="8" t="s">
        <v>608</v>
      </c>
      <c r="D762" s="26" t="n">
        <v>0</v>
      </c>
    </row>
    <row r="763" customFormat="false" ht="15" hidden="false" customHeight="true" outlineLevel="0" collapsed="false">
      <c r="A763" s="8" t="s">
        <v>1123</v>
      </c>
      <c r="B763" s="8" t="s">
        <v>607</v>
      </c>
      <c r="C763" s="8" t="s">
        <v>609</v>
      </c>
      <c r="D763" s="26" t="n">
        <v>0</v>
      </c>
    </row>
    <row r="764" customFormat="false" ht="15" hidden="false" customHeight="true" outlineLevel="0" collapsed="false">
      <c r="A764" s="8" t="s">
        <v>1123</v>
      </c>
      <c r="B764" s="8" t="s">
        <v>607</v>
      </c>
      <c r="C764" s="8" t="s">
        <v>610</v>
      </c>
      <c r="D764" s="26" t="n">
        <v>0</v>
      </c>
    </row>
    <row r="765" customFormat="false" ht="15" hidden="false" customHeight="true" outlineLevel="0" collapsed="false">
      <c r="A765" s="8" t="s">
        <v>1123</v>
      </c>
      <c r="B765" s="8" t="s">
        <v>607</v>
      </c>
      <c r="C765" s="8" t="s">
        <v>611</v>
      </c>
      <c r="D765" s="26" t="n">
        <v>0</v>
      </c>
    </row>
    <row r="766" customFormat="false" ht="15" hidden="false" customHeight="true" outlineLevel="0" collapsed="false">
      <c r="A766" s="8" t="s">
        <v>1123</v>
      </c>
      <c r="B766" s="8" t="s">
        <v>140</v>
      </c>
      <c r="C766" s="8" t="s">
        <v>612</v>
      </c>
      <c r="D766" s="26" t="n">
        <v>0</v>
      </c>
    </row>
    <row r="767" customFormat="false" ht="15" hidden="false" customHeight="true" outlineLevel="0" collapsed="false">
      <c r="A767" s="8" t="s">
        <v>1123</v>
      </c>
      <c r="B767" s="8" t="s">
        <v>119</v>
      </c>
      <c r="C767" s="8" t="s">
        <v>613</v>
      </c>
      <c r="D767" s="26" t="n">
        <v>0</v>
      </c>
    </row>
    <row r="768" customFormat="false" ht="15" hidden="false" customHeight="true" outlineLevel="0" collapsed="false">
      <c r="A768" s="8" t="s">
        <v>1123</v>
      </c>
      <c r="B768" s="8" t="s">
        <v>93</v>
      </c>
      <c r="C768" s="8" t="s">
        <v>614</v>
      </c>
      <c r="D768" s="26" t="n">
        <v>0</v>
      </c>
    </row>
    <row r="769" customFormat="false" ht="15" hidden="false" customHeight="true" outlineLevel="0" collapsed="false">
      <c r="A769" s="8" t="s">
        <v>1123</v>
      </c>
      <c r="B769" s="8" t="s">
        <v>104</v>
      </c>
      <c r="C769" s="8" t="s">
        <v>615</v>
      </c>
      <c r="D769" s="26" t="n">
        <v>0</v>
      </c>
    </row>
    <row r="770" customFormat="false" ht="15" hidden="false" customHeight="true" outlineLevel="0" collapsed="false">
      <c r="A770" s="8" t="s">
        <v>1123</v>
      </c>
      <c r="B770" s="8" t="s">
        <v>616</v>
      </c>
      <c r="C770" s="8" t="s">
        <v>617</v>
      </c>
      <c r="D770" s="26" t="n">
        <v>0</v>
      </c>
    </row>
    <row r="771" customFormat="false" ht="15" hidden="false" customHeight="true" outlineLevel="0" collapsed="false">
      <c r="A771" s="8" t="s">
        <v>1123</v>
      </c>
      <c r="B771" s="8" t="s">
        <v>117</v>
      </c>
      <c r="C771" s="8" t="s">
        <v>618</v>
      </c>
      <c r="D771" s="26" t="n">
        <v>0</v>
      </c>
    </row>
    <row r="772" customFormat="false" ht="15" hidden="false" customHeight="true" outlineLevel="0" collapsed="false">
      <c r="A772" s="8" t="s">
        <v>1123</v>
      </c>
      <c r="B772" s="8" t="s">
        <v>135</v>
      </c>
      <c r="C772" s="8" t="s">
        <v>619</v>
      </c>
      <c r="D772" s="26" t="n">
        <v>0</v>
      </c>
    </row>
    <row r="773" customFormat="false" ht="15" hidden="false" customHeight="true" outlineLevel="0" collapsed="false">
      <c r="A773" s="8" t="s">
        <v>1123</v>
      </c>
      <c r="B773" s="8" t="s">
        <v>620</v>
      </c>
      <c r="C773" s="8" t="s">
        <v>621</v>
      </c>
      <c r="D773" s="26" t="n">
        <v>0</v>
      </c>
    </row>
    <row r="774" customFormat="false" ht="15" hidden="false" customHeight="true" outlineLevel="0" collapsed="false">
      <c r="A774" s="8" t="s">
        <v>1123</v>
      </c>
      <c r="B774" s="8" t="s">
        <v>622</v>
      </c>
      <c r="C774" s="8" t="s">
        <v>621</v>
      </c>
      <c r="D774" s="26" t="n">
        <v>0</v>
      </c>
    </row>
    <row r="775" customFormat="false" ht="15" hidden="false" customHeight="true" outlineLevel="0" collapsed="false">
      <c r="A775" s="8" t="s">
        <v>1123</v>
      </c>
      <c r="B775" s="8" t="s">
        <v>139</v>
      </c>
      <c r="C775" s="8" t="s">
        <v>623</v>
      </c>
      <c r="D775" s="26" t="n">
        <v>0</v>
      </c>
    </row>
    <row r="776" customFormat="false" ht="15" hidden="false" customHeight="true" outlineLevel="0" collapsed="false">
      <c r="A776" s="8" t="s">
        <v>1123</v>
      </c>
      <c r="B776" s="8" t="s">
        <v>139</v>
      </c>
      <c r="C776" s="8" t="s">
        <v>624</v>
      </c>
      <c r="D776" s="26" t="n">
        <v>0</v>
      </c>
    </row>
    <row r="777" customFormat="false" ht="15" hidden="false" customHeight="true" outlineLevel="0" collapsed="false">
      <c r="A777" s="8" t="s">
        <v>1123</v>
      </c>
      <c r="B777" s="8" t="s">
        <v>139</v>
      </c>
      <c r="C777" s="8" t="s">
        <v>625</v>
      </c>
      <c r="D777" s="26" t="n">
        <v>0</v>
      </c>
    </row>
    <row r="778" customFormat="false" ht="15" hidden="false" customHeight="true" outlineLevel="0" collapsed="false">
      <c r="A778" s="8" t="s">
        <v>1123</v>
      </c>
      <c r="B778" s="8" t="s">
        <v>139</v>
      </c>
      <c r="C778" s="8" t="s">
        <v>626</v>
      </c>
      <c r="D778" s="26" t="n">
        <v>0</v>
      </c>
    </row>
    <row r="779" customFormat="false" ht="15" hidden="false" customHeight="true" outlineLevel="0" collapsed="false">
      <c r="A779" s="8" t="s">
        <v>1123</v>
      </c>
      <c r="B779" s="8" t="s">
        <v>627</v>
      </c>
      <c r="C779" s="8" t="s">
        <v>628</v>
      </c>
      <c r="D779" s="26" t="n">
        <v>0</v>
      </c>
    </row>
    <row r="780" customFormat="false" ht="15" hidden="false" customHeight="true" outlineLevel="0" collapsed="false">
      <c r="A780" s="8" t="s">
        <v>1123</v>
      </c>
      <c r="B780" s="8" t="s">
        <v>627</v>
      </c>
      <c r="C780" s="8" t="s">
        <v>629</v>
      </c>
      <c r="D780" s="26" t="n">
        <v>0</v>
      </c>
    </row>
    <row r="781" customFormat="false" ht="15" hidden="false" customHeight="true" outlineLevel="0" collapsed="false">
      <c r="A781" s="8" t="s">
        <v>1123</v>
      </c>
      <c r="B781" s="8" t="s">
        <v>627</v>
      </c>
      <c r="C781" s="8" t="s">
        <v>630</v>
      </c>
      <c r="D781" s="26" t="n">
        <v>0</v>
      </c>
    </row>
    <row r="782" customFormat="false" ht="15" hidden="false" customHeight="true" outlineLevel="0" collapsed="false">
      <c r="A782" s="8" t="s">
        <v>1123</v>
      </c>
      <c r="B782" s="8" t="s">
        <v>631</v>
      </c>
      <c r="C782" s="8" t="s">
        <v>632</v>
      </c>
      <c r="D782" s="26" t="n">
        <v>0</v>
      </c>
    </row>
    <row r="783" customFormat="false" ht="15" hidden="false" customHeight="true" outlineLevel="0" collapsed="false">
      <c r="A783" s="8" t="s">
        <v>1123</v>
      </c>
      <c r="B783" s="8" t="s">
        <v>631</v>
      </c>
      <c r="C783" s="8" t="s">
        <v>633</v>
      </c>
      <c r="D783" s="26" t="n">
        <v>0</v>
      </c>
    </row>
    <row r="784" customFormat="false" ht="15" hidden="false" customHeight="true" outlineLevel="0" collapsed="false">
      <c r="A784" s="8" t="s">
        <v>1123</v>
      </c>
      <c r="B784" s="8" t="s">
        <v>631</v>
      </c>
      <c r="C784" s="8" t="s">
        <v>634</v>
      </c>
      <c r="D784" s="26" t="n">
        <v>0</v>
      </c>
    </row>
    <row r="785" customFormat="false" ht="15" hidden="false" customHeight="true" outlineLevel="0" collapsed="false">
      <c r="A785" s="8" t="s">
        <v>1123</v>
      </c>
      <c r="B785" s="8" t="s">
        <v>631</v>
      </c>
      <c r="C785" s="8" t="s">
        <v>635</v>
      </c>
      <c r="D785" s="26" t="n">
        <v>0</v>
      </c>
    </row>
    <row r="786" customFormat="false" ht="15" hidden="false" customHeight="true" outlineLevel="0" collapsed="false">
      <c r="A786" s="8" t="s">
        <v>1123</v>
      </c>
      <c r="B786" s="8" t="s">
        <v>631</v>
      </c>
      <c r="C786" s="8" t="s">
        <v>636</v>
      </c>
      <c r="D786" s="26" t="n">
        <v>0</v>
      </c>
    </row>
    <row r="787" customFormat="false" ht="15" hidden="false" customHeight="true" outlineLevel="0" collapsed="false">
      <c r="A787" s="8" t="s">
        <v>1123</v>
      </c>
      <c r="B787" s="8" t="s">
        <v>55</v>
      </c>
      <c r="C787" s="8" t="s">
        <v>637</v>
      </c>
      <c r="D787" s="26" t="n">
        <v>0</v>
      </c>
    </row>
    <row r="788" customFormat="false" ht="15" hidden="false" customHeight="true" outlineLevel="0" collapsed="false">
      <c r="A788" s="8" t="s">
        <v>1123</v>
      </c>
      <c r="B788" s="8" t="s">
        <v>55</v>
      </c>
      <c r="C788" s="8" t="s">
        <v>638</v>
      </c>
      <c r="D788" s="26" t="n">
        <v>0</v>
      </c>
    </row>
    <row r="789" customFormat="false" ht="15" hidden="false" customHeight="true" outlineLevel="0" collapsed="false">
      <c r="A789" s="8" t="s">
        <v>1123</v>
      </c>
      <c r="B789" s="8" t="s">
        <v>55</v>
      </c>
      <c r="C789" s="8" t="s">
        <v>639</v>
      </c>
      <c r="D789" s="26" t="n">
        <v>0</v>
      </c>
    </row>
    <row r="790" customFormat="false" ht="15" hidden="false" customHeight="true" outlineLevel="0" collapsed="false">
      <c r="A790" s="8" t="s">
        <v>1123</v>
      </c>
      <c r="B790" s="8" t="s">
        <v>55</v>
      </c>
      <c r="C790" s="8" t="s">
        <v>640</v>
      </c>
      <c r="D790" s="26" t="n">
        <v>0</v>
      </c>
    </row>
    <row r="791" customFormat="false" ht="15" hidden="false" customHeight="true" outlineLevel="0" collapsed="false">
      <c r="A791" s="8" t="s">
        <v>1123</v>
      </c>
      <c r="B791" s="8" t="s">
        <v>55</v>
      </c>
      <c r="C791" s="8" t="s">
        <v>641</v>
      </c>
      <c r="D791" s="26" t="n">
        <v>0</v>
      </c>
    </row>
    <row r="792" customFormat="false" ht="15" hidden="false" customHeight="true" outlineLevel="0" collapsed="false">
      <c r="A792" s="8" t="s">
        <v>1123</v>
      </c>
      <c r="B792" s="8" t="s">
        <v>642</v>
      </c>
      <c r="C792" s="8" t="s">
        <v>643</v>
      </c>
      <c r="D792" s="26" t="n">
        <v>0</v>
      </c>
    </row>
    <row r="793" customFormat="false" ht="15" hidden="false" customHeight="true" outlineLevel="0" collapsed="false">
      <c r="A793" s="8" t="s">
        <v>1123</v>
      </c>
      <c r="B793" s="8" t="s">
        <v>642</v>
      </c>
      <c r="C793" s="8" t="s">
        <v>644</v>
      </c>
      <c r="D793" s="26" t="n">
        <v>0</v>
      </c>
    </row>
    <row r="794" customFormat="false" ht="15" hidden="false" customHeight="true" outlineLevel="0" collapsed="false">
      <c r="A794" s="8" t="s">
        <v>1123</v>
      </c>
      <c r="B794" s="8" t="s">
        <v>642</v>
      </c>
      <c r="C794" s="8" t="s">
        <v>645</v>
      </c>
      <c r="D794" s="26" t="n">
        <v>0</v>
      </c>
    </row>
    <row r="795" customFormat="false" ht="15" hidden="false" customHeight="true" outlineLevel="0" collapsed="false">
      <c r="A795" s="8" t="s">
        <v>1123</v>
      </c>
      <c r="B795" s="8" t="s">
        <v>642</v>
      </c>
      <c r="C795" s="8" t="s">
        <v>646</v>
      </c>
      <c r="D795" s="26" t="n">
        <v>0</v>
      </c>
    </row>
    <row r="796" customFormat="false" ht="15" hidden="false" customHeight="true" outlineLevel="0" collapsed="false">
      <c r="A796" s="8" t="s">
        <v>1123</v>
      </c>
      <c r="B796" s="8" t="s">
        <v>57</v>
      </c>
      <c r="C796" s="8" t="s">
        <v>647</v>
      </c>
      <c r="D796" s="26" t="n">
        <v>0</v>
      </c>
    </row>
    <row r="797" customFormat="false" ht="15" hidden="false" customHeight="true" outlineLevel="0" collapsed="false">
      <c r="A797" s="8" t="s">
        <v>1123</v>
      </c>
      <c r="B797" s="8" t="s">
        <v>57</v>
      </c>
      <c r="C797" s="8" t="s">
        <v>648</v>
      </c>
      <c r="D797" s="26" t="n">
        <v>0</v>
      </c>
    </row>
    <row r="798" customFormat="false" ht="15" hidden="false" customHeight="true" outlineLevel="0" collapsed="false">
      <c r="A798" s="8" t="s">
        <v>1123</v>
      </c>
      <c r="B798" s="8" t="s">
        <v>57</v>
      </c>
      <c r="C798" s="8" t="s">
        <v>649</v>
      </c>
      <c r="D798" s="26" t="n">
        <v>0</v>
      </c>
    </row>
    <row r="799" customFormat="false" ht="15" hidden="false" customHeight="true" outlineLevel="0" collapsed="false">
      <c r="A799" s="8" t="s">
        <v>1123</v>
      </c>
      <c r="B799" s="8" t="s">
        <v>57</v>
      </c>
      <c r="C799" s="8" t="s">
        <v>650</v>
      </c>
      <c r="D799" s="26" t="n">
        <v>0</v>
      </c>
    </row>
    <row r="800" customFormat="false" ht="15" hidden="false" customHeight="true" outlineLevel="0" collapsed="false">
      <c r="A800" s="8" t="s">
        <v>1123</v>
      </c>
      <c r="B800" s="8" t="s">
        <v>57</v>
      </c>
      <c r="C800" s="8" t="s">
        <v>651</v>
      </c>
      <c r="D800" s="26" t="n">
        <v>0</v>
      </c>
    </row>
    <row r="801" customFormat="false" ht="15" hidden="false" customHeight="true" outlineLevel="0" collapsed="false">
      <c r="A801" s="8" t="s">
        <v>1123</v>
      </c>
      <c r="B801" s="8" t="s">
        <v>652</v>
      </c>
      <c r="C801" s="8" t="s">
        <v>653</v>
      </c>
      <c r="D801" s="26" t="n">
        <v>0</v>
      </c>
    </row>
    <row r="802" customFormat="false" ht="15" hidden="false" customHeight="true" outlineLevel="0" collapsed="false">
      <c r="A802" s="8" t="s">
        <v>1123</v>
      </c>
      <c r="B802" s="8" t="s">
        <v>652</v>
      </c>
      <c r="C802" s="8" t="s">
        <v>654</v>
      </c>
      <c r="D802" s="26" t="n">
        <v>0</v>
      </c>
    </row>
    <row r="803" customFormat="false" ht="15" hidden="false" customHeight="true" outlineLevel="0" collapsed="false">
      <c r="A803" s="8" t="s">
        <v>1123</v>
      </c>
      <c r="B803" s="8" t="s">
        <v>652</v>
      </c>
      <c r="C803" s="8" t="s">
        <v>655</v>
      </c>
      <c r="D803" s="26" t="n">
        <v>0</v>
      </c>
    </row>
    <row r="804" customFormat="false" ht="15" hidden="false" customHeight="true" outlineLevel="0" collapsed="false">
      <c r="A804" s="8" t="s">
        <v>1123</v>
      </c>
      <c r="B804" s="8" t="s">
        <v>652</v>
      </c>
      <c r="C804" s="8" t="s">
        <v>656</v>
      </c>
      <c r="D804" s="26" t="n">
        <v>0</v>
      </c>
    </row>
    <row r="805" customFormat="false" ht="15" hidden="false" customHeight="true" outlineLevel="0" collapsed="false">
      <c r="A805" s="8" t="s">
        <v>1123</v>
      </c>
      <c r="B805" s="8" t="s">
        <v>652</v>
      </c>
      <c r="C805" s="8" t="s">
        <v>657</v>
      </c>
      <c r="D805" s="26" t="n">
        <v>0</v>
      </c>
    </row>
    <row r="806" customFormat="false" ht="15" hidden="false" customHeight="true" outlineLevel="0" collapsed="false">
      <c r="A806" s="8" t="s">
        <v>1123</v>
      </c>
      <c r="B806" s="8" t="s">
        <v>137</v>
      </c>
      <c r="C806" s="8" t="s">
        <v>658</v>
      </c>
      <c r="D806" s="26" t="n">
        <v>0</v>
      </c>
    </row>
    <row r="807" customFormat="false" ht="15" hidden="false" customHeight="true" outlineLevel="0" collapsed="false">
      <c r="A807" s="8" t="s">
        <v>1123</v>
      </c>
      <c r="B807" s="8" t="s">
        <v>137</v>
      </c>
      <c r="C807" s="8" t="s">
        <v>659</v>
      </c>
      <c r="D807" s="26" t="n">
        <v>0</v>
      </c>
    </row>
    <row r="808" customFormat="false" ht="15" hidden="false" customHeight="true" outlineLevel="0" collapsed="false">
      <c r="A808" s="8" t="s">
        <v>1123</v>
      </c>
      <c r="B808" s="8" t="s">
        <v>137</v>
      </c>
      <c r="C808" s="8" t="s">
        <v>660</v>
      </c>
      <c r="D808" s="26" t="n">
        <v>0</v>
      </c>
    </row>
    <row r="809" customFormat="false" ht="15" hidden="false" customHeight="true" outlineLevel="0" collapsed="false">
      <c r="A809" s="8" t="s">
        <v>1123</v>
      </c>
      <c r="B809" s="8" t="s">
        <v>137</v>
      </c>
      <c r="C809" s="8" t="s">
        <v>661</v>
      </c>
      <c r="D809" s="26" t="n">
        <v>0</v>
      </c>
    </row>
    <row r="810" customFormat="false" ht="15" hidden="false" customHeight="true" outlineLevel="0" collapsed="false">
      <c r="A810" s="8" t="s">
        <v>1123</v>
      </c>
      <c r="B810" s="8" t="s">
        <v>137</v>
      </c>
      <c r="C810" s="8" t="s">
        <v>662</v>
      </c>
      <c r="D810" s="26" t="n">
        <v>0</v>
      </c>
    </row>
    <row r="811" customFormat="false" ht="15" hidden="false" customHeight="true" outlineLevel="0" collapsed="false">
      <c r="A811" s="8" t="s">
        <v>1123</v>
      </c>
      <c r="B811" s="8" t="s">
        <v>663</v>
      </c>
      <c r="C811" s="8" t="s">
        <v>664</v>
      </c>
      <c r="D811" s="26" t="n">
        <v>0</v>
      </c>
    </row>
    <row r="812" customFormat="false" ht="15" hidden="false" customHeight="true" outlineLevel="0" collapsed="false">
      <c r="A812" s="8" t="s">
        <v>1123</v>
      </c>
      <c r="B812" s="8" t="s">
        <v>663</v>
      </c>
      <c r="C812" s="8" t="s">
        <v>665</v>
      </c>
      <c r="D812" s="26" t="n">
        <v>0</v>
      </c>
    </row>
    <row r="813" customFormat="false" ht="15" hidden="false" customHeight="true" outlineLevel="0" collapsed="false">
      <c r="A813" s="8" t="s">
        <v>1123</v>
      </c>
      <c r="B813" s="8" t="s">
        <v>663</v>
      </c>
      <c r="C813" s="8" t="s">
        <v>666</v>
      </c>
      <c r="D813" s="26" t="n">
        <v>0</v>
      </c>
    </row>
    <row r="814" customFormat="false" ht="15" hidden="false" customHeight="true" outlineLevel="0" collapsed="false">
      <c r="A814" s="8" t="s">
        <v>1123</v>
      </c>
      <c r="B814" s="8" t="s">
        <v>663</v>
      </c>
      <c r="C814" s="8" t="s">
        <v>667</v>
      </c>
      <c r="D814" s="26" t="n">
        <v>0</v>
      </c>
    </row>
    <row r="815" customFormat="false" ht="15" hidden="false" customHeight="true" outlineLevel="0" collapsed="false">
      <c r="A815" s="8" t="s">
        <v>1123</v>
      </c>
      <c r="B815" s="8" t="s">
        <v>668</v>
      </c>
      <c r="C815" s="8" t="s">
        <v>669</v>
      </c>
      <c r="D815" s="26" t="n">
        <v>0</v>
      </c>
    </row>
    <row r="816" customFormat="false" ht="15" hidden="false" customHeight="true" outlineLevel="0" collapsed="false">
      <c r="A816" s="8" t="s">
        <v>1123</v>
      </c>
      <c r="B816" s="8" t="s">
        <v>668</v>
      </c>
      <c r="C816" s="8" t="s">
        <v>670</v>
      </c>
      <c r="D816" s="26" t="n">
        <v>0</v>
      </c>
    </row>
    <row r="817" customFormat="false" ht="15" hidden="false" customHeight="true" outlineLevel="0" collapsed="false">
      <c r="A817" s="8" t="s">
        <v>1123</v>
      </c>
      <c r="B817" s="8" t="s">
        <v>671</v>
      </c>
      <c r="C817" s="8" t="s">
        <v>672</v>
      </c>
      <c r="D817" s="26" t="n">
        <v>0</v>
      </c>
    </row>
    <row r="818" customFormat="false" ht="15" hidden="false" customHeight="true" outlineLevel="0" collapsed="false">
      <c r="A818" s="8" t="s">
        <v>1123</v>
      </c>
      <c r="B818" s="8" t="s">
        <v>671</v>
      </c>
      <c r="C818" s="8" t="s">
        <v>673</v>
      </c>
      <c r="D818" s="26" t="n">
        <v>0</v>
      </c>
    </row>
    <row r="819" customFormat="false" ht="15" hidden="false" customHeight="true" outlineLevel="0" collapsed="false">
      <c r="A819" s="8" t="s">
        <v>1123</v>
      </c>
      <c r="B819" s="8" t="s">
        <v>671</v>
      </c>
      <c r="C819" s="8" t="s">
        <v>674</v>
      </c>
      <c r="D819" s="26" t="n">
        <v>0</v>
      </c>
    </row>
    <row r="820" customFormat="false" ht="15" hidden="false" customHeight="true" outlineLevel="0" collapsed="false">
      <c r="A820" s="8" t="s">
        <v>1123</v>
      </c>
      <c r="B820" s="8" t="s">
        <v>671</v>
      </c>
      <c r="C820" s="8" t="s">
        <v>675</v>
      </c>
      <c r="D820" s="26" t="n">
        <v>0</v>
      </c>
    </row>
    <row r="821" customFormat="false" ht="15" hidden="false" customHeight="true" outlineLevel="0" collapsed="false">
      <c r="A821" s="8" t="s">
        <v>1123</v>
      </c>
      <c r="B821" s="8" t="s">
        <v>671</v>
      </c>
      <c r="C821" s="8" t="s">
        <v>676</v>
      </c>
      <c r="D821" s="26" t="n">
        <v>0</v>
      </c>
    </row>
    <row r="822" customFormat="false" ht="15" hidden="false" customHeight="true" outlineLevel="0" collapsed="false">
      <c r="A822" s="8" t="s">
        <v>1123</v>
      </c>
      <c r="B822" s="8" t="s">
        <v>76</v>
      </c>
      <c r="C822" s="8" t="s">
        <v>677</v>
      </c>
      <c r="D822" s="26" t="n">
        <v>0</v>
      </c>
    </row>
    <row r="823" customFormat="false" ht="15" hidden="false" customHeight="true" outlineLevel="0" collapsed="false">
      <c r="A823" s="8" t="s">
        <v>1123</v>
      </c>
      <c r="B823" s="8" t="s">
        <v>76</v>
      </c>
      <c r="C823" s="8" t="s">
        <v>678</v>
      </c>
      <c r="D823" s="26" t="n">
        <v>0</v>
      </c>
    </row>
    <row r="824" customFormat="false" ht="15" hidden="false" customHeight="true" outlineLevel="0" collapsed="false">
      <c r="A824" s="8" t="s">
        <v>1123</v>
      </c>
      <c r="B824" s="8" t="s">
        <v>76</v>
      </c>
      <c r="C824" s="8" t="s">
        <v>679</v>
      </c>
      <c r="D824" s="26" t="n">
        <v>0</v>
      </c>
    </row>
    <row r="825" customFormat="false" ht="15" hidden="false" customHeight="true" outlineLevel="0" collapsed="false">
      <c r="A825" s="8" t="s">
        <v>1123</v>
      </c>
      <c r="B825" s="8" t="s">
        <v>76</v>
      </c>
      <c r="C825" s="8" t="s">
        <v>680</v>
      </c>
      <c r="D825" s="26" t="n">
        <v>0</v>
      </c>
    </row>
    <row r="826" customFormat="false" ht="15" hidden="false" customHeight="true" outlineLevel="0" collapsed="false">
      <c r="A826" s="8" t="s">
        <v>1123</v>
      </c>
      <c r="B826" s="8" t="s">
        <v>54</v>
      </c>
      <c r="C826" s="8" t="s">
        <v>681</v>
      </c>
      <c r="D826" s="26" t="n">
        <v>0</v>
      </c>
    </row>
    <row r="827" customFormat="false" ht="15" hidden="false" customHeight="true" outlineLevel="0" collapsed="false">
      <c r="A827" s="8" t="s">
        <v>1123</v>
      </c>
      <c r="B827" s="8" t="s">
        <v>54</v>
      </c>
      <c r="C827" s="8" t="s">
        <v>682</v>
      </c>
      <c r="D827" s="26" t="n">
        <v>0</v>
      </c>
    </row>
    <row r="828" customFormat="false" ht="15" hidden="false" customHeight="true" outlineLevel="0" collapsed="false">
      <c r="A828" s="8" t="s">
        <v>1123</v>
      </c>
      <c r="B828" s="8" t="s">
        <v>54</v>
      </c>
      <c r="C828" s="8" t="s">
        <v>683</v>
      </c>
      <c r="D828" s="26" t="n">
        <v>0</v>
      </c>
    </row>
    <row r="829" customFormat="false" ht="15" hidden="false" customHeight="true" outlineLevel="0" collapsed="false">
      <c r="A829" s="8" t="s">
        <v>1123</v>
      </c>
      <c r="B829" s="8" t="s">
        <v>54</v>
      </c>
      <c r="C829" s="8" t="s">
        <v>684</v>
      </c>
      <c r="D829" s="26" t="n">
        <v>0</v>
      </c>
    </row>
    <row r="830" customFormat="false" ht="15" hidden="false" customHeight="true" outlineLevel="0" collapsed="false">
      <c r="A830" s="8" t="s">
        <v>1123</v>
      </c>
      <c r="B830" s="8" t="s">
        <v>65</v>
      </c>
      <c r="C830" s="8" t="s">
        <v>685</v>
      </c>
      <c r="D830" s="26" t="n">
        <v>0</v>
      </c>
    </row>
    <row r="831" customFormat="false" ht="15" hidden="false" customHeight="true" outlineLevel="0" collapsed="false">
      <c r="A831" s="8" t="s">
        <v>1123</v>
      </c>
      <c r="B831" s="8" t="s">
        <v>65</v>
      </c>
      <c r="C831" s="8" t="s">
        <v>686</v>
      </c>
      <c r="D831" s="26" t="n">
        <v>0</v>
      </c>
    </row>
    <row r="832" customFormat="false" ht="15" hidden="false" customHeight="true" outlineLevel="0" collapsed="false">
      <c r="A832" s="8" t="s">
        <v>1123</v>
      </c>
      <c r="B832" s="8" t="s">
        <v>65</v>
      </c>
      <c r="C832" s="8" t="s">
        <v>687</v>
      </c>
      <c r="D832" s="26" t="n">
        <v>0</v>
      </c>
    </row>
    <row r="833" customFormat="false" ht="15" hidden="false" customHeight="true" outlineLevel="0" collapsed="false">
      <c r="A833" s="8" t="s">
        <v>1123</v>
      </c>
      <c r="B833" s="8" t="s">
        <v>65</v>
      </c>
      <c r="C833" s="8" t="s">
        <v>688</v>
      </c>
      <c r="D833" s="26" t="n">
        <v>0</v>
      </c>
    </row>
    <row r="834" customFormat="false" ht="15" hidden="false" customHeight="true" outlineLevel="0" collapsed="false">
      <c r="A834" s="8" t="s">
        <v>1123</v>
      </c>
      <c r="B834" s="8" t="s">
        <v>65</v>
      </c>
      <c r="C834" s="8" t="s">
        <v>689</v>
      </c>
      <c r="D834" s="26" t="n">
        <v>0</v>
      </c>
    </row>
    <row r="835" customFormat="false" ht="15" hidden="false" customHeight="true" outlineLevel="0" collapsed="false">
      <c r="A835" s="8" t="s">
        <v>1123</v>
      </c>
      <c r="B835" s="8" t="s">
        <v>65</v>
      </c>
      <c r="C835" s="8" t="s">
        <v>690</v>
      </c>
      <c r="D835" s="26" t="n">
        <v>0</v>
      </c>
    </row>
    <row r="836" customFormat="false" ht="15" hidden="false" customHeight="true" outlineLevel="0" collapsed="false">
      <c r="A836" s="8" t="s">
        <v>1123</v>
      </c>
      <c r="B836" s="8" t="s">
        <v>1125</v>
      </c>
      <c r="C836" s="8" t="s">
        <v>1126</v>
      </c>
      <c r="D836" s="26" t="n">
        <v>0</v>
      </c>
    </row>
    <row r="837" customFormat="false" ht="15" hidden="false" customHeight="true" outlineLevel="0" collapsed="false">
      <c r="A837" s="8" t="s">
        <v>1123</v>
      </c>
      <c r="B837" s="8" t="s">
        <v>141</v>
      </c>
      <c r="C837" s="8" t="s">
        <v>691</v>
      </c>
      <c r="D837" s="26" t="n">
        <v>0</v>
      </c>
    </row>
    <row r="838" customFormat="false" ht="15" hidden="false" customHeight="true" outlineLevel="0" collapsed="false">
      <c r="A838" s="8" t="s">
        <v>1123</v>
      </c>
      <c r="B838" s="8" t="s">
        <v>108</v>
      </c>
      <c r="C838" s="8" t="s">
        <v>692</v>
      </c>
      <c r="D838" s="26" t="n">
        <v>0</v>
      </c>
    </row>
    <row r="839" customFormat="false" ht="15" hidden="false" customHeight="true" outlineLevel="0" collapsed="false">
      <c r="A839" s="8" t="s">
        <v>1123</v>
      </c>
      <c r="B839" s="8" t="s">
        <v>693</v>
      </c>
      <c r="C839" s="8" t="s">
        <v>694</v>
      </c>
      <c r="D839" s="26" t="n">
        <v>0</v>
      </c>
    </row>
    <row r="840" customFormat="false" ht="15" hidden="false" customHeight="true" outlineLevel="0" collapsed="false">
      <c r="A840" s="8" t="s">
        <v>1123</v>
      </c>
      <c r="B840" s="8" t="s">
        <v>693</v>
      </c>
      <c r="C840" s="8" t="s">
        <v>695</v>
      </c>
      <c r="D840" s="26" t="n">
        <v>0</v>
      </c>
    </row>
    <row r="841" customFormat="false" ht="15" hidden="false" customHeight="true" outlineLevel="0" collapsed="false">
      <c r="A841" s="8" t="s">
        <v>1123</v>
      </c>
      <c r="B841" s="8" t="s">
        <v>693</v>
      </c>
      <c r="C841" s="8" t="s">
        <v>696</v>
      </c>
      <c r="D841" s="26" t="n">
        <v>0</v>
      </c>
    </row>
    <row r="842" customFormat="false" ht="15" hidden="false" customHeight="true" outlineLevel="0" collapsed="false">
      <c r="A842" s="8" t="s">
        <v>1123</v>
      </c>
      <c r="B842" s="8" t="s">
        <v>693</v>
      </c>
      <c r="C842" s="8" t="s">
        <v>697</v>
      </c>
      <c r="D842" s="26" t="n">
        <v>0</v>
      </c>
    </row>
    <row r="843" customFormat="false" ht="15" hidden="false" customHeight="true" outlineLevel="0" collapsed="false">
      <c r="A843" s="8" t="s">
        <v>1123</v>
      </c>
      <c r="B843" s="8" t="s">
        <v>693</v>
      </c>
      <c r="C843" s="8" t="s">
        <v>698</v>
      </c>
      <c r="D843" s="26" t="n">
        <v>0</v>
      </c>
    </row>
    <row r="844" customFormat="false" ht="15" hidden="false" customHeight="true" outlineLevel="0" collapsed="false">
      <c r="A844" s="8" t="s">
        <v>1123</v>
      </c>
      <c r="B844" s="8" t="s">
        <v>693</v>
      </c>
      <c r="C844" s="8" t="s">
        <v>699</v>
      </c>
      <c r="D844" s="26" t="n">
        <v>0</v>
      </c>
    </row>
    <row r="845" customFormat="false" ht="15" hidden="false" customHeight="true" outlineLevel="0" collapsed="false">
      <c r="A845" s="8" t="s">
        <v>1123</v>
      </c>
      <c r="B845" s="8" t="s">
        <v>64</v>
      </c>
      <c r="C845" s="8" t="s">
        <v>700</v>
      </c>
      <c r="D845" s="26" t="n">
        <v>0</v>
      </c>
    </row>
    <row r="846" customFormat="false" ht="15" hidden="false" customHeight="true" outlineLevel="0" collapsed="false">
      <c r="A846" s="8" t="s">
        <v>1123</v>
      </c>
      <c r="B846" s="8" t="s">
        <v>64</v>
      </c>
      <c r="C846" s="8" t="s">
        <v>701</v>
      </c>
      <c r="D846" s="26" t="n">
        <v>0</v>
      </c>
    </row>
    <row r="847" customFormat="false" ht="15" hidden="false" customHeight="true" outlineLevel="0" collapsed="false">
      <c r="A847" s="8" t="s">
        <v>1123</v>
      </c>
      <c r="B847" s="8" t="s">
        <v>64</v>
      </c>
      <c r="C847" s="8" t="s">
        <v>702</v>
      </c>
      <c r="D847" s="26" t="n">
        <v>0</v>
      </c>
    </row>
    <row r="848" customFormat="false" ht="15" hidden="false" customHeight="true" outlineLevel="0" collapsed="false">
      <c r="A848" s="8" t="s">
        <v>1123</v>
      </c>
      <c r="B848" s="8" t="s">
        <v>111</v>
      </c>
      <c r="C848" s="8" t="s">
        <v>703</v>
      </c>
      <c r="D848" s="26" t="n">
        <v>0</v>
      </c>
    </row>
    <row r="849" customFormat="false" ht="15" hidden="false" customHeight="true" outlineLevel="0" collapsed="false">
      <c r="A849" s="8" t="s">
        <v>1123</v>
      </c>
      <c r="B849" s="8" t="s">
        <v>704</v>
      </c>
      <c r="C849" s="8" t="s">
        <v>705</v>
      </c>
      <c r="D849" s="26" t="n">
        <v>0</v>
      </c>
    </row>
    <row r="850" customFormat="false" ht="15" hidden="false" customHeight="true" outlineLevel="0" collapsed="false">
      <c r="A850" s="8" t="s">
        <v>1123</v>
      </c>
      <c r="B850" s="8" t="s">
        <v>704</v>
      </c>
      <c r="C850" s="8" t="s">
        <v>706</v>
      </c>
      <c r="D850" s="26" t="n">
        <v>0</v>
      </c>
    </row>
    <row r="851" customFormat="false" ht="15" hidden="false" customHeight="true" outlineLevel="0" collapsed="false">
      <c r="A851" s="8" t="s">
        <v>1123</v>
      </c>
      <c r="B851" s="8" t="s">
        <v>707</v>
      </c>
      <c r="C851" s="8" t="s">
        <v>708</v>
      </c>
      <c r="D851" s="26" t="n">
        <v>0</v>
      </c>
    </row>
    <row r="852" customFormat="false" ht="15" hidden="false" customHeight="true" outlineLevel="0" collapsed="false">
      <c r="A852" s="8" t="s">
        <v>1123</v>
      </c>
      <c r="B852" s="8" t="s">
        <v>707</v>
      </c>
      <c r="C852" s="8" t="s">
        <v>709</v>
      </c>
      <c r="D852" s="26" t="n">
        <v>0</v>
      </c>
    </row>
    <row r="853" customFormat="false" ht="15" hidden="false" customHeight="true" outlineLevel="0" collapsed="false">
      <c r="A853" s="8" t="s">
        <v>1123</v>
      </c>
      <c r="B853" s="8" t="s">
        <v>707</v>
      </c>
      <c r="C853" s="8" t="s">
        <v>710</v>
      </c>
      <c r="D853" s="26" t="n">
        <v>0</v>
      </c>
    </row>
    <row r="854" customFormat="false" ht="15" hidden="false" customHeight="true" outlineLevel="0" collapsed="false">
      <c r="A854" s="8" t="s">
        <v>1123</v>
      </c>
      <c r="B854" s="8" t="s">
        <v>707</v>
      </c>
      <c r="C854" s="8" t="s">
        <v>711</v>
      </c>
      <c r="D854" s="26" t="n">
        <v>0</v>
      </c>
    </row>
    <row r="855" customFormat="false" ht="15" hidden="false" customHeight="true" outlineLevel="0" collapsed="false">
      <c r="A855" s="8" t="s">
        <v>1123</v>
      </c>
      <c r="B855" s="8" t="s">
        <v>707</v>
      </c>
      <c r="C855" s="8" t="s">
        <v>712</v>
      </c>
      <c r="D855" s="26" t="n">
        <v>0</v>
      </c>
    </row>
    <row r="856" customFormat="false" ht="15" hidden="false" customHeight="true" outlineLevel="0" collapsed="false">
      <c r="A856" s="8" t="s">
        <v>1123</v>
      </c>
      <c r="B856" s="8" t="s">
        <v>713</v>
      </c>
      <c r="C856" s="8" t="s">
        <v>714</v>
      </c>
      <c r="D856" s="26" t="n">
        <v>0</v>
      </c>
    </row>
    <row r="857" customFormat="false" ht="15" hidden="false" customHeight="true" outlineLevel="0" collapsed="false">
      <c r="A857" s="8" t="s">
        <v>1123</v>
      </c>
      <c r="B857" s="8" t="s">
        <v>713</v>
      </c>
      <c r="C857" s="8" t="s">
        <v>715</v>
      </c>
      <c r="D857" s="26" t="n">
        <v>0</v>
      </c>
    </row>
    <row r="858" customFormat="false" ht="15" hidden="false" customHeight="true" outlineLevel="0" collapsed="false">
      <c r="A858" s="8" t="s">
        <v>1123</v>
      </c>
      <c r="B858" s="8" t="s">
        <v>713</v>
      </c>
      <c r="C858" s="8" t="s">
        <v>716</v>
      </c>
      <c r="D858" s="26" t="n">
        <v>0</v>
      </c>
    </row>
    <row r="859" customFormat="false" ht="15" hidden="false" customHeight="true" outlineLevel="0" collapsed="false">
      <c r="A859" s="8" t="s">
        <v>1123</v>
      </c>
      <c r="B859" s="8" t="s">
        <v>713</v>
      </c>
      <c r="C859" s="8" t="s">
        <v>717</v>
      </c>
      <c r="D859" s="26" t="n">
        <v>0</v>
      </c>
    </row>
    <row r="860" customFormat="false" ht="15" hidden="false" customHeight="true" outlineLevel="0" collapsed="false">
      <c r="A860" s="8" t="s">
        <v>1123</v>
      </c>
      <c r="B860" s="8" t="s">
        <v>718</v>
      </c>
      <c r="C860" s="8" t="s">
        <v>719</v>
      </c>
      <c r="D860" s="26" t="n">
        <v>0</v>
      </c>
    </row>
    <row r="861" customFormat="false" ht="15" hidden="false" customHeight="true" outlineLevel="0" collapsed="false">
      <c r="A861" s="8" t="s">
        <v>1123</v>
      </c>
      <c r="B861" s="8" t="s">
        <v>718</v>
      </c>
      <c r="C861" s="8" t="s">
        <v>720</v>
      </c>
      <c r="D861" s="26" t="n">
        <v>0</v>
      </c>
    </row>
    <row r="862" customFormat="false" ht="15" hidden="false" customHeight="true" outlineLevel="0" collapsed="false">
      <c r="A862" s="8" t="s">
        <v>1123</v>
      </c>
      <c r="B862" s="8" t="s">
        <v>718</v>
      </c>
      <c r="C862" s="8" t="s">
        <v>721</v>
      </c>
      <c r="D862" s="26" t="n">
        <v>0</v>
      </c>
    </row>
    <row r="863" customFormat="false" ht="15" hidden="false" customHeight="true" outlineLevel="0" collapsed="false">
      <c r="A863" s="8" t="s">
        <v>1123</v>
      </c>
      <c r="B863" s="8" t="s">
        <v>718</v>
      </c>
      <c r="C863" s="8" t="s">
        <v>722</v>
      </c>
      <c r="D863" s="26" t="n">
        <v>0</v>
      </c>
    </row>
    <row r="864" customFormat="false" ht="15" hidden="false" customHeight="true" outlineLevel="0" collapsed="false">
      <c r="A864" s="8" t="s">
        <v>1123</v>
      </c>
      <c r="B864" s="8" t="s">
        <v>723</v>
      </c>
      <c r="C864" s="8" t="s">
        <v>724</v>
      </c>
      <c r="D864" s="26" t="n">
        <v>0</v>
      </c>
    </row>
    <row r="865" customFormat="false" ht="15" hidden="false" customHeight="true" outlineLevel="0" collapsed="false">
      <c r="A865" s="8" t="s">
        <v>1123</v>
      </c>
      <c r="B865" s="8" t="s">
        <v>725</v>
      </c>
      <c r="C865" s="8" t="s">
        <v>726</v>
      </c>
      <c r="D865" s="26" t="n">
        <v>0</v>
      </c>
    </row>
    <row r="866" customFormat="false" ht="15" hidden="false" customHeight="true" outlineLevel="0" collapsed="false">
      <c r="A866" s="8" t="s">
        <v>1123</v>
      </c>
      <c r="B866" s="8" t="s">
        <v>725</v>
      </c>
      <c r="C866" s="8" t="s">
        <v>727</v>
      </c>
      <c r="D866" s="26" t="n">
        <v>0</v>
      </c>
    </row>
    <row r="867" customFormat="false" ht="15" hidden="false" customHeight="true" outlineLevel="0" collapsed="false">
      <c r="A867" s="8" t="s">
        <v>1123</v>
      </c>
      <c r="B867" s="8" t="s">
        <v>725</v>
      </c>
      <c r="C867" s="8" t="s">
        <v>728</v>
      </c>
      <c r="D867" s="26" t="n">
        <v>0</v>
      </c>
    </row>
    <row r="868" customFormat="false" ht="15" hidden="false" customHeight="true" outlineLevel="0" collapsed="false">
      <c r="A868" s="8" t="s">
        <v>1123</v>
      </c>
      <c r="B868" s="8" t="s">
        <v>58</v>
      </c>
      <c r="C868" s="8" t="s">
        <v>729</v>
      </c>
      <c r="D868" s="26" t="n">
        <v>0</v>
      </c>
    </row>
    <row r="869" customFormat="false" ht="15" hidden="false" customHeight="true" outlineLevel="0" collapsed="false">
      <c r="A869" s="8" t="s">
        <v>1123</v>
      </c>
      <c r="B869" s="8" t="s">
        <v>58</v>
      </c>
      <c r="C869" s="8" t="s">
        <v>730</v>
      </c>
      <c r="D869" s="26" t="n">
        <v>0</v>
      </c>
    </row>
    <row r="870" customFormat="false" ht="15" hidden="false" customHeight="true" outlineLevel="0" collapsed="false">
      <c r="A870" s="8" t="s">
        <v>1123</v>
      </c>
      <c r="B870" s="8" t="s">
        <v>58</v>
      </c>
      <c r="C870" s="8" t="s">
        <v>731</v>
      </c>
      <c r="D870" s="26" t="n">
        <v>0</v>
      </c>
    </row>
    <row r="871" customFormat="false" ht="15" hidden="false" customHeight="true" outlineLevel="0" collapsed="false">
      <c r="A871" s="8" t="s">
        <v>1123</v>
      </c>
      <c r="B871" s="8" t="s">
        <v>58</v>
      </c>
      <c r="C871" s="8" t="s">
        <v>732</v>
      </c>
      <c r="D871" s="26" t="n">
        <v>0</v>
      </c>
    </row>
    <row r="872" customFormat="false" ht="15" hidden="false" customHeight="true" outlineLevel="0" collapsed="false">
      <c r="A872" s="8" t="s">
        <v>1123</v>
      </c>
      <c r="B872" s="8" t="s">
        <v>58</v>
      </c>
      <c r="C872" s="8" t="s">
        <v>733</v>
      </c>
      <c r="D872" s="26" t="n">
        <v>0</v>
      </c>
    </row>
    <row r="873" customFormat="false" ht="15" hidden="false" customHeight="true" outlineLevel="0" collapsed="false">
      <c r="A873" s="8" t="s">
        <v>1123</v>
      </c>
      <c r="B873" s="8" t="s">
        <v>734</v>
      </c>
      <c r="C873" s="8" t="s">
        <v>735</v>
      </c>
      <c r="D873" s="26" t="n">
        <v>0</v>
      </c>
    </row>
    <row r="874" customFormat="false" ht="15" hidden="false" customHeight="true" outlineLevel="0" collapsed="false">
      <c r="A874" s="8" t="s">
        <v>1123</v>
      </c>
      <c r="B874" s="8" t="s">
        <v>734</v>
      </c>
      <c r="C874" s="8" t="s">
        <v>736</v>
      </c>
      <c r="D874" s="26" t="n">
        <v>0</v>
      </c>
    </row>
    <row r="875" customFormat="false" ht="15" hidden="false" customHeight="true" outlineLevel="0" collapsed="false">
      <c r="A875" s="8" t="s">
        <v>1123</v>
      </c>
      <c r="B875" s="8" t="s">
        <v>737</v>
      </c>
      <c r="C875" s="8" t="s">
        <v>738</v>
      </c>
      <c r="D875" s="26" t="n">
        <v>0</v>
      </c>
    </row>
    <row r="876" customFormat="false" ht="15" hidden="false" customHeight="true" outlineLevel="0" collapsed="false">
      <c r="A876" s="8" t="s">
        <v>1123</v>
      </c>
      <c r="B876" s="8" t="s">
        <v>737</v>
      </c>
      <c r="C876" s="8" t="s">
        <v>739</v>
      </c>
      <c r="D876" s="26" t="n">
        <v>0</v>
      </c>
    </row>
    <row r="877" customFormat="false" ht="15" hidden="false" customHeight="true" outlineLevel="0" collapsed="false">
      <c r="A877" s="8" t="s">
        <v>1123</v>
      </c>
      <c r="B877" s="8" t="s">
        <v>737</v>
      </c>
      <c r="C877" s="8" t="s">
        <v>740</v>
      </c>
      <c r="D877" s="26" t="n">
        <v>0</v>
      </c>
    </row>
    <row r="878" customFormat="false" ht="15" hidden="false" customHeight="true" outlineLevel="0" collapsed="false">
      <c r="A878" s="8" t="s">
        <v>1123</v>
      </c>
      <c r="B878" s="8" t="s">
        <v>741</v>
      </c>
      <c r="C878" s="8" t="s">
        <v>742</v>
      </c>
      <c r="D878" s="26" t="n">
        <v>0</v>
      </c>
    </row>
    <row r="879" customFormat="false" ht="15" hidden="false" customHeight="true" outlineLevel="0" collapsed="false">
      <c r="A879" s="8" t="s">
        <v>1123</v>
      </c>
      <c r="B879" s="8" t="s">
        <v>741</v>
      </c>
      <c r="C879" s="8" t="s">
        <v>743</v>
      </c>
      <c r="D879" s="26" t="n">
        <v>0</v>
      </c>
    </row>
    <row r="880" customFormat="false" ht="15" hidden="false" customHeight="true" outlineLevel="0" collapsed="false">
      <c r="A880" s="8" t="s">
        <v>1123</v>
      </c>
      <c r="B880" s="8" t="s">
        <v>741</v>
      </c>
      <c r="C880" s="8" t="s">
        <v>744</v>
      </c>
      <c r="D880" s="26" t="n">
        <v>0</v>
      </c>
    </row>
    <row r="881" customFormat="false" ht="15" hidden="false" customHeight="true" outlineLevel="0" collapsed="false">
      <c r="A881" s="8" t="s">
        <v>1123</v>
      </c>
      <c r="B881" s="8" t="s">
        <v>76</v>
      </c>
      <c r="C881" s="8" t="s">
        <v>745</v>
      </c>
      <c r="D881" s="26" t="n">
        <v>0</v>
      </c>
    </row>
    <row r="882" customFormat="false" ht="15" hidden="false" customHeight="true" outlineLevel="0" collapsed="false">
      <c r="A882" s="8" t="s">
        <v>1123</v>
      </c>
      <c r="B882" s="8" t="s">
        <v>154</v>
      </c>
      <c r="C882" s="8" t="s">
        <v>746</v>
      </c>
      <c r="D882" s="26" t="n">
        <v>0</v>
      </c>
    </row>
    <row r="883" customFormat="false" ht="15" hidden="false" customHeight="true" outlineLevel="0" collapsed="false">
      <c r="A883" s="8" t="s">
        <v>1123</v>
      </c>
      <c r="B883" s="8" t="s">
        <v>154</v>
      </c>
      <c r="C883" s="8" t="s">
        <v>747</v>
      </c>
      <c r="D883" s="26" t="n">
        <v>0</v>
      </c>
    </row>
    <row r="884" customFormat="false" ht="15" hidden="false" customHeight="true" outlineLevel="0" collapsed="false">
      <c r="A884" s="8" t="s">
        <v>1123</v>
      </c>
      <c r="B884" s="8" t="s">
        <v>154</v>
      </c>
      <c r="C884" s="8" t="s">
        <v>748</v>
      </c>
      <c r="D884" s="26" t="n">
        <v>0</v>
      </c>
    </row>
    <row r="885" customFormat="false" ht="15" hidden="false" customHeight="true" outlineLevel="0" collapsed="false">
      <c r="A885" s="8" t="s">
        <v>1123</v>
      </c>
      <c r="B885" s="8" t="s">
        <v>749</v>
      </c>
      <c r="C885" s="8" t="s">
        <v>750</v>
      </c>
      <c r="D885" s="26" t="n">
        <v>0</v>
      </c>
    </row>
    <row r="886" customFormat="false" ht="15" hidden="false" customHeight="true" outlineLevel="0" collapsed="false">
      <c r="A886" s="8" t="s">
        <v>1123</v>
      </c>
      <c r="B886" s="8" t="s">
        <v>749</v>
      </c>
      <c r="C886" s="8" t="s">
        <v>751</v>
      </c>
      <c r="D886" s="26" t="n">
        <v>0</v>
      </c>
    </row>
    <row r="887" customFormat="false" ht="15" hidden="false" customHeight="true" outlineLevel="0" collapsed="false">
      <c r="A887" s="8" t="s">
        <v>1123</v>
      </c>
      <c r="B887" s="8" t="s">
        <v>749</v>
      </c>
      <c r="C887" s="8" t="s">
        <v>752</v>
      </c>
      <c r="D887" s="26" t="n">
        <v>0</v>
      </c>
    </row>
    <row r="888" customFormat="false" ht="15" hidden="false" customHeight="true" outlineLevel="0" collapsed="false">
      <c r="A888" s="8" t="s">
        <v>1123</v>
      </c>
      <c r="B888" s="8" t="s">
        <v>749</v>
      </c>
      <c r="C888" s="8" t="s">
        <v>753</v>
      </c>
      <c r="D888" s="26" t="n">
        <v>0</v>
      </c>
    </row>
    <row r="889" customFormat="false" ht="15" hidden="false" customHeight="true" outlineLevel="0" collapsed="false">
      <c r="A889" s="8" t="s">
        <v>1123</v>
      </c>
      <c r="B889" s="8" t="s">
        <v>749</v>
      </c>
      <c r="C889" s="8" t="s">
        <v>754</v>
      </c>
      <c r="D889" s="26" t="n">
        <v>0</v>
      </c>
    </row>
    <row r="890" customFormat="false" ht="15" hidden="false" customHeight="true" outlineLevel="0" collapsed="false">
      <c r="A890" s="8" t="s">
        <v>1123</v>
      </c>
      <c r="B890" s="8" t="s">
        <v>693</v>
      </c>
      <c r="C890" s="8" t="s">
        <v>755</v>
      </c>
      <c r="D890" s="26" t="n">
        <v>0</v>
      </c>
    </row>
    <row r="891" customFormat="false" ht="15" hidden="false" customHeight="true" outlineLevel="0" collapsed="false">
      <c r="A891" s="8" t="s">
        <v>1123</v>
      </c>
      <c r="B891" s="8" t="s">
        <v>723</v>
      </c>
      <c r="C891" s="8" t="s">
        <v>756</v>
      </c>
      <c r="D891" s="26" t="n">
        <v>0</v>
      </c>
    </row>
    <row r="892" customFormat="false" ht="15" hidden="false" customHeight="true" outlineLevel="0" collapsed="false">
      <c r="A892" s="8" t="s">
        <v>1123</v>
      </c>
      <c r="B892" s="8" t="s">
        <v>146</v>
      </c>
      <c r="C892" s="8" t="s">
        <v>757</v>
      </c>
      <c r="D892" s="26" t="n">
        <v>0</v>
      </c>
    </row>
    <row r="893" customFormat="false" ht="15" hidden="false" customHeight="true" outlineLevel="0" collapsed="false">
      <c r="A893" s="8" t="s">
        <v>1123</v>
      </c>
      <c r="B893" s="8" t="s">
        <v>102</v>
      </c>
      <c r="C893" s="8" t="s">
        <v>758</v>
      </c>
      <c r="D893" s="26" t="n">
        <v>0</v>
      </c>
    </row>
    <row r="894" customFormat="false" ht="15" hidden="false" customHeight="true" outlineLevel="0" collapsed="false">
      <c r="A894" s="8" t="s">
        <v>1123</v>
      </c>
      <c r="B894" s="8" t="s">
        <v>63</v>
      </c>
      <c r="C894" s="8" t="s">
        <v>759</v>
      </c>
      <c r="D894" s="26" t="n">
        <v>0</v>
      </c>
    </row>
    <row r="895" customFormat="false" ht="15" hidden="false" customHeight="true" outlineLevel="0" collapsed="false">
      <c r="A895" s="8" t="s">
        <v>1123</v>
      </c>
      <c r="B895" s="8" t="s">
        <v>760</v>
      </c>
      <c r="C895" s="8" t="s">
        <v>761</v>
      </c>
      <c r="D895" s="26" t="n">
        <v>0</v>
      </c>
    </row>
    <row r="896" customFormat="false" ht="15" hidden="false" customHeight="true" outlineLevel="0" collapsed="false">
      <c r="A896" s="8" t="s">
        <v>1123</v>
      </c>
      <c r="B896" s="8" t="s">
        <v>762</v>
      </c>
      <c r="C896" s="8" t="s">
        <v>763</v>
      </c>
      <c r="D896" s="26" t="n">
        <v>0</v>
      </c>
    </row>
    <row r="897" customFormat="false" ht="15" hidden="false" customHeight="true" outlineLevel="0" collapsed="false">
      <c r="A897" s="8" t="s">
        <v>1123</v>
      </c>
      <c r="B897" s="8" t="s">
        <v>764</v>
      </c>
      <c r="C897" s="8" t="s">
        <v>765</v>
      </c>
      <c r="D897" s="26" t="n">
        <v>0</v>
      </c>
    </row>
    <row r="898" customFormat="false" ht="15" hidden="false" customHeight="true" outlineLevel="0" collapsed="false">
      <c r="A898" s="8" t="s">
        <v>1123</v>
      </c>
      <c r="B898" s="8" t="s">
        <v>766</v>
      </c>
      <c r="C898" s="8" t="s">
        <v>767</v>
      </c>
      <c r="D898" s="26" t="n">
        <v>0</v>
      </c>
    </row>
    <row r="899" customFormat="false" ht="15" hidden="false" customHeight="true" outlineLevel="0" collapsed="false">
      <c r="A899" s="8" t="s">
        <v>1123</v>
      </c>
      <c r="B899" s="8" t="s">
        <v>768</v>
      </c>
      <c r="C899" s="8" t="s">
        <v>769</v>
      </c>
      <c r="D899" s="26" t="n">
        <v>0</v>
      </c>
    </row>
    <row r="900" customFormat="false" ht="15" hidden="false" customHeight="true" outlineLevel="0" collapsed="false">
      <c r="A900" s="8" t="s">
        <v>1123</v>
      </c>
      <c r="B900" s="8" t="s">
        <v>55</v>
      </c>
      <c r="C900" s="8" t="s">
        <v>770</v>
      </c>
      <c r="D900" s="26" t="n">
        <v>0</v>
      </c>
    </row>
    <row r="901" customFormat="false" ht="15" hidden="false" customHeight="true" outlineLevel="0" collapsed="false">
      <c r="A901" s="8" t="s">
        <v>1123</v>
      </c>
      <c r="B901" s="8" t="s">
        <v>127</v>
      </c>
      <c r="C901" s="8" t="s">
        <v>771</v>
      </c>
      <c r="D901" s="26" t="n">
        <v>0</v>
      </c>
    </row>
    <row r="902" customFormat="false" ht="15" hidden="false" customHeight="true" outlineLevel="0" collapsed="false">
      <c r="A902" s="8" t="s">
        <v>1123</v>
      </c>
      <c r="B902" s="8" t="s">
        <v>772</v>
      </c>
      <c r="C902" s="8" t="s">
        <v>773</v>
      </c>
      <c r="D902" s="26" t="n">
        <v>0</v>
      </c>
    </row>
    <row r="903" customFormat="false" ht="15" hidden="false" customHeight="true" outlineLevel="0" collapsed="false">
      <c r="A903" s="8" t="s">
        <v>1123</v>
      </c>
      <c r="B903" s="8" t="s">
        <v>772</v>
      </c>
      <c r="C903" s="8" t="s">
        <v>774</v>
      </c>
      <c r="D903" s="26" t="n">
        <v>0</v>
      </c>
    </row>
    <row r="904" customFormat="false" ht="15" hidden="false" customHeight="true" outlineLevel="0" collapsed="false">
      <c r="A904" s="8" t="s">
        <v>1123</v>
      </c>
      <c r="B904" s="8" t="s">
        <v>772</v>
      </c>
      <c r="C904" s="8" t="s">
        <v>775</v>
      </c>
      <c r="D904" s="26" t="n">
        <v>0</v>
      </c>
    </row>
    <row r="905" customFormat="false" ht="15" hidden="false" customHeight="true" outlineLevel="0" collapsed="false">
      <c r="A905" s="8" t="s">
        <v>1123</v>
      </c>
      <c r="B905" s="8" t="s">
        <v>772</v>
      </c>
      <c r="C905" s="8" t="s">
        <v>776</v>
      </c>
      <c r="D905" s="26" t="n">
        <v>0</v>
      </c>
    </row>
    <row r="906" customFormat="false" ht="15" hidden="false" customHeight="true" outlineLevel="0" collapsed="false">
      <c r="A906" s="8" t="s">
        <v>1123</v>
      </c>
      <c r="B906" s="8" t="s">
        <v>777</v>
      </c>
      <c r="C906" s="8" t="s">
        <v>778</v>
      </c>
      <c r="D906" s="26" t="n">
        <v>0</v>
      </c>
    </row>
    <row r="907" customFormat="false" ht="15" hidden="false" customHeight="true" outlineLevel="0" collapsed="false">
      <c r="A907" s="8" t="s">
        <v>1123</v>
      </c>
      <c r="B907" s="8" t="s">
        <v>779</v>
      </c>
      <c r="C907" s="8" t="s">
        <v>780</v>
      </c>
      <c r="D907" s="26" t="n">
        <v>0</v>
      </c>
    </row>
    <row r="908" customFormat="false" ht="15" hidden="false" customHeight="true" outlineLevel="0" collapsed="false">
      <c r="A908" s="8" t="s">
        <v>1123</v>
      </c>
      <c r="B908" s="8" t="s">
        <v>779</v>
      </c>
      <c r="C908" s="8" t="s">
        <v>781</v>
      </c>
      <c r="D908" s="26" t="n">
        <v>0</v>
      </c>
    </row>
    <row r="909" customFormat="false" ht="15" hidden="false" customHeight="true" outlineLevel="0" collapsed="false">
      <c r="A909" s="8" t="s">
        <v>1123</v>
      </c>
      <c r="B909" s="8" t="s">
        <v>779</v>
      </c>
      <c r="C909" s="8" t="s">
        <v>782</v>
      </c>
      <c r="D909" s="26" t="n">
        <v>0</v>
      </c>
    </row>
    <row r="910" customFormat="false" ht="15" hidden="false" customHeight="true" outlineLevel="0" collapsed="false">
      <c r="A910" s="8" t="s">
        <v>1123</v>
      </c>
      <c r="B910" s="8" t="s">
        <v>779</v>
      </c>
      <c r="C910" s="8" t="s">
        <v>783</v>
      </c>
      <c r="D910" s="26" t="n">
        <v>0</v>
      </c>
    </row>
    <row r="911" customFormat="false" ht="15" hidden="false" customHeight="true" outlineLevel="0" collapsed="false">
      <c r="A911" s="8" t="s">
        <v>1123</v>
      </c>
      <c r="B911" s="8" t="s">
        <v>779</v>
      </c>
      <c r="C911" s="8" t="s">
        <v>784</v>
      </c>
      <c r="D911" s="26" t="n">
        <v>0</v>
      </c>
    </row>
    <row r="912" customFormat="false" ht="15" hidden="false" customHeight="true" outlineLevel="0" collapsed="false">
      <c r="A912" s="8" t="s">
        <v>1123</v>
      </c>
      <c r="B912" s="8" t="s">
        <v>785</v>
      </c>
      <c r="C912" s="8" t="s">
        <v>786</v>
      </c>
      <c r="D912" s="26" t="n">
        <v>0</v>
      </c>
    </row>
    <row r="913" customFormat="false" ht="15" hidden="false" customHeight="true" outlineLevel="0" collapsed="false">
      <c r="A913" s="8" t="s">
        <v>1123</v>
      </c>
      <c r="B913" s="8" t="s">
        <v>785</v>
      </c>
      <c r="C913" s="8" t="s">
        <v>787</v>
      </c>
      <c r="D913" s="26" t="n">
        <v>0</v>
      </c>
    </row>
    <row r="914" customFormat="false" ht="15" hidden="false" customHeight="true" outlineLevel="0" collapsed="false">
      <c r="A914" s="8" t="s">
        <v>1123</v>
      </c>
      <c r="B914" s="8" t="s">
        <v>785</v>
      </c>
      <c r="C914" s="8" t="s">
        <v>788</v>
      </c>
      <c r="D914" s="26" t="n">
        <v>0</v>
      </c>
    </row>
    <row r="915" customFormat="false" ht="15" hidden="false" customHeight="true" outlineLevel="0" collapsed="false">
      <c r="A915" s="8" t="s">
        <v>1123</v>
      </c>
      <c r="B915" s="8" t="s">
        <v>785</v>
      </c>
      <c r="C915" s="8" t="s">
        <v>789</v>
      </c>
      <c r="D915" s="26" t="n">
        <v>0</v>
      </c>
    </row>
    <row r="916" customFormat="false" ht="15" hidden="false" customHeight="true" outlineLevel="0" collapsed="false">
      <c r="A916" s="8" t="s">
        <v>1123</v>
      </c>
      <c r="B916" s="8" t="s">
        <v>790</v>
      </c>
      <c r="C916" s="8" t="s">
        <v>791</v>
      </c>
      <c r="D916" s="26" t="n">
        <v>0</v>
      </c>
    </row>
    <row r="917" customFormat="false" ht="15" hidden="false" customHeight="true" outlineLevel="0" collapsed="false">
      <c r="A917" s="8" t="s">
        <v>1123</v>
      </c>
      <c r="B917" s="8" t="s">
        <v>126</v>
      </c>
      <c r="C917" s="8" t="s">
        <v>792</v>
      </c>
      <c r="D917" s="26" t="n">
        <v>0</v>
      </c>
    </row>
    <row r="918" customFormat="false" ht="15" hidden="false" customHeight="true" outlineLevel="0" collapsed="false">
      <c r="A918" s="8" t="s">
        <v>1123</v>
      </c>
      <c r="B918" s="8" t="s">
        <v>793</v>
      </c>
      <c r="C918" s="8" t="s">
        <v>794</v>
      </c>
      <c r="D918" s="26" t="n">
        <v>0</v>
      </c>
    </row>
    <row r="919" customFormat="false" ht="15" hidden="false" customHeight="true" outlineLevel="0" collapsed="false">
      <c r="A919" s="8" t="s">
        <v>1123</v>
      </c>
      <c r="B919" s="8" t="s">
        <v>795</v>
      </c>
      <c r="C919" s="8" t="s">
        <v>796</v>
      </c>
      <c r="D919" s="26" t="n">
        <v>0</v>
      </c>
    </row>
    <row r="920" customFormat="false" ht="15" hidden="false" customHeight="true" outlineLevel="0" collapsed="false">
      <c r="A920" s="8" t="s">
        <v>1123</v>
      </c>
      <c r="B920" s="8" t="s">
        <v>797</v>
      </c>
      <c r="C920" s="8" t="s">
        <v>798</v>
      </c>
      <c r="D920" s="26" t="n">
        <v>0</v>
      </c>
    </row>
    <row r="921" customFormat="false" ht="15" hidden="false" customHeight="true" outlineLevel="0" collapsed="false">
      <c r="A921" s="8" t="s">
        <v>1123</v>
      </c>
      <c r="B921" s="8" t="s">
        <v>72</v>
      </c>
      <c r="C921" s="8" t="s">
        <v>799</v>
      </c>
      <c r="D921" s="26" t="n">
        <v>0</v>
      </c>
    </row>
    <row r="922" customFormat="false" ht="15" hidden="false" customHeight="true" outlineLevel="0" collapsed="false">
      <c r="A922" s="8" t="s">
        <v>1123</v>
      </c>
      <c r="B922" s="8" t="s">
        <v>800</v>
      </c>
      <c r="C922" s="8" t="s">
        <v>801</v>
      </c>
      <c r="D922" s="26" t="n">
        <v>0</v>
      </c>
    </row>
    <row r="923" customFormat="false" ht="15" hidden="false" customHeight="true" outlineLevel="0" collapsed="false">
      <c r="A923" s="8" t="s">
        <v>1123</v>
      </c>
      <c r="B923" s="8" t="s">
        <v>800</v>
      </c>
      <c r="C923" s="8" t="s">
        <v>802</v>
      </c>
      <c r="D923" s="26" t="n">
        <v>0</v>
      </c>
    </row>
    <row r="924" customFormat="false" ht="15" hidden="false" customHeight="true" outlineLevel="0" collapsed="false">
      <c r="A924" s="8" t="s">
        <v>1123</v>
      </c>
      <c r="B924" s="8" t="s">
        <v>803</v>
      </c>
      <c r="C924" s="8" t="s">
        <v>804</v>
      </c>
      <c r="D924" s="26" t="n">
        <v>0</v>
      </c>
    </row>
    <row r="925" customFormat="false" ht="15" hidden="false" customHeight="true" outlineLevel="0" collapsed="false">
      <c r="A925" s="8" t="s">
        <v>1123</v>
      </c>
      <c r="B925" s="8" t="s">
        <v>803</v>
      </c>
      <c r="C925" s="8" t="s">
        <v>805</v>
      </c>
      <c r="D925" s="26" t="n">
        <v>0</v>
      </c>
    </row>
    <row r="926" customFormat="false" ht="15" hidden="false" customHeight="true" outlineLevel="0" collapsed="false">
      <c r="A926" s="8" t="s">
        <v>1123</v>
      </c>
      <c r="B926" s="8" t="s">
        <v>803</v>
      </c>
      <c r="C926" s="8" t="s">
        <v>802</v>
      </c>
      <c r="D926" s="26" t="n">
        <v>0</v>
      </c>
    </row>
    <row r="927" customFormat="false" ht="15" hidden="false" customHeight="true" outlineLevel="0" collapsed="false">
      <c r="A927" s="8" t="s">
        <v>1123</v>
      </c>
      <c r="B927" s="8" t="s">
        <v>806</v>
      </c>
      <c r="C927" s="8" t="s">
        <v>807</v>
      </c>
      <c r="D927" s="26" t="n">
        <v>0</v>
      </c>
    </row>
    <row r="928" customFormat="false" ht="15" hidden="false" customHeight="true" outlineLevel="0" collapsed="false">
      <c r="A928" s="8" t="s">
        <v>1123</v>
      </c>
      <c r="B928" s="8" t="s">
        <v>806</v>
      </c>
      <c r="C928" s="8" t="s">
        <v>808</v>
      </c>
      <c r="D928" s="26" t="n">
        <v>0</v>
      </c>
    </row>
    <row r="929" customFormat="false" ht="15" hidden="false" customHeight="true" outlineLevel="0" collapsed="false">
      <c r="A929" s="8" t="s">
        <v>1123</v>
      </c>
      <c r="B929" s="8" t="s">
        <v>809</v>
      </c>
      <c r="C929" s="8" t="s">
        <v>807</v>
      </c>
      <c r="D929" s="26" t="n">
        <v>0</v>
      </c>
    </row>
    <row r="930" customFormat="false" ht="15" hidden="false" customHeight="true" outlineLevel="0" collapsed="false">
      <c r="A930" s="8" t="s">
        <v>1123</v>
      </c>
      <c r="B930" s="8" t="s">
        <v>809</v>
      </c>
      <c r="C930" s="8" t="s">
        <v>808</v>
      </c>
      <c r="D930" s="26" t="n">
        <v>0</v>
      </c>
    </row>
    <row r="931" customFormat="false" ht="15" hidden="false" customHeight="true" outlineLevel="0" collapsed="false">
      <c r="A931" s="8" t="s">
        <v>1123</v>
      </c>
      <c r="B931" s="8" t="s">
        <v>150</v>
      </c>
      <c r="C931" s="8" t="s">
        <v>810</v>
      </c>
      <c r="D931" s="26" t="n">
        <v>0</v>
      </c>
    </row>
    <row r="932" customFormat="false" ht="15" hidden="false" customHeight="true" outlineLevel="0" collapsed="false">
      <c r="A932" s="8" t="s">
        <v>1123</v>
      </c>
      <c r="B932" s="8" t="s">
        <v>811</v>
      </c>
      <c r="C932" s="8" t="s">
        <v>812</v>
      </c>
      <c r="D932" s="26" t="n">
        <v>0</v>
      </c>
    </row>
    <row r="933" customFormat="false" ht="15" hidden="false" customHeight="true" outlineLevel="0" collapsed="false">
      <c r="A933" s="8" t="s">
        <v>1123</v>
      </c>
      <c r="B933" s="8" t="s">
        <v>811</v>
      </c>
      <c r="C933" s="8" t="s">
        <v>813</v>
      </c>
      <c r="D933" s="26" t="n">
        <v>0</v>
      </c>
    </row>
    <row r="934" customFormat="false" ht="15" hidden="false" customHeight="true" outlineLevel="0" collapsed="false">
      <c r="A934" s="8" t="s">
        <v>1123</v>
      </c>
      <c r="B934" s="8" t="s">
        <v>814</v>
      </c>
      <c r="C934" s="8" t="s">
        <v>815</v>
      </c>
      <c r="D934" s="26" t="n">
        <v>0</v>
      </c>
    </row>
    <row r="935" customFormat="false" ht="15" hidden="false" customHeight="true" outlineLevel="0" collapsed="false">
      <c r="A935" s="8" t="s">
        <v>1123</v>
      </c>
      <c r="B935" s="8" t="s">
        <v>814</v>
      </c>
      <c r="C935" s="8" t="s">
        <v>816</v>
      </c>
      <c r="D935" s="26" t="n">
        <v>0</v>
      </c>
    </row>
    <row r="936" customFormat="false" ht="15" hidden="false" customHeight="true" outlineLevel="0" collapsed="false">
      <c r="A936" s="8" t="s">
        <v>1123</v>
      </c>
      <c r="B936" s="8" t="s">
        <v>811</v>
      </c>
      <c r="C936" s="8" t="s">
        <v>817</v>
      </c>
      <c r="D936" s="26" t="n">
        <v>0</v>
      </c>
    </row>
    <row r="937" customFormat="false" ht="15" hidden="false" customHeight="true" outlineLevel="0" collapsed="false">
      <c r="A937" s="8" t="s">
        <v>1123</v>
      </c>
      <c r="B937" s="8" t="s">
        <v>818</v>
      </c>
      <c r="C937" s="8" t="s">
        <v>815</v>
      </c>
      <c r="D937" s="26" t="n">
        <v>0</v>
      </c>
    </row>
    <row r="938" customFormat="false" ht="15" hidden="false" customHeight="true" outlineLevel="0" collapsed="false">
      <c r="A938" s="8" t="s">
        <v>1123</v>
      </c>
      <c r="B938" s="8" t="s">
        <v>779</v>
      </c>
      <c r="C938" s="8" t="s">
        <v>819</v>
      </c>
      <c r="D938" s="26" t="n">
        <v>0</v>
      </c>
    </row>
    <row r="939" customFormat="false" ht="15" hidden="false" customHeight="true" outlineLevel="0" collapsed="false">
      <c r="A939" s="8" t="s">
        <v>1123</v>
      </c>
      <c r="B939" s="8" t="s">
        <v>51</v>
      </c>
      <c r="C939" s="8" t="s">
        <v>820</v>
      </c>
      <c r="D939" s="26" t="n">
        <v>0</v>
      </c>
    </row>
    <row r="940" customFormat="false" ht="15" hidden="false" customHeight="true" outlineLevel="0" collapsed="false">
      <c r="A940" s="8" t="s">
        <v>1123</v>
      </c>
      <c r="B940" s="8" t="s">
        <v>51</v>
      </c>
      <c r="C940" s="8" t="s">
        <v>821</v>
      </c>
      <c r="D940" s="26" t="n">
        <v>0</v>
      </c>
    </row>
    <row r="941" customFormat="false" ht="15" hidden="false" customHeight="true" outlineLevel="0" collapsed="false">
      <c r="A941" s="8" t="s">
        <v>1123</v>
      </c>
      <c r="B941" s="8" t="s">
        <v>51</v>
      </c>
      <c r="C941" s="8" t="s">
        <v>822</v>
      </c>
      <c r="D941" s="26" t="n">
        <v>0</v>
      </c>
    </row>
    <row r="942" customFormat="false" ht="15" hidden="false" customHeight="true" outlineLevel="0" collapsed="false">
      <c r="A942" s="8" t="s">
        <v>1123</v>
      </c>
      <c r="B942" s="8" t="s">
        <v>823</v>
      </c>
      <c r="C942" s="8" t="s">
        <v>824</v>
      </c>
      <c r="D942" s="26" t="n">
        <v>0</v>
      </c>
    </row>
    <row r="943" customFormat="false" ht="15" hidden="false" customHeight="true" outlineLevel="0" collapsed="false">
      <c r="A943" s="8" t="s">
        <v>1123</v>
      </c>
      <c r="B943" s="8" t="s">
        <v>823</v>
      </c>
      <c r="C943" s="8" t="s">
        <v>825</v>
      </c>
      <c r="D943" s="26" t="n">
        <v>0</v>
      </c>
    </row>
    <row r="944" customFormat="false" ht="15" hidden="false" customHeight="true" outlineLevel="0" collapsed="false">
      <c r="A944" s="8" t="s">
        <v>1123</v>
      </c>
      <c r="B944" s="8" t="s">
        <v>823</v>
      </c>
      <c r="C944" s="8" t="s">
        <v>826</v>
      </c>
      <c r="D944" s="26" t="n">
        <v>0</v>
      </c>
    </row>
    <row r="945" customFormat="false" ht="15" hidden="false" customHeight="true" outlineLevel="0" collapsed="false">
      <c r="A945" s="8" t="s">
        <v>1123</v>
      </c>
      <c r="B945" s="8" t="s">
        <v>827</v>
      </c>
      <c r="C945" s="8" t="s">
        <v>828</v>
      </c>
      <c r="D945" s="26" t="n">
        <v>0</v>
      </c>
    </row>
    <row r="946" customFormat="false" ht="15" hidden="false" customHeight="true" outlineLevel="0" collapsed="false">
      <c r="A946" s="8" t="s">
        <v>1123</v>
      </c>
      <c r="B946" s="8" t="s">
        <v>116</v>
      </c>
      <c r="C946" s="8" t="s">
        <v>692</v>
      </c>
      <c r="D946" s="26" t="n">
        <v>0</v>
      </c>
    </row>
    <row r="947" customFormat="false" ht="15" hidden="false" customHeight="true" outlineLevel="0" collapsed="false">
      <c r="A947" s="8" t="s">
        <v>1123</v>
      </c>
      <c r="B947" s="8" t="s">
        <v>829</v>
      </c>
      <c r="C947" s="8" t="s">
        <v>830</v>
      </c>
      <c r="D947" s="26" t="n">
        <v>0</v>
      </c>
    </row>
    <row r="948" customFormat="false" ht="15" hidden="false" customHeight="true" outlineLevel="0" collapsed="false">
      <c r="A948" s="8" t="s">
        <v>1123</v>
      </c>
      <c r="B948" s="8" t="s">
        <v>831</v>
      </c>
      <c r="C948" s="8" t="s">
        <v>832</v>
      </c>
      <c r="D948" s="26" t="n">
        <v>0</v>
      </c>
    </row>
    <row r="949" customFormat="false" ht="15" hidden="false" customHeight="true" outlineLevel="0" collapsed="false">
      <c r="A949" s="8" t="s">
        <v>1123</v>
      </c>
      <c r="B949" s="8" t="s">
        <v>831</v>
      </c>
      <c r="C949" s="8" t="s">
        <v>833</v>
      </c>
      <c r="D949" s="26" t="n">
        <v>0</v>
      </c>
    </row>
    <row r="950" customFormat="false" ht="15" hidden="false" customHeight="true" outlineLevel="0" collapsed="false">
      <c r="A950" s="8" t="s">
        <v>1123</v>
      </c>
      <c r="B950" s="8" t="s">
        <v>831</v>
      </c>
      <c r="C950" s="8" t="s">
        <v>834</v>
      </c>
      <c r="D950" s="26" t="n">
        <v>0</v>
      </c>
    </row>
    <row r="951" customFormat="false" ht="15" hidden="false" customHeight="true" outlineLevel="0" collapsed="false">
      <c r="A951" s="8" t="s">
        <v>1123</v>
      </c>
      <c r="B951" s="8" t="s">
        <v>831</v>
      </c>
      <c r="C951" s="8" t="s">
        <v>835</v>
      </c>
      <c r="D951" s="26" t="n">
        <v>0</v>
      </c>
    </row>
    <row r="952" customFormat="false" ht="15" hidden="false" customHeight="true" outlineLevel="0" collapsed="false">
      <c r="A952" s="8" t="s">
        <v>1123</v>
      </c>
      <c r="B952" s="8" t="s">
        <v>831</v>
      </c>
      <c r="C952" s="8" t="s">
        <v>836</v>
      </c>
      <c r="D952" s="26" t="n">
        <v>0</v>
      </c>
    </row>
    <row r="953" customFormat="false" ht="15" hidden="false" customHeight="true" outlineLevel="0" collapsed="false">
      <c r="A953" s="8" t="s">
        <v>1123</v>
      </c>
      <c r="B953" s="8" t="s">
        <v>837</v>
      </c>
      <c r="C953" s="8" t="s">
        <v>838</v>
      </c>
      <c r="D953" s="26" t="n">
        <v>0</v>
      </c>
    </row>
    <row r="954" customFormat="false" ht="15" hidden="false" customHeight="true" outlineLevel="0" collapsed="false">
      <c r="A954" s="8" t="s">
        <v>1123</v>
      </c>
      <c r="B954" s="8" t="s">
        <v>839</v>
      </c>
      <c r="C954" s="8" t="s">
        <v>840</v>
      </c>
      <c r="D954" s="26" t="n">
        <v>0</v>
      </c>
    </row>
    <row r="955" customFormat="false" ht="15" hidden="false" customHeight="true" outlineLevel="0" collapsed="false">
      <c r="A955" s="8" t="s">
        <v>1123</v>
      </c>
      <c r="B955" s="8" t="s">
        <v>841</v>
      </c>
      <c r="C955" s="8" t="s">
        <v>842</v>
      </c>
      <c r="D955" s="26" t="n">
        <v>0</v>
      </c>
    </row>
    <row r="956" customFormat="false" ht="15" hidden="false" customHeight="true" outlineLevel="0" collapsed="false">
      <c r="A956" s="8" t="s">
        <v>1123</v>
      </c>
      <c r="B956" s="8" t="s">
        <v>843</v>
      </c>
      <c r="C956" s="8" t="s">
        <v>844</v>
      </c>
      <c r="D956" s="26" t="n">
        <v>0</v>
      </c>
    </row>
    <row r="957" customFormat="false" ht="15" hidden="false" customHeight="true" outlineLevel="0" collapsed="false">
      <c r="A957" s="8" t="s">
        <v>1123</v>
      </c>
      <c r="B957" s="8" t="s">
        <v>845</v>
      </c>
      <c r="C957" s="8" t="s">
        <v>846</v>
      </c>
      <c r="D957" s="26" t="n">
        <v>0</v>
      </c>
    </row>
    <row r="958" customFormat="false" ht="15" hidden="false" customHeight="true" outlineLevel="0" collapsed="false">
      <c r="A958" s="8" t="s">
        <v>1123</v>
      </c>
      <c r="B958" s="8" t="s">
        <v>74</v>
      </c>
      <c r="C958" s="8" t="s">
        <v>847</v>
      </c>
      <c r="D958" s="26" t="n">
        <v>0</v>
      </c>
    </row>
    <row r="959" customFormat="false" ht="15" hidden="false" customHeight="true" outlineLevel="0" collapsed="false">
      <c r="A959" s="8" t="s">
        <v>1123</v>
      </c>
      <c r="B959" s="8" t="s">
        <v>848</v>
      </c>
      <c r="C959" s="8" t="s">
        <v>849</v>
      </c>
      <c r="D959" s="26" t="n">
        <v>0</v>
      </c>
    </row>
    <row r="960" customFormat="false" ht="15" hidden="false" customHeight="true" outlineLevel="0" collapsed="false">
      <c r="A960" s="8" t="s">
        <v>1123</v>
      </c>
      <c r="B960" s="8" t="s">
        <v>123</v>
      </c>
      <c r="C960" s="8" t="s">
        <v>850</v>
      </c>
      <c r="D960" s="26" t="n">
        <v>0</v>
      </c>
    </row>
    <row r="961" customFormat="false" ht="15" hidden="false" customHeight="true" outlineLevel="0" collapsed="false">
      <c r="A961" s="8" t="s">
        <v>1123</v>
      </c>
      <c r="B961" s="8" t="s">
        <v>851</v>
      </c>
      <c r="C961" s="8" t="s">
        <v>852</v>
      </c>
      <c r="D961" s="26" t="n">
        <v>0</v>
      </c>
    </row>
    <row r="962" customFormat="false" ht="15" hidden="false" customHeight="true" outlineLevel="0" collapsed="false">
      <c r="A962" s="8" t="s">
        <v>1123</v>
      </c>
      <c r="B962" s="8" t="s">
        <v>91</v>
      </c>
      <c r="C962" s="8" t="s">
        <v>853</v>
      </c>
      <c r="D962" s="26" t="n">
        <v>0</v>
      </c>
    </row>
    <row r="963" customFormat="false" ht="15" hidden="false" customHeight="true" outlineLevel="0" collapsed="false">
      <c r="A963" s="8" t="s">
        <v>1123</v>
      </c>
      <c r="B963" s="8" t="s">
        <v>136</v>
      </c>
      <c r="C963" s="8" t="s">
        <v>854</v>
      </c>
      <c r="D963" s="26" t="n">
        <v>0</v>
      </c>
    </row>
    <row r="964" customFormat="false" ht="15" hidden="false" customHeight="true" outlineLevel="0" collapsed="false">
      <c r="A964" s="8" t="s">
        <v>1123</v>
      </c>
      <c r="B964" s="8" t="s">
        <v>855</v>
      </c>
      <c r="C964" s="8" t="s">
        <v>856</v>
      </c>
      <c r="D964" s="26" t="n">
        <v>0</v>
      </c>
    </row>
    <row r="965" customFormat="false" ht="15" hidden="false" customHeight="true" outlineLevel="0" collapsed="false">
      <c r="A965" s="8" t="s">
        <v>1123</v>
      </c>
      <c r="B965" s="8" t="s">
        <v>855</v>
      </c>
      <c r="C965" s="8" t="s">
        <v>857</v>
      </c>
      <c r="D965" s="26" t="n">
        <v>0</v>
      </c>
    </row>
    <row r="966" customFormat="false" ht="15" hidden="false" customHeight="true" outlineLevel="0" collapsed="false">
      <c r="A966" s="8" t="s">
        <v>1123</v>
      </c>
      <c r="B966" s="8" t="s">
        <v>855</v>
      </c>
      <c r="C966" s="8" t="s">
        <v>858</v>
      </c>
      <c r="D966" s="26" t="n">
        <v>0</v>
      </c>
    </row>
    <row r="967" customFormat="false" ht="15" hidden="false" customHeight="true" outlineLevel="0" collapsed="false">
      <c r="A967" s="8" t="s">
        <v>1123</v>
      </c>
      <c r="B967" s="8" t="s">
        <v>855</v>
      </c>
      <c r="C967" s="8" t="s">
        <v>859</v>
      </c>
      <c r="D967" s="26" t="n">
        <v>0</v>
      </c>
    </row>
    <row r="968" customFormat="false" ht="15" hidden="false" customHeight="true" outlineLevel="0" collapsed="false">
      <c r="A968" s="8" t="s">
        <v>1123</v>
      </c>
      <c r="B968" s="8" t="s">
        <v>855</v>
      </c>
      <c r="C968" s="8" t="s">
        <v>860</v>
      </c>
      <c r="D968" s="26" t="n">
        <v>0</v>
      </c>
    </row>
    <row r="969" customFormat="false" ht="15" hidden="false" customHeight="true" outlineLevel="0" collapsed="false">
      <c r="A969" s="8" t="s">
        <v>1123</v>
      </c>
      <c r="B969" s="8" t="s">
        <v>855</v>
      </c>
      <c r="C969" s="8" t="s">
        <v>861</v>
      </c>
      <c r="D969" s="26" t="n">
        <v>0</v>
      </c>
    </row>
    <row r="970" customFormat="false" ht="15" hidden="false" customHeight="true" outlineLevel="0" collapsed="false">
      <c r="A970" s="8" t="s">
        <v>1123</v>
      </c>
      <c r="B970" s="8" t="s">
        <v>855</v>
      </c>
      <c r="C970" s="8" t="s">
        <v>862</v>
      </c>
      <c r="D970" s="26" t="n">
        <v>0</v>
      </c>
    </row>
    <row r="971" customFormat="false" ht="15" hidden="false" customHeight="true" outlineLevel="0" collapsed="false">
      <c r="A971" s="8" t="s">
        <v>1123</v>
      </c>
      <c r="B971" s="8" t="s">
        <v>855</v>
      </c>
      <c r="C971" s="8" t="s">
        <v>863</v>
      </c>
      <c r="D971" s="26" t="n">
        <v>0</v>
      </c>
    </row>
    <row r="972" customFormat="false" ht="15" hidden="false" customHeight="true" outlineLevel="0" collapsed="false">
      <c r="A972" s="8" t="s">
        <v>1123</v>
      </c>
      <c r="B972" s="8" t="s">
        <v>855</v>
      </c>
      <c r="C972" s="8" t="s">
        <v>864</v>
      </c>
      <c r="D972" s="26" t="n">
        <v>0</v>
      </c>
    </row>
    <row r="973" customFormat="false" ht="15" hidden="false" customHeight="true" outlineLevel="0" collapsed="false">
      <c r="A973" s="8" t="s">
        <v>1123</v>
      </c>
      <c r="B973" s="8" t="s">
        <v>855</v>
      </c>
      <c r="C973" s="8" t="s">
        <v>865</v>
      </c>
      <c r="D973" s="26" t="n">
        <v>0</v>
      </c>
    </row>
    <row r="974" customFormat="false" ht="15" hidden="false" customHeight="true" outlineLevel="0" collapsed="false">
      <c r="A974" s="8" t="s">
        <v>1123</v>
      </c>
      <c r="B974" s="8" t="s">
        <v>855</v>
      </c>
      <c r="C974" s="8" t="s">
        <v>866</v>
      </c>
      <c r="D974" s="26" t="n">
        <v>0</v>
      </c>
    </row>
    <row r="975" customFormat="false" ht="15" hidden="false" customHeight="true" outlineLevel="0" collapsed="false">
      <c r="A975" s="8" t="s">
        <v>1123</v>
      </c>
      <c r="B975" s="8" t="s">
        <v>124</v>
      </c>
      <c r="C975" s="8" t="s">
        <v>867</v>
      </c>
      <c r="D975" s="26" t="n">
        <v>0</v>
      </c>
    </row>
    <row r="976" customFormat="false" ht="15" hidden="false" customHeight="true" outlineLevel="0" collapsed="false">
      <c r="A976" s="8" t="s">
        <v>1123</v>
      </c>
      <c r="B976" s="8" t="s">
        <v>109</v>
      </c>
      <c r="C976" s="8" t="s">
        <v>868</v>
      </c>
      <c r="D976" s="26" t="n">
        <v>0</v>
      </c>
    </row>
    <row r="977" customFormat="false" ht="15" hidden="false" customHeight="true" outlineLevel="0" collapsed="false">
      <c r="A977" s="8" t="s">
        <v>1123</v>
      </c>
      <c r="B977" s="8" t="s">
        <v>149</v>
      </c>
      <c r="C977" s="8" t="s">
        <v>869</v>
      </c>
      <c r="D977" s="26" t="n">
        <v>0</v>
      </c>
    </row>
    <row r="978" customFormat="false" ht="15" hidden="false" customHeight="true" outlineLevel="0" collapsed="false">
      <c r="A978" s="8" t="s">
        <v>1123</v>
      </c>
      <c r="B978" s="8" t="s">
        <v>870</v>
      </c>
      <c r="C978" s="8" t="s">
        <v>871</v>
      </c>
      <c r="D978" s="26" t="n">
        <v>0</v>
      </c>
    </row>
    <row r="979" customFormat="false" ht="15" hidden="false" customHeight="true" outlineLevel="0" collapsed="false">
      <c r="A979" s="8" t="s">
        <v>1123</v>
      </c>
      <c r="B979" s="8" t="s">
        <v>870</v>
      </c>
      <c r="C979" s="8" t="s">
        <v>872</v>
      </c>
      <c r="D979" s="26" t="n">
        <v>0</v>
      </c>
    </row>
    <row r="980" customFormat="false" ht="15" hidden="false" customHeight="true" outlineLevel="0" collapsed="false">
      <c r="A980" s="8" t="s">
        <v>1123</v>
      </c>
      <c r="B980" s="8" t="s">
        <v>873</v>
      </c>
      <c r="C980" s="8" t="s">
        <v>874</v>
      </c>
      <c r="D980" s="26" t="n">
        <v>0</v>
      </c>
    </row>
    <row r="981" customFormat="false" ht="15" hidden="false" customHeight="true" outlineLevel="0" collapsed="false">
      <c r="A981" s="8" t="s">
        <v>1123</v>
      </c>
      <c r="B981" s="8" t="s">
        <v>147</v>
      </c>
      <c r="C981" s="8" t="s">
        <v>875</v>
      </c>
      <c r="D981" s="26" t="n">
        <v>0</v>
      </c>
    </row>
    <row r="982" customFormat="false" ht="15" hidden="false" customHeight="true" outlineLevel="0" collapsed="false">
      <c r="A982" s="8" t="s">
        <v>1123</v>
      </c>
      <c r="B982" s="8" t="s">
        <v>876</v>
      </c>
      <c r="C982" s="8" t="s">
        <v>877</v>
      </c>
      <c r="D982" s="26" t="n">
        <v>0</v>
      </c>
    </row>
    <row r="983" customFormat="false" ht="15" hidden="false" customHeight="true" outlineLevel="0" collapsed="false">
      <c r="A983" s="8" t="s">
        <v>1123</v>
      </c>
      <c r="B983" s="8" t="s">
        <v>143</v>
      </c>
      <c r="C983" s="8" t="s">
        <v>878</v>
      </c>
      <c r="D983" s="26" t="n">
        <v>0</v>
      </c>
    </row>
    <row r="984" customFormat="false" ht="15" hidden="false" customHeight="true" outlineLevel="0" collapsed="false">
      <c r="A984" s="8" t="s">
        <v>1123</v>
      </c>
      <c r="B984" s="8" t="s">
        <v>144</v>
      </c>
      <c r="C984" s="8" t="s">
        <v>879</v>
      </c>
      <c r="D984" s="26" t="n">
        <v>0</v>
      </c>
    </row>
    <row r="985" customFormat="false" ht="15" hidden="false" customHeight="true" outlineLevel="0" collapsed="false">
      <c r="A985" s="8" t="s">
        <v>1123</v>
      </c>
      <c r="B985" s="8" t="s">
        <v>71</v>
      </c>
      <c r="C985" s="8" t="s">
        <v>880</v>
      </c>
      <c r="D985" s="26" t="n">
        <v>0</v>
      </c>
    </row>
    <row r="986" customFormat="false" ht="15" hidden="false" customHeight="true" outlineLevel="0" collapsed="false">
      <c r="A986" s="8" t="s">
        <v>1123</v>
      </c>
      <c r="B986" s="8" t="s">
        <v>89</v>
      </c>
      <c r="C986" s="8" t="s">
        <v>881</v>
      </c>
      <c r="D986" s="26" t="n">
        <v>0</v>
      </c>
    </row>
    <row r="987" customFormat="false" ht="15" hidden="false" customHeight="true" outlineLevel="0" collapsed="false">
      <c r="A987" s="8" t="s">
        <v>1123</v>
      </c>
      <c r="B987" s="8" t="s">
        <v>112</v>
      </c>
      <c r="C987" s="8" t="s">
        <v>882</v>
      </c>
      <c r="D987" s="26" t="n">
        <v>0</v>
      </c>
    </row>
    <row r="988" customFormat="false" ht="15" hidden="false" customHeight="true" outlineLevel="0" collapsed="false">
      <c r="A988" s="8" t="s">
        <v>1123</v>
      </c>
      <c r="B988" s="8" t="s">
        <v>883</v>
      </c>
      <c r="C988" s="8" t="s">
        <v>884</v>
      </c>
      <c r="D988" s="26" t="n">
        <v>0</v>
      </c>
    </row>
    <row r="989" customFormat="false" ht="15" hidden="false" customHeight="true" outlineLevel="0" collapsed="false">
      <c r="A989" s="8" t="s">
        <v>1123</v>
      </c>
      <c r="B989" s="8" t="s">
        <v>85</v>
      </c>
      <c r="C989" s="8" t="s">
        <v>885</v>
      </c>
      <c r="D989" s="26" t="n">
        <v>0</v>
      </c>
    </row>
    <row r="990" customFormat="false" ht="15" hidden="false" customHeight="true" outlineLevel="0" collapsed="false">
      <c r="A990" s="8" t="s">
        <v>1123</v>
      </c>
      <c r="B990" s="8" t="s">
        <v>85</v>
      </c>
      <c r="C990" s="8" t="s">
        <v>886</v>
      </c>
      <c r="D990" s="26" t="n">
        <v>0</v>
      </c>
    </row>
    <row r="991" customFormat="false" ht="15" hidden="false" customHeight="true" outlineLevel="0" collapsed="false">
      <c r="A991" s="8" t="s">
        <v>1123</v>
      </c>
      <c r="B991" s="8" t="s">
        <v>85</v>
      </c>
      <c r="C991" s="8" t="s">
        <v>887</v>
      </c>
      <c r="D991" s="26" t="n">
        <v>0</v>
      </c>
    </row>
    <row r="992" customFormat="false" ht="15" hidden="false" customHeight="true" outlineLevel="0" collapsed="false">
      <c r="A992" s="8" t="s">
        <v>1123</v>
      </c>
      <c r="B992" s="8" t="s">
        <v>85</v>
      </c>
      <c r="C992" s="8" t="s">
        <v>888</v>
      </c>
      <c r="D992" s="26" t="n">
        <v>0</v>
      </c>
    </row>
    <row r="993" customFormat="false" ht="15" hidden="false" customHeight="true" outlineLevel="0" collapsed="false">
      <c r="A993" s="8" t="s">
        <v>1123</v>
      </c>
      <c r="B993" s="8" t="s">
        <v>85</v>
      </c>
      <c r="C993" s="8" t="s">
        <v>889</v>
      </c>
      <c r="D993" s="26" t="n">
        <v>0</v>
      </c>
    </row>
    <row r="994" customFormat="false" ht="15" hidden="false" customHeight="true" outlineLevel="0" collapsed="false">
      <c r="A994" s="8" t="s">
        <v>1123</v>
      </c>
      <c r="B994" s="8" t="s">
        <v>48</v>
      </c>
      <c r="C994" s="8" t="s">
        <v>890</v>
      </c>
      <c r="D994" s="26" t="n">
        <v>0</v>
      </c>
    </row>
    <row r="995" customFormat="false" ht="15" hidden="false" customHeight="true" outlineLevel="0" collapsed="false">
      <c r="A995" s="8" t="s">
        <v>1123</v>
      </c>
      <c r="B995" s="8" t="s">
        <v>49</v>
      </c>
      <c r="C995" s="8" t="s">
        <v>799</v>
      </c>
      <c r="D995" s="26" t="n">
        <v>0</v>
      </c>
    </row>
    <row r="996" customFormat="false" ht="15" hidden="false" customHeight="true" outlineLevel="0" collapsed="false">
      <c r="A996" s="8" t="s">
        <v>1123</v>
      </c>
      <c r="B996" s="8" t="s">
        <v>891</v>
      </c>
      <c r="C996" s="8" t="s">
        <v>892</v>
      </c>
      <c r="D996" s="26" t="n">
        <v>0</v>
      </c>
    </row>
    <row r="997" customFormat="false" ht="15" hidden="false" customHeight="true" outlineLevel="0" collapsed="false">
      <c r="A997" s="8" t="s">
        <v>1123</v>
      </c>
      <c r="B997" s="8" t="s">
        <v>891</v>
      </c>
      <c r="C997" s="8" t="s">
        <v>893</v>
      </c>
      <c r="D997" s="26" t="n">
        <v>0</v>
      </c>
    </row>
    <row r="998" customFormat="false" ht="15" hidden="false" customHeight="true" outlineLevel="0" collapsed="false">
      <c r="A998" s="8" t="s">
        <v>1123</v>
      </c>
      <c r="B998" s="8" t="s">
        <v>891</v>
      </c>
      <c r="C998" s="8" t="s">
        <v>894</v>
      </c>
      <c r="D998" s="26" t="n">
        <v>0</v>
      </c>
    </row>
    <row r="999" customFormat="false" ht="15" hidden="false" customHeight="true" outlineLevel="0" collapsed="false">
      <c r="A999" s="8" t="s">
        <v>1123</v>
      </c>
      <c r="B999" s="8" t="s">
        <v>895</v>
      </c>
      <c r="C999" s="8" t="s">
        <v>896</v>
      </c>
      <c r="D999" s="26" t="n">
        <v>0</v>
      </c>
    </row>
    <row r="1000" customFormat="false" ht="15" hidden="false" customHeight="true" outlineLevel="0" collapsed="false">
      <c r="A1000" s="8" t="s">
        <v>1123</v>
      </c>
      <c r="B1000" s="8" t="s">
        <v>138</v>
      </c>
      <c r="C1000" s="8" t="s">
        <v>897</v>
      </c>
      <c r="D1000" s="26" t="n">
        <v>0</v>
      </c>
    </row>
    <row r="1001" customFormat="false" ht="15" hidden="false" customHeight="true" outlineLevel="0" collapsed="false">
      <c r="A1001" s="8" t="s">
        <v>1123</v>
      </c>
      <c r="B1001" s="8" t="s">
        <v>87</v>
      </c>
      <c r="C1001" s="8" t="s">
        <v>897</v>
      </c>
      <c r="D1001" s="26" t="n">
        <v>0</v>
      </c>
    </row>
    <row r="1002" customFormat="false" ht="15" hidden="false" customHeight="true" outlineLevel="0" collapsed="false">
      <c r="A1002" s="8" t="s">
        <v>1123</v>
      </c>
      <c r="B1002" s="8" t="s">
        <v>61</v>
      </c>
      <c r="C1002" s="8" t="s">
        <v>897</v>
      </c>
      <c r="D1002" s="26" t="n">
        <v>0</v>
      </c>
    </row>
    <row r="1003" customFormat="false" ht="15" hidden="false" customHeight="true" outlineLevel="0" collapsed="false">
      <c r="A1003" s="8" t="s">
        <v>1123</v>
      </c>
      <c r="B1003" s="8" t="s">
        <v>70</v>
      </c>
      <c r="C1003" s="8" t="s">
        <v>898</v>
      </c>
      <c r="D1003" s="26" t="n">
        <v>0</v>
      </c>
    </row>
    <row r="1004" customFormat="false" ht="15" hidden="false" customHeight="true" outlineLevel="0" collapsed="false">
      <c r="A1004" s="8" t="s">
        <v>1123</v>
      </c>
      <c r="B1004" s="8" t="s">
        <v>79</v>
      </c>
      <c r="C1004" s="8" t="s">
        <v>898</v>
      </c>
      <c r="D1004" s="26" t="n">
        <v>0</v>
      </c>
    </row>
    <row r="1005" customFormat="false" ht="15" hidden="false" customHeight="true" outlineLevel="0" collapsed="false">
      <c r="A1005" s="8" t="s">
        <v>1123</v>
      </c>
      <c r="B1005" s="8" t="s">
        <v>899</v>
      </c>
      <c r="C1005" s="8" t="s">
        <v>900</v>
      </c>
      <c r="D1005" s="26" t="n">
        <v>0</v>
      </c>
    </row>
    <row r="1006" customFormat="false" ht="15" hidden="false" customHeight="true" outlineLevel="0" collapsed="false">
      <c r="A1006" s="8" t="s">
        <v>1123</v>
      </c>
      <c r="B1006" s="8" t="s">
        <v>901</v>
      </c>
      <c r="C1006" s="8" t="s">
        <v>902</v>
      </c>
      <c r="D1006" s="26" t="n">
        <v>0</v>
      </c>
    </row>
    <row r="1007" customFormat="false" ht="15" hidden="false" customHeight="true" outlineLevel="0" collapsed="false">
      <c r="A1007" s="8" t="s">
        <v>1123</v>
      </c>
      <c r="B1007" s="8" t="s">
        <v>903</v>
      </c>
      <c r="C1007" s="8" t="s">
        <v>902</v>
      </c>
      <c r="D1007" s="26" t="n">
        <v>0</v>
      </c>
    </row>
    <row r="1008" customFormat="false" ht="15" hidden="false" customHeight="true" outlineLevel="0" collapsed="false">
      <c r="A1008" s="8" t="s">
        <v>1123</v>
      </c>
      <c r="B1008" s="8" t="s">
        <v>904</v>
      </c>
      <c r="C1008" s="8" t="s">
        <v>902</v>
      </c>
      <c r="D1008" s="26" t="n">
        <v>0</v>
      </c>
    </row>
    <row r="1009" customFormat="false" ht="15" hidden="false" customHeight="true" outlineLevel="0" collapsed="false">
      <c r="A1009" s="8" t="s">
        <v>1123</v>
      </c>
      <c r="B1009" s="8" t="s">
        <v>905</v>
      </c>
      <c r="C1009" s="8" t="s">
        <v>906</v>
      </c>
      <c r="D1009" s="26" t="n">
        <v>0</v>
      </c>
    </row>
    <row r="1010" customFormat="false" ht="15" hidden="false" customHeight="true" outlineLevel="0" collapsed="false">
      <c r="A1010" s="8" t="s">
        <v>1123</v>
      </c>
      <c r="B1010" s="8" t="s">
        <v>907</v>
      </c>
      <c r="C1010" s="8" t="s">
        <v>908</v>
      </c>
      <c r="D1010" s="26" t="n">
        <v>0</v>
      </c>
    </row>
    <row r="1011" customFormat="false" ht="15" hidden="false" customHeight="true" outlineLevel="0" collapsed="false">
      <c r="A1011" s="8" t="s">
        <v>1123</v>
      </c>
      <c r="B1011" s="8" t="s">
        <v>909</v>
      </c>
      <c r="C1011" s="8" t="s">
        <v>908</v>
      </c>
      <c r="D1011" s="26" t="n">
        <v>0</v>
      </c>
    </row>
    <row r="1012" customFormat="false" ht="15" hidden="false" customHeight="true" outlineLevel="0" collapsed="false">
      <c r="A1012" s="8" t="s">
        <v>1123</v>
      </c>
      <c r="B1012" s="8" t="s">
        <v>910</v>
      </c>
      <c r="C1012" s="8" t="s">
        <v>908</v>
      </c>
      <c r="D1012" s="26" t="n">
        <v>0</v>
      </c>
    </row>
    <row r="1013" customFormat="false" ht="15" hidden="false" customHeight="true" outlineLevel="0" collapsed="false">
      <c r="A1013" s="8" t="s">
        <v>1123</v>
      </c>
      <c r="B1013" s="8" t="s">
        <v>911</v>
      </c>
      <c r="C1013" s="8" t="s">
        <v>912</v>
      </c>
      <c r="D1013" s="26" t="n">
        <v>0</v>
      </c>
    </row>
    <row r="1014" customFormat="false" ht="15" hidden="false" customHeight="true" outlineLevel="0" collapsed="false">
      <c r="A1014" s="8" t="s">
        <v>1123</v>
      </c>
      <c r="B1014" s="8" t="s">
        <v>913</v>
      </c>
      <c r="C1014" s="8" t="s">
        <v>908</v>
      </c>
      <c r="D1014" s="26" t="n">
        <v>0</v>
      </c>
    </row>
    <row r="1015" customFormat="false" ht="15" hidden="false" customHeight="true" outlineLevel="0" collapsed="false">
      <c r="A1015" s="8" t="s">
        <v>1123</v>
      </c>
      <c r="B1015" s="8" t="s">
        <v>67</v>
      </c>
      <c r="C1015" s="8" t="s">
        <v>914</v>
      </c>
      <c r="D1015" s="26" t="n">
        <v>0</v>
      </c>
    </row>
    <row r="1016" customFormat="false" ht="15" hidden="false" customHeight="true" outlineLevel="0" collapsed="false">
      <c r="A1016" s="8" t="s">
        <v>1123</v>
      </c>
      <c r="B1016" s="8" t="s">
        <v>67</v>
      </c>
      <c r="C1016" s="8" t="s">
        <v>915</v>
      </c>
      <c r="D1016" s="26" t="n">
        <v>0</v>
      </c>
    </row>
    <row r="1017" customFormat="false" ht="15" hidden="false" customHeight="true" outlineLevel="0" collapsed="false">
      <c r="A1017" s="8" t="s">
        <v>1123</v>
      </c>
      <c r="B1017" s="8" t="s">
        <v>67</v>
      </c>
      <c r="C1017" s="8" t="s">
        <v>916</v>
      </c>
      <c r="D1017" s="26" t="n">
        <v>0</v>
      </c>
    </row>
    <row r="1018" customFormat="false" ht="15" hidden="false" customHeight="true" outlineLevel="0" collapsed="false">
      <c r="A1018" s="8" t="s">
        <v>1123</v>
      </c>
      <c r="B1018" s="8" t="s">
        <v>917</v>
      </c>
      <c r="C1018" s="8" t="s">
        <v>918</v>
      </c>
      <c r="D1018" s="26" t="n">
        <v>0</v>
      </c>
    </row>
    <row r="1019" customFormat="false" ht="15" hidden="false" customHeight="true" outlineLevel="0" collapsed="false">
      <c r="A1019" s="8" t="s">
        <v>1123</v>
      </c>
      <c r="B1019" s="8" t="s">
        <v>917</v>
      </c>
      <c r="C1019" s="8" t="s">
        <v>919</v>
      </c>
      <c r="D1019" s="26" t="n">
        <v>0</v>
      </c>
    </row>
    <row r="1020" customFormat="false" ht="15" hidden="false" customHeight="true" outlineLevel="0" collapsed="false">
      <c r="A1020" s="8" t="s">
        <v>1123</v>
      </c>
      <c r="B1020" s="8" t="s">
        <v>917</v>
      </c>
      <c r="C1020" s="8" t="s">
        <v>920</v>
      </c>
      <c r="D1020" s="26" t="n">
        <v>0</v>
      </c>
    </row>
    <row r="1021" customFormat="false" ht="15" hidden="false" customHeight="true" outlineLevel="0" collapsed="false">
      <c r="A1021" s="8" t="s">
        <v>1123</v>
      </c>
      <c r="B1021" s="8" t="s">
        <v>917</v>
      </c>
      <c r="C1021" s="8" t="s">
        <v>921</v>
      </c>
      <c r="D1021" s="26" t="n">
        <v>0</v>
      </c>
    </row>
    <row r="1022" customFormat="false" ht="15" hidden="false" customHeight="true" outlineLevel="0" collapsed="false">
      <c r="A1022" s="8" t="s">
        <v>1123</v>
      </c>
      <c r="B1022" s="8" t="s">
        <v>531</v>
      </c>
      <c r="C1022" s="8" t="s">
        <v>922</v>
      </c>
      <c r="D1022" s="26" t="n">
        <v>0</v>
      </c>
    </row>
    <row r="1023" customFormat="false" ht="15" hidden="false" customHeight="true" outlineLevel="0" collapsed="false">
      <c r="A1023" s="8" t="s">
        <v>1123</v>
      </c>
      <c r="B1023" s="8" t="s">
        <v>923</v>
      </c>
      <c r="C1023" s="8" t="s">
        <v>924</v>
      </c>
      <c r="D1023" s="26" t="n">
        <v>0</v>
      </c>
    </row>
    <row r="1024" customFormat="false" ht="15" hidden="false" customHeight="true" outlineLevel="0" collapsed="false">
      <c r="A1024" s="8" t="s">
        <v>1123</v>
      </c>
      <c r="B1024" s="8" t="s">
        <v>925</v>
      </c>
      <c r="C1024" s="8" t="s">
        <v>924</v>
      </c>
      <c r="D1024" s="26" t="n">
        <v>0</v>
      </c>
    </row>
    <row r="1025" customFormat="false" ht="15" hidden="false" customHeight="true" outlineLevel="0" collapsed="false">
      <c r="A1025" s="8" t="s">
        <v>1123</v>
      </c>
      <c r="B1025" s="8" t="s">
        <v>926</v>
      </c>
      <c r="C1025" s="8" t="s">
        <v>924</v>
      </c>
      <c r="D1025" s="26" t="n">
        <v>0</v>
      </c>
    </row>
    <row r="1026" customFormat="false" ht="15" hidden="false" customHeight="true" outlineLevel="0" collapsed="false">
      <c r="A1026" s="8" t="s">
        <v>1123</v>
      </c>
      <c r="B1026" s="8" t="s">
        <v>927</v>
      </c>
      <c r="C1026" s="8" t="s">
        <v>924</v>
      </c>
      <c r="D1026" s="26" t="n">
        <v>0</v>
      </c>
    </row>
    <row r="1027" customFormat="false" ht="15" hidden="false" customHeight="true" outlineLevel="0" collapsed="false">
      <c r="A1027" s="8" t="s">
        <v>1123</v>
      </c>
      <c r="B1027" s="8" t="s">
        <v>120</v>
      </c>
      <c r="C1027" s="8" t="s">
        <v>928</v>
      </c>
      <c r="D1027" s="26" t="n">
        <v>0</v>
      </c>
    </row>
    <row r="1028" customFormat="false" ht="15" hidden="false" customHeight="true" outlineLevel="0" collapsed="false">
      <c r="A1028" s="8" t="s">
        <v>1123</v>
      </c>
      <c r="B1028" s="8" t="s">
        <v>113</v>
      </c>
      <c r="C1028" s="8" t="s">
        <v>928</v>
      </c>
      <c r="D1028" s="26" t="n">
        <v>0</v>
      </c>
    </row>
    <row r="1029" customFormat="false" ht="15" hidden="false" customHeight="true" outlineLevel="0" collapsed="false">
      <c r="A1029" s="8" t="s">
        <v>1123</v>
      </c>
      <c r="B1029" s="8" t="s">
        <v>99</v>
      </c>
      <c r="C1029" s="8" t="s">
        <v>928</v>
      </c>
      <c r="D1029" s="26" t="n">
        <v>0</v>
      </c>
    </row>
    <row r="1030" customFormat="false" ht="15" hidden="false" customHeight="true" outlineLevel="0" collapsed="false">
      <c r="A1030" s="8" t="s">
        <v>1123</v>
      </c>
      <c r="B1030" s="8" t="s">
        <v>95</v>
      </c>
      <c r="C1030" s="8" t="s">
        <v>928</v>
      </c>
      <c r="D1030" s="26" t="n">
        <v>0</v>
      </c>
    </row>
    <row r="1031" customFormat="false" ht="15" hidden="false" customHeight="true" outlineLevel="0" collapsed="false">
      <c r="A1031" s="8" t="s">
        <v>1123</v>
      </c>
      <c r="B1031" s="8" t="s">
        <v>51</v>
      </c>
      <c r="C1031" s="8" t="s">
        <v>929</v>
      </c>
      <c r="D1031" s="26" t="n">
        <v>0</v>
      </c>
    </row>
    <row r="1032" customFormat="false" ht="15" hidden="false" customHeight="true" outlineLevel="0" collapsed="false">
      <c r="A1032" s="8" t="s">
        <v>1123</v>
      </c>
      <c r="B1032" s="8" t="s">
        <v>60</v>
      </c>
      <c r="C1032" s="8" t="s">
        <v>930</v>
      </c>
      <c r="D1032" s="26" t="n">
        <v>0</v>
      </c>
    </row>
    <row r="1033" customFormat="false" ht="15" hidden="false" customHeight="true" outlineLevel="0" collapsed="false">
      <c r="A1033" s="8" t="s">
        <v>1123</v>
      </c>
      <c r="B1033" s="8" t="s">
        <v>931</v>
      </c>
      <c r="C1033" s="8" t="s">
        <v>932</v>
      </c>
      <c r="D1033" s="26" t="n">
        <v>0</v>
      </c>
    </row>
    <row r="1034" customFormat="false" ht="15" hidden="false" customHeight="true" outlineLevel="0" collapsed="false">
      <c r="A1034" s="8" t="s">
        <v>1123</v>
      </c>
      <c r="B1034" s="8" t="s">
        <v>931</v>
      </c>
      <c r="C1034" s="8" t="s">
        <v>933</v>
      </c>
      <c r="D1034" s="26" t="n">
        <v>0</v>
      </c>
    </row>
    <row r="1035" customFormat="false" ht="15" hidden="false" customHeight="true" outlineLevel="0" collapsed="false">
      <c r="A1035" s="8" t="s">
        <v>1123</v>
      </c>
      <c r="B1035" s="8" t="s">
        <v>931</v>
      </c>
      <c r="C1035" s="8" t="s">
        <v>934</v>
      </c>
      <c r="D1035" s="26" t="n">
        <v>0</v>
      </c>
    </row>
    <row r="1036" customFormat="false" ht="15" hidden="false" customHeight="true" outlineLevel="0" collapsed="false">
      <c r="A1036" s="8" t="s">
        <v>1123</v>
      </c>
      <c r="B1036" s="8" t="s">
        <v>931</v>
      </c>
      <c r="C1036" s="8" t="s">
        <v>935</v>
      </c>
      <c r="D1036" s="26" t="n">
        <v>0</v>
      </c>
    </row>
    <row r="1037" customFormat="false" ht="15" hidden="false" customHeight="true" outlineLevel="0" collapsed="false">
      <c r="A1037" s="8" t="s">
        <v>1123</v>
      </c>
      <c r="B1037" s="8" t="s">
        <v>931</v>
      </c>
      <c r="C1037" s="8" t="s">
        <v>936</v>
      </c>
      <c r="D1037" s="26" t="n">
        <v>0</v>
      </c>
    </row>
    <row r="1038" customFormat="false" ht="15" hidden="false" customHeight="true" outlineLevel="0" collapsed="false">
      <c r="A1038" s="8" t="s">
        <v>1123</v>
      </c>
      <c r="B1038" s="8" t="s">
        <v>931</v>
      </c>
      <c r="C1038" s="8" t="s">
        <v>937</v>
      </c>
      <c r="D1038" s="26" t="n">
        <v>0</v>
      </c>
    </row>
    <row r="1039" customFormat="false" ht="15" hidden="false" customHeight="true" outlineLevel="0" collapsed="false">
      <c r="A1039" s="8" t="s">
        <v>1123</v>
      </c>
      <c r="B1039" s="8" t="s">
        <v>82</v>
      </c>
      <c r="C1039" s="8" t="s">
        <v>938</v>
      </c>
      <c r="D1039" s="26" t="n">
        <v>0</v>
      </c>
    </row>
    <row r="1040" customFormat="false" ht="15" hidden="false" customHeight="true" outlineLevel="0" collapsed="false">
      <c r="A1040" s="8" t="s">
        <v>1123</v>
      </c>
      <c r="B1040" s="8" t="s">
        <v>115</v>
      </c>
      <c r="C1040" s="8" t="s">
        <v>939</v>
      </c>
      <c r="D1040" s="26" t="n">
        <v>0</v>
      </c>
    </row>
    <row r="1041" customFormat="false" ht="15" hidden="false" customHeight="true" outlineLevel="0" collapsed="false">
      <c r="A1041" s="8" t="s">
        <v>1123</v>
      </c>
      <c r="B1041" s="8" t="s">
        <v>60</v>
      </c>
      <c r="C1041" s="8" t="s">
        <v>940</v>
      </c>
      <c r="D1041" s="26" t="n">
        <v>0</v>
      </c>
    </row>
    <row r="1042" customFormat="false" ht="15" hidden="false" customHeight="true" outlineLevel="0" collapsed="false">
      <c r="A1042" s="8" t="s">
        <v>1123</v>
      </c>
      <c r="B1042" s="8" t="s">
        <v>941</v>
      </c>
      <c r="C1042" s="8" t="s">
        <v>942</v>
      </c>
      <c r="D1042" s="26" t="n">
        <v>0</v>
      </c>
    </row>
    <row r="1043" customFormat="false" ht="15" hidden="false" customHeight="true" outlineLevel="0" collapsed="false">
      <c r="A1043" s="8" t="s">
        <v>1123</v>
      </c>
      <c r="B1043" s="8" t="s">
        <v>941</v>
      </c>
      <c r="C1043" s="8" t="s">
        <v>943</v>
      </c>
      <c r="D1043" s="26" t="n">
        <v>0</v>
      </c>
    </row>
    <row r="1044" customFormat="false" ht="15" hidden="false" customHeight="true" outlineLevel="0" collapsed="false">
      <c r="A1044" s="8" t="s">
        <v>1123</v>
      </c>
      <c r="B1044" s="8" t="s">
        <v>941</v>
      </c>
      <c r="C1044" s="8" t="s">
        <v>944</v>
      </c>
      <c r="D1044" s="26" t="n">
        <v>0</v>
      </c>
    </row>
    <row r="1045" customFormat="false" ht="15" hidden="false" customHeight="true" outlineLevel="0" collapsed="false">
      <c r="A1045" s="8" t="s">
        <v>1123</v>
      </c>
      <c r="B1045" s="8" t="s">
        <v>941</v>
      </c>
      <c r="C1045" s="8" t="s">
        <v>945</v>
      </c>
      <c r="D1045" s="26" t="n">
        <v>0</v>
      </c>
    </row>
    <row r="1046" customFormat="false" ht="15" hidden="false" customHeight="true" outlineLevel="0" collapsed="false">
      <c r="A1046" s="8" t="s">
        <v>1123</v>
      </c>
      <c r="B1046" s="8" t="s">
        <v>941</v>
      </c>
      <c r="C1046" s="8" t="s">
        <v>946</v>
      </c>
      <c r="D1046" s="26" t="n">
        <v>0</v>
      </c>
    </row>
    <row r="1047" customFormat="false" ht="15" hidden="false" customHeight="true" outlineLevel="0" collapsed="false">
      <c r="A1047" s="8" t="s">
        <v>1123</v>
      </c>
      <c r="B1047" s="8" t="s">
        <v>56</v>
      </c>
      <c r="C1047" s="8" t="s">
        <v>947</v>
      </c>
      <c r="D1047" s="26" t="n">
        <v>0</v>
      </c>
    </row>
    <row r="1048" customFormat="false" ht="15" hidden="false" customHeight="true" outlineLevel="0" collapsed="false">
      <c r="A1048" s="8" t="s">
        <v>1123</v>
      </c>
      <c r="B1048" s="8" t="s">
        <v>948</v>
      </c>
      <c r="C1048" s="8" t="s">
        <v>949</v>
      </c>
      <c r="D1048" s="26" t="n">
        <v>0</v>
      </c>
    </row>
    <row r="1049" customFormat="false" ht="15" hidden="false" customHeight="true" outlineLevel="0" collapsed="false">
      <c r="A1049" s="8" t="s">
        <v>1123</v>
      </c>
      <c r="B1049" s="8" t="s">
        <v>950</v>
      </c>
      <c r="C1049" s="8" t="s">
        <v>951</v>
      </c>
      <c r="D1049" s="26" t="n">
        <v>0</v>
      </c>
    </row>
    <row r="1050" customFormat="false" ht="15" hidden="false" customHeight="true" outlineLevel="0" collapsed="false">
      <c r="A1050" s="8" t="s">
        <v>1123</v>
      </c>
      <c r="B1050" s="8" t="s">
        <v>952</v>
      </c>
      <c r="C1050" s="8" t="s">
        <v>951</v>
      </c>
      <c r="D1050" s="26" t="n">
        <v>0</v>
      </c>
    </row>
    <row r="1051" customFormat="false" ht="15" hidden="false" customHeight="true" outlineLevel="0" collapsed="false">
      <c r="A1051" s="8" t="s">
        <v>1123</v>
      </c>
      <c r="B1051" s="8" t="s">
        <v>953</v>
      </c>
      <c r="C1051" s="8" t="s">
        <v>951</v>
      </c>
      <c r="D1051" s="26" t="n">
        <v>0</v>
      </c>
    </row>
    <row r="1052" customFormat="false" ht="15" hidden="false" customHeight="true" outlineLevel="0" collapsed="false">
      <c r="A1052" s="8" t="s">
        <v>1123</v>
      </c>
      <c r="B1052" s="8" t="s">
        <v>954</v>
      </c>
      <c r="C1052" s="8" t="s">
        <v>951</v>
      </c>
      <c r="D1052" s="26" t="n">
        <v>0</v>
      </c>
    </row>
    <row r="1053" customFormat="false" ht="15" hidden="false" customHeight="true" outlineLevel="0" collapsed="false">
      <c r="A1053" s="8" t="s">
        <v>1123</v>
      </c>
      <c r="B1053" s="8" t="s">
        <v>955</v>
      </c>
      <c r="C1053" s="8" t="s">
        <v>956</v>
      </c>
      <c r="D1053" s="26" t="n">
        <v>0</v>
      </c>
    </row>
    <row r="1054" customFormat="false" ht="15" hidden="false" customHeight="true" outlineLevel="0" collapsed="false">
      <c r="A1054" s="8" t="s">
        <v>1123</v>
      </c>
      <c r="B1054" s="8" t="s">
        <v>957</v>
      </c>
      <c r="C1054" s="8" t="s">
        <v>958</v>
      </c>
      <c r="D1054" s="26" t="n">
        <v>0</v>
      </c>
    </row>
    <row r="1055" customFormat="false" ht="15" hidden="false" customHeight="true" outlineLevel="0" collapsed="false">
      <c r="A1055" s="8" t="s">
        <v>1123</v>
      </c>
      <c r="B1055" s="8" t="s">
        <v>959</v>
      </c>
      <c r="C1055" s="8" t="s">
        <v>960</v>
      </c>
      <c r="D1055" s="26" t="n">
        <v>0</v>
      </c>
    </row>
    <row r="1056" customFormat="false" ht="15" hidden="false" customHeight="true" outlineLevel="0" collapsed="false">
      <c r="A1056" s="8" t="s">
        <v>1123</v>
      </c>
      <c r="B1056" s="8" t="s">
        <v>961</v>
      </c>
      <c r="C1056" s="8" t="s">
        <v>960</v>
      </c>
      <c r="D1056" s="26" t="n">
        <v>0</v>
      </c>
    </row>
    <row r="1057" customFormat="false" ht="15" hidden="false" customHeight="true" outlineLevel="0" collapsed="false">
      <c r="A1057" s="8" t="s">
        <v>1123</v>
      </c>
      <c r="B1057" s="8" t="s">
        <v>962</v>
      </c>
      <c r="C1057" s="8" t="s">
        <v>960</v>
      </c>
      <c r="D1057" s="26" t="n">
        <v>0</v>
      </c>
    </row>
    <row r="1058" customFormat="false" ht="15" hidden="false" customHeight="true" outlineLevel="0" collapsed="false">
      <c r="A1058" s="8" t="s">
        <v>1123</v>
      </c>
      <c r="B1058" s="8" t="s">
        <v>963</v>
      </c>
      <c r="C1058" s="8" t="s">
        <v>964</v>
      </c>
      <c r="D1058" s="26" t="n">
        <v>0</v>
      </c>
    </row>
    <row r="1059" customFormat="false" ht="15" hidden="false" customHeight="true" outlineLevel="0" collapsed="false">
      <c r="A1059" s="8" t="s">
        <v>1123</v>
      </c>
      <c r="B1059" s="8" t="s">
        <v>965</v>
      </c>
      <c r="C1059" s="8" t="s">
        <v>966</v>
      </c>
      <c r="D1059" s="26" t="n">
        <v>0</v>
      </c>
    </row>
    <row r="1060" customFormat="false" ht="15" hidden="false" customHeight="true" outlineLevel="0" collapsed="false">
      <c r="A1060" s="8" t="s">
        <v>1123</v>
      </c>
      <c r="B1060" s="8" t="s">
        <v>967</v>
      </c>
      <c r="C1060" s="8" t="s">
        <v>966</v>
      </c>
      <c r="D1060" s="26" t="n">
        <v>0</v>
      </c>
    </row>
    <row r="1061" customFormat="false" ht="15" hidden="false" customHeight="true" outlineLevel="0" collapsed="false">
      <c r="A1061" s="8" t="s">
        <v>1123</v>
      </c>
      <c r="B1061" s="8" t="s">
        <v>968</v>
      </c>
      <c r="C1061" s="8" t="s">
        <v>966</v>
      </c>
      <c r="D1061" s="26" t="n">
        <v>0</v>
      </c>
    </row>
    <row r="1062" customFormat="false" ht="15" hidden="false" customHeight="true" outlineLevel="0" collapsed="false">
      <c r="A1062" s="8" t="s">
        <v>1123</v>
      </c>
      <c r="B1062" s="8" t="s">
        <v>969</v>
      </c>
      <c r="C1062" s="8" t="s">
        <v>966</v>
      </c>
      <c r="D1062" s="26" t="n">
        <v>0</v>
      </c>
    </row>
    <row r="1063" customFormat="false" ht="15" hidden="false" customHeight="true" outlineLevel="0" collapsed="false">
      <c r="A1063" s="8" t="s">
        <v>1123</v>
      </c>
      <c r="B1063" s="8" t="s">
        <v>970</v>
      </c>
      <c r="C1063" s="8" t="s">
        <v>971</v>
      </c>
      <c r="D1063" s="26" t="n">
        <v>0</v>
      </c>
    </row>
    <row r="1064" customFormat="false" ht="15" hidden="false" customHeight="true" outlineLevel="0" collapsed="false">
      <c r="A1064" s="8" t="s">
        <v>1123</v>
      </c>
      <c r="B1064" s="8" t="s">
        <v>970</v>
      </c>
      <c r="C1064" s="8" t="s">
        <v>972</v>
      </c>
      <c r="D1064" s="26" t="n">
        <v>0</v>
      </c>
    </row>
    <row r="1065" customFormat="false" ht="15" hidden="false" customHeight="true" outlineLevel="0" collapsed="false">
      <c r="A1065" s="8" t="s">
        <v>1123</v>
      </c>
      <c r="B1065" s="8" t="s">
        <v>970</v>
      </c>
      <c r="C1065" s="8" t="s">
        <v>973</v>
      </c>
      <c r="D1065" s="26" t="n">
        <v>0</v>
      </c>
    </row>
    <row r="1066" customFormat="false" ht="15" hidden="false" customHeight="true" outlineLevel="0" collapsed="false">
      <c r="A1066" s="8" t="s">
        <v>1123</v>
      </c>
      <c r="B1066" s="8" t="s">
        <v>970</v>
      </c>
      <c r="C1066" s="8" t="s">
        <v>974</v>
      </c>
      <c r="D1066" s="26" t="n">
        <v>0</v>
      </c>
    </row>
    <row r="1067" customFormat="false" ht="15" hidden="false" customHeight="true" outlineLevel="0" collapsed="false">
      <c r="A1067" s="8" t="s">
        <v>1123</v>
      </c>
      <c r="B1067" s="8" t="s">
        <v>975</v>
      </c>
      <c r="C1067" s="8" t="s">
        <v>976</v>
      </c>
      <c r="D1067" s="26" t="n">
        <v>0</v>
      </c>
    </row>
    <row r="1068" customFormat="false" ht="15" hidden="false" customHeight="true" outlineLevel="0" collapsed="false">
      <c r="A1068" s="8" t="s">
        <v>1123</v>
      </c>
      <c r="B1068" s="8" t="s">
        <v>975</v>
      </c>
      <c r="C1068" s="8" t="s">
        <v>977</v>
      </c>
      <c r="D1068" s="26" t="n">
        <v>0</v>
      </c>
    </row>
    <row r="1069" customFormat="false" ht="15" hidden="false" customHeight="true" outlineLevel="0" collapsed="false">
      <c r="A1069" s="8" t="s">
        <v>1123</v>
      </c>
      <c r="B1069" s="8" t="s">
        <v>975</v>
      </c>
      <c r="C1069" s="8" t="s">
        <v>978</v>
      </c>
      <c r="D1069" s="26" t="n">
        <v>0</v>
      </c>
    </row>
    <row r="1070" customFormat="false" ht="15" hidden="false" customHeight="true" outlineLevel="0" collapsed="false">
      <c r="A1070" s="8" t="s">
        <v>1123</v>
      </c>
      <c r="B1070" s="8" t="s">
        <v>975</v>
      </c>
      <c r="C1070" s="8" t="s">
        <v>979</v>
      </c>
      <c r="D1070" s="26" t="n">
        <v>0</v>
      </c>
    </row>
    <row r="1071" customFormat="false" ht="15" hidden="false" customHeight="true" outlineLevel="0" collapsed="false">
      <c r="A1071" s="8" t="s">
        <v>1123</v>
      </c>
      <c r="B1071" s="8" t="s">
        <v>980</v>
      </c>
      <c r="C1071" s="8" t="s">
        <v>721</v>
      </c>
      <c r="D1071" s="26" t="n">
        <v>0</v>
      </c>
    </row>
    <row r="1072" customFormat="false" ht="15" hidden="false" customHeight="true" outlineLevel="0" collapsed="false">
      <c r="A1072" s="8" t="s">
        <v>1123</v>
      </c>
      <c r="B1072" s="8" t="s">
        <v>980</v>
      </c>
      <c r="C1072" s="8" t="s">
        <v>720</v>
      </c>
      <c r="D1072" s="26" t="n">
        <v>0</v>
      </c>
    </row>
    <row r="1073" customFormat="false" ht="15" hidden="false" customHeight="true" outlineLevel="0" collapsed="false">
      <c r="A1073" s="8" t="s">
        <v>1123</v>
      </c>
      <c r="B1073" s="8" t="s">
        <v>980</v>
      </c>
      <c r="C1073" s="8" t="s">
        <v>722</v>
      </c>
      <c r="D1073" s="26" t="n">
        <v>0</v>
      </c>
    </row>
    <row r="1074" customFormat="false" ht="15" hidden="false" customHeight="true" outlineLevel="0" collapsed="false">
      <c r="A1074" s="8" t="s">
        <v>1123</v>
      </c>
      <c r="B1074" s="8" t="s">
        <v>980</v>
      </c>
      <c r="C1074" s="8" t="s">
        <v>719</v>
      </c>
      <c r="D1074" s="26" t="n">
        <v>0</v>
      </c>
    </row>
    <row r="1075" customFormat="false" ht="15" hidden="false" customHeight="true" outlineLevel="0" collapsed="false">
      <c r="A1075" s="8" t="s">
        <v>1123</v>
      </c>
      <c r="B1075" s="8" t="s">
        <v>980</v>
      </c>
      <c r="C1075" s="8" t="s">
        <v>981</v>
      </c>
      <c r="D1075" s="26" t="n">
        <v>0</v>
      </c>
    </row>
    <row r="1076" customFormat="false" ht="15" hidden="false" customHeight="true" outlineLevel="0" collapsed="false">
      <c r="A1076" s="8" t="s">
        <v>1123</v>
      </c>
      <c r="B1076" s="8" t="s">
        <v>982</v>
      </c>
      <c r="C1076" s="8" t="s">
        <v>983</v>
      </c>
      <c r="D1076" s="26" t="n">
        <v>0</v>
      </c>
    </row>
    <row r="1077" customFormat="false" ht="15" hidden="false" customHeight="true" outlineLevel="0" collapsed="false">
      <c r="A1077" s="8" t="s">
        <v>1123</v>
      </c>
      <c r="B1077" s="8" t="s">
        <v>982</v>
      </c>
      <c r="C1077" s="8" t="s">
        <v>984</v>
      </c>
      <c r="D1077" s="26" t="n">
        <v>0</v>
      </c>
    </row>
    <row r="1078" customFormat="false" ht="15" hidden="false" customHeight="true" outlineLevel="0" collapsed="false">
      <c r="A1078" s="8" t="s">
        <v>1123</v>
      </c>
      <c r="B1078" s="8" t="s">
        <v>982</v>
      </c>
      <c r="C1078" s="8" t="s">
        <v>985</v>
      </c>
      <c r="D1078" s="26" t="n">
        <v>0</v>
      </c>
    </row>
    <row r="1079" customFormat="false" ht="15" hidden="false" customHeight="true" outlineLevel="0" collapsed="false">
      <c r="A1079" s="8" t="s">
        <v>1123</v>
      </c>
      <c r="B1079" s="8" t="s">
        <v>982</v>
      </c>
      <c r="C1079" s="8" t="s">
        <v>986</v>
      </c>
      <c r="D1079" s="26" t="n">
        <v>0</v>
      </c>
    </row>
    <row r="1080" customFormat="false" ht="15" hidden="false" customHeight="true" outlineLevel="0" collapsed="false">
      <c r="A1080" s="8" t="s">
        <v>1123</v>
      </c>
      <c r="B1080" s="8" t="s">
        <v>987</v>
      </c>
      <c r="C1080" s="8" t="s">
        <v>988</v>
      </c>
      <c r="D1080" s="26" t="n">
        <v>0</v>
      </c>
    </row>
    <row r="1081" customFormat="false" ht="15" hidden="false" customHeight="true" outlineLevel="0" collapsed="false">
      <c r="A1081" s="8" t="s">
        <v>1123</v>
      </c>
      <c r="B1081" s="8" t="s">
        <v>987</v>
      </c>
      <c r="C1081" s="8" t="s">
        <v>989</v>
      </c>
      <c r="D1081" s="26" t="n">
        <v>0</v>
      </c>
    </row>
    <row r="1082" customFormat="false" ht="15" hidden="false" customHeight="true" outlineLevel="0" collapsed="false">
      <c r="A1082" s="8" t="s">
        <v>1123</v>
      </c>
      <c r="B1082" s="8" t="s">
        <v>987</v>
      </c>
      <c r="C1082" s="8" t="s">
        <v>990</v>
      </c>
      <c r="D1082" s="26" t="n">
        <v>0</v>
      </c>
    </row>
    <row r="1083" customFormat="false" ht="15" hidden="false" customHeight="true" outlineLevel="0" collapsed="false">
      <c r="A1083" s="8" t="s">
        <v>1123</v>
      </c>
      <c r="B1083" s="8" t="s">
        <v>987</v>
      </c>
      <c r="C1083" s="8" t="s">
        <v>991</v>
      </c>
      <c r="D1083" s="26" t="n">
        <v>0</v>
      </c>
    </row>
    <row r="1084" customFormat="false" ht="15" hidden="false" customHeight="true" outlineLevel="0" collapsed="false">
      <c r="A1084" s="8" t="s">
        <v>1123</v>
      </c>
      <c r="B1084" s="8" t="s">
        <v>992</v>
      </c>
      <c r="C1084" s="8" t="s">
        <v>993</v>
      </c>
      <c r="D1084" s="26" t="n">
        <v>0</v>
      </c>
    </row>
    <row r="1085" customFormat="false" ht="15" hidden="false" customHeight="true" outlineLevel="0" collapsed="false">
      <c r="A1085" s="8" t="s">
        <v>1123</v>
      </c>
      <c r="B1085" s="8" t="s">
        <v>994</v>
      </c>
      <c r="C1085" s="8" t="s">
        <v>993</v>
      </c>
      <c r="D1085" s="26" t="n">
        <v>0</v>
      </c>
    </row>
    <row r="1086" customFormat="false" ht="15" hidden="false" customHeight="true" outlineLevel="0" collapsed="false">
      <c r="A1086" s="8" t="s">
        <v>1123</v>
      </c>
      <c r="B1086" s="8" t="s">
        <v>995</v>
      </c>
      <c r="C1086" s="8" t="s">
        <v>993</v>
      </c>
      <c r="D1086" s="26" t="n">
        <v>0</v>
      </c>
    </row>
    <row r="1087" customFormat="false" ht="15" hidden="false" customHeight="true" outlineLevel="0" collapsed="false">
      <c r="A1087" s="8" t="s">
        <v>1123</v>
      </c>
      <c r="B1087" s="8" t="s">
        <v>996</v>
      </c>
      <c r="C1087" s="8" t="s">
        <v>993</v>
      </c>
      <c r="D1087" s="26" t="n">
        <v>0</v>
      </c>
    </row>
    <row r="1088" customFormat="false" ht="15" hidden="false" customHeight="true" outlineLevel="0" collapsed="false">
      <c r="A1088" s="8" t="s">
        <v>1123</v>
      </c>
      <c r="B1088" s="8" t="s">
        <v>997</v>
      </c>
      <c r="C1088" s="8" t="s">
        <v>998</v>
      </c>
      <c r="D1088" s="26" t="n">
        <v>0</v>
      </c>
    </row>
    <row r="1089" customFormat="false" ht="15" hidden="false" customHeight="true" outlineLevel="0" collapsed="false">
      <c r="A1089" s="8" t="s">
        <v>1123</v>
      </c>
      <c r="B1089" s="8" t="s">
        <v>997</v>
      </c>
      <c r="C1089" s="8" t="s">
        <v>999</v>
      </c>
      <c r="D1089" s="26" t="n">
        <v>0</v>
      </c>
    </row>
    <row r="1090" customFormat="false" ht="15" hidden="false" customHeight="true" outlineLevel="0" collapsed="false">
      <c r="A1090" s="8" t="s">
        <v>1123</v>
      </c>
      <c r="B1090" s="8" t="s">
        <v>997</v>
      </c>
      <c r="C1090" s="8" t="s">
        <v>1000</v>
      </c>
      <c r="D1090" s="26" t="n">
        <v>0</v>
      </c>
    </row>
    <row r="1091" customFormat="false" ht="15" hidden="false" customHeight="true" outlineLevel="0" collapsed="false">
      <c r="A1091" s="8" t="s">
        <v>1123</v>
      </c>
      <c r="B1091" s="8" t="s">
        <v>997</v>
      </c>
      <c r="C1091" s="8" t="s">
        <v>1001</v>
      </c>
      <c r="D1091" s="26" t="n">
        <v>0</v>
      </c>
    </row>
    <row r="1092" customFormat="false" ht="15" hidden="false" customHeight="true" outlineLevel="0" collapsed="false">
      <c r="A1092" s="8" t="s">
        <v>1123</v>
      </c>
      <c r="B1092" s="8" t="s">
        <v>997</v>
      </c>
      <c r="C1092" s="8" t="s">
        <v>1002</v>
      </c>
      <c r="D1092" s="26" t="n">
        <v>0</v>
      </c>
    </row>
    <row r="1093" customFormat="false" ht="15" hidden="false" customHeight="true" outlineLevel="0" collapsed="false">
      <c r="A1093" s="8" t="s">
        <v>1123</v>
      </c>
      <c r="B1093" s="8" t="s">
        <v>948</v>
      </c>
      <c r="C1093" s="8" t="s">
        <v>1003</v>
      </c>
      <c r="D1093" s="26" t="n">
        <v>0</v>
      </c>
    </row>
    <row r="1094" customFormat="false" ht="15" hidden="false" customHeight="true" outlineLevel="0" collapsed="false">
      <c r="A1094" s="8" t="s">
        <v>1123</v>
      </c>
      <c r="B1094" s="8" t="s">
        <v>1004</v>
      </c>
      <c r="C1094" s="8" t="s">
        <v>1005</v>
      </c>
      <c r="D1094" s="26" t="n">
        <v>0</v>
      </c>
    </row>
    <row r="1095" customFormat="false" ht="15" hidden="false" customHeight="true" outlineLevel="0" collapsed="false">
      <c r="A1095" s="8" t="s">
        <v>1123</v>
      </c>
      <c r="B1095" s="8" t="s">
        <v>1004</v>
      </c>
      <c r="C1095" s="8" t="s">
        <v>1006</v>
      </c>
      <c r="D1095" s="26" t="n">
        <v>0</v>
      </c>
    </row>
    <row r="1096" customFormat="false" ht="15" hidden="false" customHeight="true" outlineLevel="0" collapsed="false">
      <c r="A1096" s="8" t="s">
        <v>1123</v>
      </c>
      <c r="B1096" s="8" t="s">
        <v>1007</v>
      </c>
      <c r="C1096" s="8" t="s">
        <v>1008</v>
      </c>
      <c r="D1096" s="26" t="n">
        <v>0</v>
      </c>
    </row>
    <row r="1097" customFormat="false" ht="15" hidden="false" customHeight="true" outlineLevel="0" collapsed="false">
      <c r="A1097" s="8" t="s">
        <v>1123</v>
      </c>
      <c r="B1097" s="8" t="s">
        <v>1007</v>
      </c>
      <c r="C1097" s="8" t="s">
        <v>1009</v>
      </c>
      <c r="D1097" s="26" t="n">
        <v>0</v>
      </c>
    </row>
    <row r="1098" customFormat="false" ht="15" hidden="false" customHeight="true" outlineLevel="0" collapsed="false">
      <c r="A1098" s="8" t="s">
        <v>1123</v>
      </c>
      <c r="B1098" s="8" t="s">
        <v>1010</v>
      </c>
      <c r="C1098" s="8" t="s">
        <v>1011</v>
      </c>
      <c r="D1098" s="26" t="n">
        <v>0</v>
      </c>
    </row>
    <row r="1099" customFormat="false" ht="15" hidden="false" customHeight="true" outlineLevel="0" collapsed="false">
      <c r="A1099" s="8" t="s">
        <v>1123</v>
      </c>
      <c r="B1099" s="8" t="s">
        <v>1010</v>
      </c>
      <c r="C1099" s="8" t="s">
        <v>1012</v>
      </c>
      <c r="D1099" s="26" t="n">
        <v>0</v>
      </c>
    </row>
    <row r="1100" customFormat="false" ht="15" hidden="false" customHeight="true" outlineLevel="0" collapsed="false">
      <c r="A1100" s="8" t="s">
        <v>1123</v>
      </c>
      <c r="B1100" s="8" t="s">
        <v>1013</v>
      </c>
      <c r="C1100" s="8" t="s">
        <v>1014</v>
      </c>
      <c r="D1100" s="26" t="n">
        <v>0</v>
      </c>
    </row>
    <row r="1101" customFormat="false" ht="15" hidden="false" customHeight="true" outlineLevel="0" collapsed="false">
      <c r="A1101" s="8" t="s">
        <v>1123</v>
      </c>
      <c r="B1101" s="8" t="s">
        <v>1013</v>
      </c>
      <c r="C1101" s="8" t="s">
        <v>1015</v>
      </c>
      <c r="D1101" s="26" t="n">
        <v>0</v>
      </c>
    </row>
    <row r="1102" customFormat="false" ht="15" hidden="false" customHeight="true" outlineLevel="0" collapsed="false">
      <c r="A1102" s="8" t="s">
        <v>1123</v>
      </c>
      <c r="B1102" s="8" t="s">
        <v>1016</v>
      </c>
      <c r="C1102" s="8" t="s">
        <v>1017</v>
      </c>
      <c r="D1102" s="26" t="n">
        <v>0</v>
      </c>
    </row>
    <row r="1103" customFormat="false" ht="15" hidden="false" customHeight="true" outlineLevel="0" collapsed="false">
      <c r="A1103" s="8" t="s">
        <v>1123</v>
      </c>
      <c r="B1103" s="8" t="s">
        <v>1016</v>
      </c>
      <c r="C1103" s="8" t="s">
        <v>1018</v>
      </c>
      <c r="D1103" s="26" t="n">
        <v>0</v>
      </c>
    </row>
    <row r="1104" customFormat="false" ht="15" hidden="false" customHeight="true" outlineLevel="0" collapsed="false">
      <c r="A1104" s="8" t="s">
        <v>1123</v>
      </c>
      <c r="B1104" s="8" t="s">
        <v>1016</v>
      </c>
      <c r="C1104" s="8" t="s">
        <v>1019</v>
      </c>
      <c r="D1104" s="26" t="n">
        <v>0</v>
      </c>
    </row>
    <row r="1105" customFormat="false" ht="15" hidden="false" customHeight="true" outlineLevel="0" collapsed="false">
      <c r="A1105" s="8" t="s">
        <v>1123</v>
      </c>
      <c r="B1105" s="8" t="s">
        <v>1020</v>
      </c>
      <c r="C1105" s="8" t="s">
        <v>1021</v>
      </c>
      <c r="D1105" s="26" t="n">
        <v>0</v>
      </c>
    </row>
    <row r="1106" customFormat="false" ht="15" hidden="false" customHeight="true" outlineLevel="0" collapsed="false">
      <c r="A1106" s="8" t="s">
        <v>1123</v>
      </c>
      <c r="B1106" s="8" t="s">
        <v>1022</v>
      </c>
      <c r="C1106" s="8" t="s">
        <v>1021</v>
      </c>
      <c r="D1106" s="26" t="n">
        <v>0</v>
      </c>
    </row>
    <row r="1107" customFormat="false" ht="15" hidden="false" customHeight="true" outlineLevel="0" collapsed="false">
      <c r="A1107" s="8" t="s">
        <v>1123</v>
      </c>
      <c r="B1107" s="8" t="s">
        <v>1023</v>
      </c>
      <c r="C1107" s="8" t="s">
        <v>1021</v>
      </c>
      <c r="D1107" s="26" t="n">
        <v>0</v>
      </c>
    </row>
    <row r="1108" customFormat="false" ht="15" hidden="false" customHeight="true" outlineLevel="0" collapsed="false">
      <c r="A1108" s="8" t="s">
        <v>1123</v>
      </c>
      <c r="B1108" s="8" t="s">
        <v>1024</v>
      </c>
      <c r="C1108" s="8" t="s">
        <v>1021</v>
      </c>
      <c r="D1108" s="26" t="n">
        <v>0</v>
      </c>
    </row>
    <row r="1109" customFormat="false" ht="15" hidden="false" customHeight="true" outlineLevel="0" collapsed="false">
      <c r="A1109" s="8" t="s">
        <v>1123</v>
      </c>
      <c r="B1109" s="8" t="s">
        <v>1025</v>
      </c>
      <c r="C1109" s="8" t="s">
        <v>1026</v>
      </c>
      <c r="D1109" s="26" t="n">
        <v>0</v>
      </c>
    </row>
    <row r="1110" customFormat="false" ht="15" hidden="false" customHeight="true" outlineLevel="0" collapsed="false">
      <c r="A1110" s="8" t="s">
        <v>1123</v>
      </c>
      <c r="B1110" s="8" t="s">
        <v>1027</v>
      </c>
      <c r="C1110" s="8" t="s">
        <v>1026</v>
      </c>
      <c r="D1110" s="26" t="n">
        <v>0</v>
      </c>
    </row>
    <row r="1111" customFormat="false" ht="15" hidden="false" customHeight="true" outlineLevel="0" collapsed="false">
      <c r="A1111" s="8" t="s">
        <v>1123</v>
      </c>
      <c r="B1111" s="8" t="s">
        <v>1028</v>
      </c>
      <c r="C1111" s="8" t="s">
        <v>1026</v>
      </c>
      <c r="D1111" s="26" t="n">
        <v>0</v>
      </c>
    </row>
    <row r="1112" customFormat="false" ht="15" hidden="false" customHeight="true" outlineLevel="0" collapsed="false">
      <c r="A1112" s="8" t="s">
        <v>1123</v>
      </c>
      <c r="B1112" s="8" t="s">
        <v>1029</v>
      </c>
      <c r="C1112" s="8" t="s">
        <v>1026</v>
      </c>
      <c r="D1112" s="26" t="n">
        <v>0</v>
      </c>
    </row>
    <row r="1113" customFormat="false" ht="15" hidden="false" customHeight="true" outlineLevel="0" collapsed="false">
      <c r="A1113" s="8" t="s">
        <v>1123</v>
      </c>
      <c r="B1113" s="8" t="s">
        <v>1030</v>
      </c>
      <c r="C1113" s="8" t="s">
        <v>1031</v>
      </c>
      <c r="D1113" s="26" t="n">
        <v>0</v>
      </c>
    </row>
    <row r="1114" customFormat="false" ht="15" hidden="false" customHeight="true" outlineLevel="0" collapsed="false">
      <c r="A1114" s="8" t="s">
        <v>1123</v>
      </c>
      <c r="B1114" s="8" t="s">
        <v>1030</v>
      </c>
      <c r="C1114" s="8" t="s">
        <v>1032</v>
      </c>
      <c r="D1114" s="26" t="n">
        <v>0</v>
      </c>
    </row>
    <row r="1115" customFormat="false" ht="15" hidden="false" customHeight="true" outlineLevel="0" collapsed="false">
      <c r="A1115" s="8" t="s">
        <v>1123</v>
      </c>
      <c r="B1115" s="8" t="s">
        <v>1033</v>
      </c>
      <c r="C1115" s="8" t="s">
        <v>1034</v>
      </c>
      <c r="D1115" s="26" t="n">
        <v>0</v>
      </c>
    </row>
    <row r="1116" customFormat="false" ht="15" hidden="false" customHeight="true" outlineLevel="0" collapsed="false">
      <c r="A1116" s="8" t="s">
        <v>1123</v>
      </c>
      <c r="B1116" s="8" t="s">
        <v>1035</v>
      </c>
      <c r="C1116" s="8" t="s">
        <v>1036</v>
      </c>
      <c r="D1116" s="26" t="n">
        <v>0</v>
      </c>
    </row>
    <row r="1117" customFormat="false" ht="15" hidden="false" customHeight="true" outlineLevel="0" collapsed="false">
      <c r="A1117" s="8" t="s">
        <v>1123</v>
      </c>
      <c r="B1117" s="8" t="s">
        <v>1037</v>
      </c>
      <c r="C1117" s="8" t="s">
        <v>1038</v>
      </c>
      <c r="D1117" s="26" t="n">
        <v>0</v>
      </c>
    </row>
    <row r="1118" customFormat="false" ht="15" hidden="false" customHeight="true" outlineLevel="0" collapsed="false">
      <c r="A1118" s="8" t="s">
        <v>1123</v>
      </c>
      <c r="B1118" s="8" t="s">
        <v>1035</v>
      </c>
      <c r="C1118" s="8" t="s">
        <v>1039</v>
      </c>
      <c r="D1118" s="26" t="n">
        <v>0</v>
      </c>
    </row>
    <row r="1119" customFormat="false" ht="15" hidden="false" customHeight="true" outlineLevel="0" collapsed="false">
      <c r="A1119" s="8" t="s">
        <v>1123</v>
      </c>
      <c r="B1119" s="8" t="s">
        <v>1040</v>
      </c>
      <c r="C1119" s="8" t="s">
        <v>1041</v>
      </c>
      <c r="D1119" s="26" t="n">
        <v>0</v>
      </c>
    </row>
    <row r="1120" customFormat="false" ht="15" hidden="false" customHeight="true" outlineLevel="0" collapsed="false">
      <c r="A1120" s="8" t="s">
        <v>1123</v>
      </c>
      <c r="B1120" s="8" t="s">
        <v>1042</v>
      </c>
      <c r="C1120" s="8" t="s">
        <v>1043</v>
      </c>
      <c r="D1120" s="26" t="n">
        <v>0</v>
      </c>
    </row>
    <row r="1121" customFormat="false" ht="15" hidden="false" customHeight="true" outlineLevel="0" collapsed="false">
      <c r="A1121" s="8" t="s">
        <v>1123</v>
      </c>
      <c r="B1121" s="8" t="s">
        <v>1042</v>
      </c>
      <c r="C1121" s="8" t="s">
        <v>1044</v>
      </c>
      <c r="D1121" s="26" t="n">
        <v>0</v>
      </c>
    </row>
    <row r="1122" customFormat="false" ht="15" hidden="false" customHeight="true" outlineLevel="0" collapsed="false">
      <c r="A1122" s="8" t="s">
        <v>1123</v>
      </c>
      <c r="B1122" s="8" t="s">
        <v>1042</v>
      </c>
      <c r="C1122" s="8" t="s">
        <v>1045</v>
      </c>
      <c r="D1122" s="26" t="n">
        <v>0</v>
      </c>
    </row>
    <row r="1123" customFormat="false" ht="15" hidden="false" customHeight="true" outlineLevel="0" collapsed="false">
      <c r="A1123" s="8" t="s">
        <v>1123</v>
      </c>
      <c r="B1123" s="8" t="s">
        <v>1042</v>
      </c>
      <c r="C1123" s="8" t="s">
        <v>1046</v>
      </c>
      <c r="D1123" s="26" t="n">
        <v>0</v>
      </c>
    </row>
    <row r="1124" customFormat="false" ht="15" hidden="false" customHeight="true" outlineLevel="0" collapsed="false">
      <c r="A1124" s="8" t="s">
        <v>1123</v>
      </c>
      <c r="B1124" s="8" t="s">
        <v>1042</v>
      </c>
      <c r="C1124" s="8" t="s">
        <v>1047</v>
      </c>
      <c r="D1124" s="26" t="n">
        <v>0</v>
      </c>
    </row>
    <row r="1125" customFormat="false" ht="15" hidden="false" customHeight="true" outlineLevel="0" collapsed="false">
      <c r="A1125" s="8" t="s">
        <v>1123</v>
      </c>
      <c r="B1125" s="8" t="s">
        <v>1048</v>
      </c>
      <c r="C1125" s="8" t="s">
        <v>1049</v>
      </c>
      <c r="D1125" s="26" t="n">
        <v>0</v>
      </c>
    </row>
    <row r="1126" customFormat="false" ht="15" hidden="false" customHeight="true" outlineLevel="0" collapsed="false">
      <c r="A1126" s="8" t="s">
        <v>1123</v>
      </c>
      <c r="B1126" s="8" t="s">
        <v>1048</v>
      </c>
      <c r="C1126" s="8" t="s">
        <v>1050</v>
      </c>
      <c r="D1126" s="26" t="n">
        <v>0</v>
      </c>
    </row>
    <row r="1127" customFormat="false" ht="15" hidden="false" customHeight="true" outlineLevel="0" collapsed="false">
      <c r="A1127" s="8" t="s">
        <v>1123</v>
      </c>
      <c r="B1127" s="8" t="s">
        <v>1048</v>
      </c>
      <c r="C1127" s="8" t="s">
        <v>1051</v>
      </c>
      <c r="D1127" s="26" t="n">
        <v>0</v>
      </c>
    </row>
    <row r="1128" customFormat="false" ht="15" hidden="false" customHeight="true" outlineLevel="0" collapsed="false">
      <c r="A1128" s="8" t="s">
        <v>1123</v>
      </c>
      <c r="B1128" s="8" t="s">
        <v>1048</v>
      </c>
      <c r="C1128" s="8" t="s">
        <v>1052</v>
      </c>
      <c r="D1128" s="26" t="n">
        <v>0</v>
      </c>
    </row>
    <row r="1129" customFormat="false" ht="15" hidden="false" customHeight="true" outlineLevel="0" collapsed="false">
      <c r="A1129" s="8" t="s">
        <v>1123</v>
      </c>
      <c r="B1129" s="8" t="s">
        <v>1048</v>
      </c>
      <c r="C1129" s="8" t="s">
        <v>1053</v>
      </c>
      <c r="D1129" s="26" t="n">
        <v>0</v>
      </c>
    </row>
    <row r="1130" customFormat="false" ht="15" hidden="false" customHeight="true" outlineLevel="0" collapsed="false">
      <c r="A1130" s="8" t="s">
        <v>1123</v>
      </c>
      <c r="B1130" s="8" t="s">
        <v>1054</v>
      </c>
      <c r="C1130" s="8" t="s">
        <v>1055</v>
      </c>
      <c r="D1130" s="26" t="n">
        <v>0</v>
      </c>
    </row>
    <row r="1131" customFormat="false" ht="15" hidden="false" customHeight="true" outlineLevel="0" collapsed="false">
      <c r="A1131" s="8" t="s">
        <v>1123</v>
      </c>
      <c r="B1131" s="8" t="s">
        <v>1054</v>
      </c>
      <c r="C1131" s="8" t="s">
        <v>1056</v>
      </c>
      <c r="D1131" s="26" t="n">
        <v>0</v>
      </c>
    </row>
    <row r="1132" customFormat="false" ht="15" hidden="false" customHeight="true" outlineLevel="0" collapsed="false">
      <c r="A1132" s="8" t="s">
        <v>1123</v>
      </c>
      <c r="B1132" s="8" t="s">
        <v>1054</v>
      </c>
      <c r="C1132" s="8" t="s">
        <v>1057</v>
      </c>
      <c r="D1132" s="26" t="n">
        <v>0</v>
      </c>
    </row>
    <row r="1133" customFormat="false" ht="15" hidden="false" customHeight="true" outlineLevel="0" collapsed="false">
      <c r="A1133" s="8" t="s">
        <v>1123</v>
      </c>
      <c r="B1133" s="8" t="s">
        <v>1054</v>
      </c>
      <c r="C1133" s="8" t="s">
        <v>1058</v>
      </c>
      <c r="D1133" s="26" t="n">
        <v>0</v>
      </c>
    </row>
    <row r="1134" customFormat="false" ht="15" hidden="false" customHeight="true" outlineLevel="0" collapsed="false">
      <c r="A1134" s="8" t="s">
        <v>1123</v>
      </c>
      <c r="B1134" s="8" t="s">
        <v>1054</v>
      </c>
      <c r="C1134" s="8" t="s">
        <v>1059</v>
      </c>
      <c r="D1134" s="26" t="n">
        <v>0</v>
      </c>
    </row>
    <row r="1135" customFormat="false" ht="15" hidden="false" customHeight="true" outlineLevel="0" collapsed="false">
      <c r="A1135" s="8" t="s">
        <v>1123</v>
      </c>
      <c r="B1135" s="8" t="s">
        <v>1060</v>
      </c>
      <c r="C1135" s="8" t="s">
        <v>1061</v>
      </c>
      <c r="D1135" s="26" t="n">
        <v>0</v>
      </c>
    </row>
    <row r="1136" customFormat="false" ht="15" hidden="false" customHeight="true" outlineLevel="0" collapsed="false">
      <c r="A1136" s="8" t="s">
        <v>1123</v>
      </c>
      <c r="B1136" s="8" t="s">
        <v>1062</v>
      </c>
      <c r="C1136" s="8" t="s">
        <v>1063</v>
      </c>
      <c r="D1136" s="26" t="n">
        <v>0</v>
      </c>
    </row>
    <row r="1137" customFormat="false" ht="15" hidden="false" customHeight="true" outlineLevel="0" collapsed="false">
      <c r="A1137" s="8" t="s">
        <v>1123</v>
      </c>
      <c r="B1137" s="8" t="s">
        <v>1064</v>
      </c>
      <c r="C1137" s="8" t="s">
        <v>1065</v>
      </c>
      <c r="D1137" s="26" t="n">
        <v>0</v>
      </c>
    </row>
    <row r="1138" customFormat="false" ht="15" hidden="false" customHeight="true" outlineLevel="0" collapsed="false">
      <c r="A1138" s="8" t="s">
        <v>1123</v>
      </c>
      <c r="B1138" s="8" t="s">
        <v>1066</v>
      </c>
      <c r="C1138" s="8" t="s">
        <v>1067</v>
      </c>
      <c r="D1138" s="26" t="n">
        <v>0</v>
      </c>
    </row>
    <row r="1139" customFormat="false" ht="15" hidden="false" customHeight="true" outlineLevel="0" collapsed="false">
      <c r="A1139" s="8" t="s">
        <v>1123</v>
      </c>
      <c r="B1139" s="8" t="s">
        <v>1068</v>
      </c>
      <c r="C1139" s="8" t="s">
        <v>1069</v>
      </c>
      <c r="D1139" s="26" t="n">
        <v>0</v>
      </c>
    </row>
    <row r="1140" customFormat="false" ht="15" hidden="false" customHeight="true" outlineLevel="0" collapsed="false">
      <c r="A1140" s="8" t="s">
        <v>1123</v>
      </c>
      <c r="B1140" s="8" t="s">
        <v>1070</v>
      </c>
      <c r="C1140" s="8" t="s">
        <v>1071</v>
      </c>
      <c r="D1140" s="26" t="n">
        <v>0</v>
      </c>
    </row>
    <row r="1141" customFormat="false" ht="15" hidden="false" customHeight="true" outlineLevel="0" collapsed="false">
      <c r="A1141" s="8" t="s">
        <v>1123</v>
      </c>
      <c r="B1141" s="8" t="s">
        <v>1070</v>
      </c>
      <c r="C1141" s="8" t="s">
        <v>1072</v>
      </c>
      <c r="D1141" s="26" t="n">
        <v>0</v>
      </c>
    </row>
    <row r="1142" customFormat="false" ht="15" hidden="false" customHeight="true" outlineLevel="0" collapsed="false">
      <c r="A1142" s="8" t="s">
        <v>1123</v>
      </c>
      <c r="B1142" s="8" t="s">
        <v>1070</v>
      </c>
      <c r="C1142" s="8" t="s">
        <v>1073</v>
      </c>
      <c r="D1142" s="26" t="n">
        <v>0</v>
      </c>
    </row>
    <row r="1143" customFormat="false" ht="15" hidden="false" customHeight="true" outlineLevel="0" collapsed="false">
      <c r="A1143" s="8" t="s">
        <v>1123</v>
      </c>
      <c r="B1143" s="8" t="s">
        <v>1070</v>
      </c>
      <c r="C1143" s="8" t="s">
        <v>1074</v>
      </c>
      <c r="D1143" s="26" t="n">
        <v>0</v>
      </c>
    </row>
    <row r="1144" customFormat="false" ht="15" hidden="false" customHeight="true" outlineLevel="0" collapsed="false">
      <c r="A1144" s="8" t="s">
        <v>1123</v>
      </c>
      <c r="B1144" s="8" t="s">
        <v>1075</v>
      </c>
      <c r="C1144" s="8" t="s">
        <v>1076</v>
      </c>
      <c r="D1144" s="26" t="n">
        <v>0</v>
      </c>
    </row>
    <row r="1145" customFormat="false" ht="15" hidden="false" customHeight="true" outlineLevel="0" collapsed="false">
      <c r="A1145" s="8" t="s">
        <v>1123</v>
      </c>
      <c r="B1145" s="8" t="s">
        <v>1077</v>
      </c>
      <c r="C1145" s="8" t="s">
        <v>1078</v>
      </c>
      <c r="D1145" s="26" t="n">
        <v>0</v>
      </c>
    </row>
    <row r="1146" customFormat="false" ht="15" hidden="false" customHeight="true" outlineLevel="0" collapsed="false">
      <c r="A1146" s="8" t="s">
        <v>1123</v>
      </c>
      <c r="B1146" s="8" t="s">
        <v>1079</v>
      </c>
      <c r="C1146" s="8" t="s">
        <v>1080</v>
      </c>
      <c r="D1146" s="26" t="n">
        <v>0</v>
      </c>
    </row>
    <row r="1147" customFormat="false" ht="15" hidden="false" customHeight="true" outlineLevel="0" collapsed="false">
      <c r="A1147" s="8" t="s">
        <v>1123</v>
      </c>
      <c r="B1147" s="8" t="s">
        <v>1081</v>
      </c>
      <c r="C1147" s="8" t="s">
        <v>1082</v>
      </c>
      <c r="D1147" s="26" t="n">
        <v>0</v>
      </c>
    </row>
    <row r="1148" customFormat="false" ht="15" hidden="false" customHeight="true" outlineLevel="0" collapsed="false">
      <c r="A1148" s="8" t="s">
        <v>1123</v>
      </c>
      <c r="B1148" s="8" t="s">
        <v>1083</v>
      </c>
      <c r="C1148" s="8" t="s">
        <v>1084</v>
      </c>
      <c r="D1148" s="26" t="n">
        <v>0</v>
      </c>
    </row>
    <row r="1149" customFormat="false" ht="15" hidden="false" customHeight="true" outlineLevel="0" collapsed="false">
      <c r="A1149" s="8" t="s">
        <v>1123</v>
      </c>
      <c r="B1149" s="8" t="s">
        <v>107</v>
      </c>
      <c r="C1149" s="8" t="s">
        <v>1085</v>
      </c>
      <c r="D1149" s="26" t="n">
        <v>0</v>
      </c>
    </row>
    <row r="1150" customFormat="false" ht="15" hidden="false" customHeight="true" outlineLevel="0" collapsed="false">
      <c r="A1150" s="8" t="s">
        <v>1123</v>
      </c>
      <c r="B1150" s="8" t="s">
        <v>1086</v>
      </c>
      <c r="C1150" s="8" t="s">
        <v>1087</v>
      </c>
      <c r="D1150" s="26" t="n">
        <v>0</v>
      </c>
    </row>
    <row r="1151" customFormat="false" ht="15" hidden="false" customHeight="true" outlineLevel="0" collapsed="false">
      <c r="A1151" s="8" t="s">
        <v>1123</v>
      </c>
      <c r="B1151" s="8" t="s">
        <v>1088</v>
      </c>
      <c r="C1151" s="8" t="s">
        <v>1089</v>
      </c>
      <c r="D1151" s="26" t="n">
        <v>0</v>
      </c>
    </row>
    <row r="1152" customFormat="false" ht="15" hidden="false" customHeight="true" outlineLevel="0" collapsed="false">
      <c r="A1152" s="8" t="s">
        <v>1123</v>
      </c>
      <c r="B1152" s="8" t="s">
        <v>1088</v>
      </c>
      <c r="C1152" s="8" t="s">
        <v>1090</v>
      </c>
      <c r="D1152" s="26" t="n">
        <v>0</v>
      </c>
    </row>
    <row r="1153" customFormat="false" ht="15" hidden="false" customHeight="true" outlineLevel="0" collapsed="false">
      <c r="A1153" s="8" t="s">
        <v>1123</v>
      </c>
      <c r="B1153" s="8" t="s">
        <v>1088</v>
      </c>
      <c r="C1153" s="8" t="s">
        <v>1091</v>
      </c>
      <c r="D1153" s="26" t="n">
        <v>0</v>
      </c>
    </row>
    <row r="1154" customFormat="false" ht="15" hidden="false" customHeight="true" outlineLevel="0" collapsed="false">
      <c r="A1154" s="8" t="s">
        <v>1123</v>
      </c>
      <c r="B1154" s="8" t="s">
        <v>1088</v>
      </c>
      <c r="C1154" s="8" t="s">
        <v>1092</v>
      </c>
      <c r="D1154" s="26" t="n">
        <v>0</v>
      </c>
    </row>
    <row r="1155" customFormat="false" ht="15" hidden="false" customHeight="true" outlineLevel="0" collapsed="false">
      <c r="A1155" s="8" t="s">
        <v>1123</v>
      </c>
      <c r="B1155" s="8" t="s">
        <v>1093</v>
      </c>
      <c r="C1155" s="8" t="s">
        <v>1094</v>
      </c>
      <c r="D1155" s="26" t="n">
        <v>0</v>
      </c>
    </row>
    <row r="1156" customFormat="false" ht="15" hidden="false" customHeight="true" outlineLevel="0" collapsed="false">
      <c r="A1156" s="8" t="s">
        <v>1123</v>
      </c>
      <c r="B1156" s="8" t="s">
        <v>1095</v>
      </c>
      <c r="C1156" s="8" t="s">
        <v>1094</v>
      </c>
      <c r="D1156" s="26" t="n">
        <v>0</v>
      </c>
    </row>
    <row r="1157" customFormat="false" ht="15" hidden="false" customHeight="true" outlineLevel="0" collapsed="false">
      <c r="A1157" s="8" t="s">
        <v>1123</v>
      </c>
      <c r="B1157" s="8" t="s">
        <v>1093</v>
      </c>
      <c r="C1157" s="8" t="s">
        <v>1096</v>
      </c>
      <c r="D1157" s="26" t="n">
        <v>0</v>
      </c>
    </row>
    <row r="1158" customFormat="false" ht="15" hidden="false" customHeight="true" outlineLevel="0" collapsed="false">
      <c r="A1158" s="8" t="s">
        <v>1123</v>
      </c>
      <c r="B1158" s="8" t="s">
        <v>151</v>
      </c>
      <c r="C1158" s="8" t="s">
        <v>1096</v>
      </c>
      <c r="D1158" s="26" t="n">
        <v>0</v>
      </c>
    </row>
    <row r="1159" customFormat="false" ht="15" hidden="false" customHeight="true" outlineLevel="0" collapsed="false">
      <c r="A1159" s="8" t="s">
        <v>1123</v>
      </c>
      <c r="B1159" s="8" t="s">
        <v>81</v>
      </c>
      <c r="C1159" s="8" t="s">
        <v>1097</v>
      </c>
      <c r="D1159" s="26" t="n">
        <v>0</v>
      </c>
    </row>
    <row r="1160" customFormat="false" ht="15" hidden="false" customHeight="true" outlineLevel="0" collapsed="false">
      <c r="A1160" s="8" t="s">
        <v>1123</v>
      </c>
      <c r="B1160" s="8" t="s">
        <v>1098</v>
      </c>
      <c r="C1160" s="8" t="s">
        <v>1099</v>
      </c>
      <c r="D1160" s="26" t="n">
        <v>0</v>
      </c>
    </row>
    <row r="1161" customFormat="false" ht="15" hidden="false" customHeight="true" outlineLevel="0" collapsed="false">
      <c r="A1161" s="8" t="s">
        <v>1123</v>
      </c>
      <c r="B1161" s="8" t="s">
        <v>1100</v>
      </c>
      <c r="C1161" s="8" t="s">
        <v>1101</v>
      </c>
      <c r="D1161" s="26" t="n">
        <v>0</v>
      </c>
    </row>
    <row r="1162" customFormat="false" ht="15" hidden="false" customHeight="true" outlineLevel="0" collapsed="false">
      <c r="A1162" s="8" t="s">
        <v>1123</v>
      </c>
      <c r="B1162" s="8" t="s">
        <v>1102</v>
      </c>
      <c r="C1162" s="8" t="s">
        <v>556</v>
      </c>
      <c r="D1162" s="26" t="n">
        <v>0</v>
      </c>
    </row>
    <row r="1163" customFormat="false" ht="15" hidden="false" customHeight="true" outlineLevel="0" collapsed="false">
      <c r="A1163" s="8" t="s">
        <v>1123</v>
      </c>
      <c r="B1163" s="8" t="s">
        <v>1103</v>
      </c>
      <c r="C1163" s="8" t="s">
        <v>1104</v>
      </c>
      <c r="D1163" s="26" t="n">
        <v>0</v>
      </c>
    </row>
    <row r="1164" customFormat="false" ht="15" hidden="false" customHeight="true" outlineLevel="0" collapsed="false">
      <c r="A1164" s="8" t="s">
        <v>1123</v>
      </c>
      <c r="B1164" s="8" t="s">
        <v>1105</v>
      </c>
      <c r="C1164" s="8" t="s">
        <v>1106</v>
      </c>
      <c r="D1164" s="26" t="n">
        <v>0</v>
      </c>
    </row>
    <row r="1165" customFormat="false" ht="15" hidden="false" customHeight="true" outlineLevel="0" collapsed="false">
      <c r="A1165" s="8" t="s">
        <v>1123</v>
      </c>
      <c r="B1165" s="8" t="s">
        <v>1105</v>
      </c>
      <c r="C1165" s="8" t="s">
        <v>1107</v>
      </c>
      <c r="D1165" s="26" t="n">
        <v>0</v>
      </c>
    </row>
    <row r="1166" customFormat="false" ht="15" hidden="false" customHeight="true" outlineLevel="0" collapsed="false">
      <c r="A1166" s="8" t="s">
        <v>1123</v>
      </c>
      <c r="B1166" s="8" t="s">
        <v>1105</v>
      </c>
      <c r="C1166" s="8" t="s">
        <v>1108</v>
      </c>
      <c r="D1166" s="26" t="n">
        <v>0</v>
      </c>
    </row>
    <row r="1167" customFormat="false" ht="15" hidden="false" customHeight="true" outlineLevel="0" collapsed="false">
      <c r="A1167" s="8" t="s">
        <v>1123</v>
      </c>
      <c r="B1167" s="8" t="s">
        <v>1109</v>
      </c>
      <c r="C1167" s="8" t="s">
        <v>1110</v>
      </c>
      <c r="D1167" s="26" t="n">
        <v>0</v>
      </c>
    </row>
    <row r="1168" customFormat="false" ht="15" hidden="false" customHeight="true" outlineLevel="0" collapsed="false">
      <c r="A1168" s="8" t="s">
        <v>1123</v>
      </c>
      <c r="B1168" s="8" t="s">
        <v>1111</v>
      </c>
      <c r="C1168" s="8" t="s">
        <v>1110</v>
      </c>
      <c r="D1168" s="26" t="n">
        <v>0</v>
      </c>
    </row>
    <row r="1169" customFormat="false" ht="15" hidden="false" customHeight="true" outlineLevel="0" collapsed="false">
      <c r="A1169" s="8" t="s">
        <v>1123</v>
      </c>
      <c r="B1169" s="8" t="s">
        <v>1112</v>
      </c>
      <c r="C1169" s="8" t="s">
        <v>1110</v>
      </c>
      <c r="D1169" s="26" t="n">
        <v>0</v>
      </c>
    </row>
    <row r="1170" customFormat="false" ht="15" hidden="false" customHeight="true" outlineLevel="0" collapsed="false">
      <c r="A1170" s="8" t="s">
        <v>1123</v>
      </c>
      <c r="B1170" s="8" t="s">
        <v>1109</v>
      </c>
      <c r="C1170" s="8" t="s">
        <v>1113</v>
      </c>
      <c r="D1170" s="26" t="n">
        <v>0</v>
      </c>
    </row>
    <row r="1171" customFormat="false" ht="15" hidden="false" customHeight="true" outlineLevel="0" collapsed="false">
      <c r="A1171" s="8" t="s">
        <v>1123</v>
      </c>
      <c r="B1171" s="8" t="s">
        <v>1111</v>
      </c>
      <c r="C1171" s="8" t="s">
        <v>1113</v>
      </c>
      <c r="D1171" s="26" t="n">
        <v>0</v>
      </c>
    </row>
    <row r="1172" customFormat="false" ht="15" hidden="false" customHeight="true" outlineLevel="0" collapsed="false">
      <c r="A1172" s="8" t="s">
        <v>1123</v>
      </c>
      <c r="B1172" s="8" t="s">
        <v>1112</v>
      </c>
      <c r="C1172" s="8" t="s">
        <v>1113</v>
      </c>
      <c r="D1172" s="26" t="n">
        <v>0</v>
      </c>
    </row>
    <row r="1173" customFormat="false" ht="15" hidden="false" customHeight="true" outlineLevel="0" collapsed="false">
      <c r="A1173" s="8" t="s">
        <v>1123</v>
      </c>
      <c r="B1173" s="8" t="s">
        <v>607</v>
      </c>
      <c r="C1173" s="8" t="s">
        <v>1114</v>
      </c>
      <c r="D1173" s="26" t="n">
        <v>0</v>
      </c>
    </row>
    <row r="1174" customFormat="false" ht="15" hidden="false" customHeight="true" outlineLevel="0" collapsed="false">
      <c r="A1174" s="8" t="s">
        <v>1123</v>
      </c>
      <c r="B1174" s="8" t="s">
        <v>90</v>
      </c>
      <c r="C1174" s="8" t="s">
        <v>1115</v>
      </c>
      <c r="D1174" s="26" t="n">
        <v>0</v>
      </c>
    </row>
    <row r="1175" customFormat="false" ht="15" hidden="false" customHeight="true" outlineLevel="0" collapsed="false">
      <c r="A1175" s="8" t="s">
        <v>1123</v>
      </c>
      <c r="B1175" s="8" t="s">
        <v>90</v>
      </c>
      <c r="C1175" s="8" t="s">
        <v>1116</v>
      </c>
      <c r="D1175" s="26" t="n">
        <v>0</v>
      </c>
    </row>
    <row r="1176" customFormat="false" ht="15" hidden="false" customHeight="true" outlineLevel="0" collapsed="false">
      <c r="A1176" s="8" t="s">
        <v>1123</v>
      </c>
      <c r="B1176" s="8" t="s">
        <v>134</v>
      </c>
      <c r="C1176" s="8" t="s">
        <v>1117</v>
      </c>
      <c r="D1176" s="26" t="n">
        <v>0</v>
      </c>
    </row>
    <row r="1177" customFormat="false" ht="15" hidden="false" customHeight="true" outlineLevel="0" collapsed="false">
      <c r="A1177" s="8" t="s">
        <v>1123</v>
      </c>
      <c r="B1177" s="8" t="s">
        <v>52</v>
      </c>
      <c r="C1177" s="8" t="s">
        <v>1118</v>
      </c>
      <c r="D1177" s="26" t="n">
        <v>0</v>
      </c>
    </row>
    <row r="1178" customFormat="false" ht="15" hidden="false" customHeight="true" outlineLevel="0" collapsed="false">
      <c r="A1178" s="8" t="s">
        <v>1123</v>
      </c>
      <c r="B1178" s="8" t="s">
        <v>52</v>
      </c>
      <c r="C1178" s="8" t="s">
        <v>1119</v>
      </c>
      <c r="D1178" s="26" t="n">
        <v>0</v>
      </c>
    </row>
    <row r="1179" customFormat="false" ht="15" hidden="false" customHeight="true" outlineLevel="0" collapsed="false">
      <c r="A1179" s="8" t="s">
        <v>1123</v>
      </c>
      <c r="B1179" s="8" t="s">
        <v>52</v>
      </c>
      <c r="C1179" s="8" t="s">
        <v>1120</v>
      </c>
      <c r="D1179" s="26" t="n">
        <v>0</v>
      </c>
    </row>
    <row r="1180" customFormat="false" ht="15" hidden="false" customHeight="true" outlineLevel="0" collapsed="false">
      <c r="A1180" s="8" t="s">
        <v>1123</v>
      </c>
      <c r="B1180" s="8" t="s">
        <v>52</v>
      </c>
      <c r="C1180" s="8" t="s">
        <v>1121</v>
      </c>
      <c r="D1180" s="26" t="n">
        <v>0</v>
      </c>
    </row>
    <row r="1181" customFormat="false" ht="15" hidden="false" customHeight="true" outlineLevel="0" collapsed="false">
      <c r="A1181" s="8" t="s">
        <v>1123</v>
      </c>
      <c r="B1181" s="8" t="s">
        <v>52</v>
      </c>
      <c r="C1181" s="8" t="s">
        <v>1122</v>
      </c>
      <c r="D1181" s="26" t="n"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4" min="4" style="1" width="14"/>
  </cols>
  <sheetData>
    <row r="1" customFormat="false" ht="13.5" hidden="false" customHeight="true" outlineLevel="0" collapsed="false">
      <c r="A1" s="24" t="s">
        <v>1127</v>
      </c>
      <c r="B1" s="24"/>
      <c r="C1" s="24"/>
      <c r="D1" s="24"/>
    </row>
    <row r="2" customFormat="false" ht="15" hidden="false" customHeight="true" outlineLevel="0" collapsed="false">
      <c r="A2" s="25" t="s">
        <v>390</v>
      </c>
      <c r="B2" s="25" t="s">
        <v>391</v>
      </c>
      <c r="C2" s="25" t="s">
        <v>392</v>
      </c>
      <c r="D2" s="25" t="s">
        <v>393</v>
      </c>
    </row>
    <row r="3" customFormat="false" ht="15" hidden="false" customHeight="true" outlineLevel="0" collapsed="false">
      <c r="A3" s="8" t="s">
        <v>394</v>
      </c>
      <c r="B3" s="8" t="s">
        <v>80</v>
      </c>
      <c r="C3" s="8" t="s">
        <v>395</v>
      </c>
      <c r="D3" s="26" t="n">
        <v>870.8</v>
      </c>
    </row>
    <row r="4" customFormat="false" ht="15" hidden="false" customHeight="true" outlineLevel="0" collapsed="false">
      <c r="A4" s="8" t="s">
        <v>394</v>
      </c>
      <c r="B4" s="8" t="s">
        <v>80</v>
      </c>
      <c r="C4" s="8" t="s">
        <v>396</v>
      </c>
      <c r="D4" s="26" t="n">
        <v>1492.4</v>
      </c>
    </row>
    <row r="5" customFormat="false" ht="15" hidden="false" customHeight="true" outlineLevel="0" collapsed="false">
      <c r="A5" s="8" t="s">
        <v>394</v>
      </c>
      <c r="B5" s="8" t="s">
        <v>121</v>
      </c>
      <c r="C5" s="8" t="s">
        <v>397</v>
      </c>
      <c r="D5" s="26" t="n">
        <v>771.2</v>
      </c>
    </row>
    <row r="6" customFormat="false" ht="15" hidden="false" customHeight="true" outlineLevel="0" collapsed="false">
      <c r="A6" s="8" t="s">
        <v>394</v>
      </c>
      <c r="B6" s="8" t="s">
        <v>398</v>
      </c>
      <c r="C6" s="8" t="s">
        <v>399</v>
      </c>
      <c r="D6" s="26" t="n">
        <v>0</v>
      </c>
    </row>
    <row r="7" customFormat="false" ht="15" hidden="false" customHeight="true" outlineLevel="0" collapsed="false">
      <c r="A7" s="8" t="s">
        <v>394</v>
      </c>
      <c r="B7" s="8" t="s">
        <v>400</v>
      </c>
      <c r="C7" s="8" t="s">
        <v>401</v>
      </c>
      <c r="D7" s="26" t="n">
        <v>0</v>
      </c>
    </row>
    <row r="8" customFormat="false" ht="15" hidden="false" customHeight="true" outlineLevel="0" collapsed="false">
      <c r="A8" s="8" t="s">
        <v>394</v>
      </c>
      <c r="B8" s="8" t="s">
        <v>402</v>
      </c>
      <c r="C8" s="8" t="s">
        <v>403</v>
      </c>
      <c r="D8" s="26" t="n">
        <v>0</v>
      </c>
    </row>
    <row r="9" customFormat="false" ht="15" hidden="false" customHeight="true" outlineLevel="0" collapsed="false">
      <c r="A9" s="8" t="s">
        <v>394</v>
      </c>
      <c r="B9" s="8" t="s">
        <v>404</v>
      </c>
      <c r="C9" s="8" t="s">
        <v>405</v>
      </c>
      <c r="D9" s="26" t="n">
        <v>0</v>
      </c>
    </row>
    <row r="10" customFormat="false" ht="15" hidden="false" customHeight="true" outlineLevel="0" collapsed="false">
      <c r="A10" s="8" t="s">
        <v>394</v>
      </c>
      <c r="B10" s="8" t="s">
        <v>125</v>
      </c>
      <c r="C10" s="8" t="s">
        <v>406</v>
      </c>
      <c r="D10" s="26" t="n">
        <v>668</v>
      </c>
    </row>
    <row r="11" customFormat="false" ht="15" hidden="false" customHeight="true" outlineLevel="0" collapsed="false">
      <c r="A11" s="8" t="s">
        <v>394</v>
      </c>
      <c r="B11" s="8" t="s">
        <v>110</v>
      </c>
      <c r="C11" s="8" t="s">
        <v>407</v>
      </c>
      <c r="D11" s="26" t="n">
        <v>939.1</v>
      </c>
    </row>
    <row r="12" customFormat="false" ht="15" hidden="false" customHeight="true" outlineLevel="0" collapsed="false">
      <c r="A12" s="8" t="s">
        <v>394</v>
      </c>
      <c r="B12" s="8" t="s">
        <v>75</v>
      </c>
      <c r="C12" s="8" t="s">
        <v>1128</v>
      </c>
      <c r="D12" s="26" t="n">
        <v>2875.6</v>
      </c>
    </row>
    <row r="13" customFormat="false" ht="15" hidden="false" customHeight="true" outlineLevel="0" collapsed="false">
      <c r="A13" s="8" t="s">
        <v>394</v>
      </c>
      <c r="B13" s="8" t="s">
        <v>129</v>
      </c>
      <c r="C13" s="8" t="s">
        <v>408</v>
      </c>
      <c r="D13" s="26" t="n">
        <v>41.3</v>
      </c>
    </row>
    <row r="14" customFormat="false" ht="15" hidden="false" customHeight="true" outlineLevel="0" collapsed="false">
      <c r="A14" s="8" t="s">
        <v>394</v>
      </c>
      <c r="B14" s="8" t="s">
        <v>129</v>
      </c>
      <c r="C14" s="8" t="s">
        <v>409</v>
      </c>
      <c r="D14" s="26" t="n">
        <v>112.1</v>
      </c>
    </row>
    <row r="15" customFormat="false" ht="15" hidden="false" customHeight="true" outlineLevel="0" collapsed="false">
      <c r="A15" s="8" t="s">
        <v>394</v>
      </c>
      <c r="B15" s="8" t="s">
        <v>129</v>
      </c>
      <c r="C15" s="8" t="s">
        <v>410</v>
      </c>
      <c r="D15" s="26" t="n">
        <v>424.8</v>
      </c>
    </row>
    <row r="16" customFormat="false" ht="15" hidden="false" customHeight="true" outlineLevel="0" collapsed="false">
      <c r="A16" s="8" t="s">
        <v>394</v>
      </c>
      <c r="B16" s="8" t="s">
        <v>148</v>
      </c>
      <c r="C16" s="8" t="s">
        <v>411</v>
      </c>
      <c r="D16" s="26" t="n">
        <v>118</v>
      </c>
    </row>
    <row r="17" customFormat="false" ht="15" hidden="false" customHeight="true" outlineLevel="0" collapsed="false">
      <c r="A17" s="8" t="s">
        <v>394</v>
      </c>
      <c r="B17" s="8" t="s">
        <v>148</v>
      </c>
      <c r="C17" s="8" t="s">
        <v>412</v>
      </c>
      <c r="D17" s="26" t="n">
        <v>0</v>
      </c>
    </row>
    <row r="18" customFormat="false" ht="15" hidden="false" customHeight="true" outlineLevel="0" collapsed="false">
      <c r="A18" s="8" t="s">
        <v>394</v>
      </c>
      <c r="B18" s="8" t="s">
        <v>153</v>
      </c>
      <c r="C18" s="8" t="s">
        <v>413</v>
      </c>
      <c r="D18" s="26" t="n">
        <v>53.1</v>
      </c>
    </row>
    <row r="19" customFormat="false" ht="15" hidden="false" customHeight="true" outlineLevel="0" collapsed="false">
      <c r="A19" s="8" t="s">
        <v>394</v>
      </c>
      <c r="B19" s="8" t="s">
        <v>414</v>
      </c>
      <c r="C19" s="8" t="s">
        <v>415</v>
      </c>
      <c r="D19" s="26" t="n">
        <v>0</v>
      </c>
    </row>
    <row r="20" customFormat="false" ht="15" hidden="false" customHeight="true" outlineLevel="0" collapsed="false">
      <c r="A20" s="8" t="s">
        <v>394</v>
      </c>
      <c r="B20" s="8" t="s">
        <v>414</v>
      </c>
      <c r="C20" s="8" t="s">
        <v>416</v>
      </c>
      <c r="D20" s="26" t="n">
        <v>0</v>
      </c>
    </row>
    <row r="21" customFormat="false" ht="15" hidden="false" customHeight="true" outlineLevel="0" collapsed="false">
      <c r="A21" s="8" t="s">
        <v>394</v>
      </c>
      <c r="B21" s="8" t="s">
        <v>414</v>
      </c>
      <c r="C21" s="8" t="s">
        <v>417</v>
      </c>
      <c r="D21" s="26" t="n">
        <v>0</v>
      </c>
    </row>
    <row r="22" customFormat="false" ht="15" hidden="false" customHeight="true" outlineLevel="0" collapsed="false">
      <c r="A22" s="8" t="s">
        <v>394</v>
      </c>
      <c r="B22" s="8" t="s">
        <v>418</v>
      </c>
      <c r="C22" s="8" t="s">
        <v>419</v>
      </c>
      <c r="D22" s="26" t="n">
        <v>0</v>
      </c>
    </row>
    <row r="23" customFormat="false" ht="15" hidden="false" customHeight="true" outlineLevel="0" collapsed="false">
      <c r="A23" s="8" t="s">
        <v>394</v>
      </c>
      <c r="B23" s="8" t="s">
        <v>133</v>
      </c>
      <c r="C23" s="8" t="s">
        <v>408</v>
      </c>
      <c r="D23" s="26" t="n">
        <v>128.8</v>
      </c>
    </row>
    <row r="24" customFormat="false" ht="15" hidden="false" customHeight="true" outlineLevel="0" collapsed="false">
      <c r="A24" s="8" t="s">
        <v>394</v>
      </c>
      <c r="B24" s="8" t="s">
        <v>133</v>
      </c>
      <c r="C24" s="8" t="s">
        <v>420</v>
      </c>
      <c r="D24" s="26" t="n">
        <v>0</v>
      </c>
    </row>
    <row r="25" customFormat="false" ht="15" hidden="false" customHeight="true" outlineLevel="0" collapsed="false">
      <c r="A25" s="8" t="s">
        <v>394</v>
      </c>
      <c r="B25" s="8" t="s">
        <v>133</v>
      </c>
      <c r="C25" s="8" t="s">
        <v>421</v>
      </c>
      <c r="D25" s="26" t="n">
        <v>331.2</v>
      </c>
    </row>
    <row r="26" customFormat="false" ht="15" hidden="false" customHeight="true" outlineLevel="0" collapsed="false">
      <c r="A26" s="8" t="s">
        <v>394</v>
      </c>
      <c r="B26" s="8" t="s">
        <v>422</v>
      </c>
      <c r="C26" s="8" t="s">
        <v>423</v>
      </c>
      <c r="D26" s="26" t="n">
        <v>0</v>
      </c>
    </row>
    <row r="27" customFormat="false" ht="15" hidden="false" customHeight="true" outlineLevel="0" collapsed="false">
      <c r="A27" s="8" t="s">
        <v>394</v>
      </c>
      <c r="B27" s="8" t="s">
        <v>422</v>
      </c>
      <c r="C27" s="8" t="s">
        <v>424</v>
      </c>
      <c r="D27" s="26" t="n">
        <v>0</v>
      </c>
    </row>
    <row r="28" customFormat="false" ht="15" hidden="false" customHeight="true" outlineLevel="0" collapsed="false">
      <c r="A28" s="8" t="s">
        <v>394</v>
      </c>
      <c r="B28" s="8" t="s">
        <v>422</v>
      </c>
      <c r="C28" s="8" t="s">
        <v>425</v>
      </c>
      <c r="D28" s="26" t="n">
        <v>0</v>
      </c>
    </row>
    <row r="29" customFormat="false" ht="15" hidden="false" customHeight="true" outlineLevel="0" collapsed="false">
      <c r="A29" s="8" t="s">
        <v>394</v>
      </c>
      <c r="B29" s="8" t="s">
        <v>122</v>
      </c>
      <c r="C29" s="8" t="s">
        <v>426</v>
      </c>
      <c r="D29" s="26" t="n">
        <v>128.8</v>
      </c>
    </row>
    <row r="30" customFormat="false" ht="15" hidden="false" customHeight="true" outlineLevel="0" collapsed="false">
      <c r="A30" s="8" t="s">
        <v>394</v>
      </c>
      <c r="B30" s="8" t="s">
        <v>122</v>
      </c>
      <c r="C30" s="8" t="s">
        <v>427</v>
      </c>
      <c r="D30" s="26" t="n">
        <v>276</v>
      </c>
    </row>
    <row r="31" customFormat="false" ht="15" hidden="false" customHeight="true" outlineLevel="0" collapsed="false">
      <c r="A31" s="8" t="s">
        <v>394</v>
      </c>
      <c r="B31" s="8" t="s">
        <v>122</v>
      </c>
      <c r="C31" s="8" t="s">
        <v>428</v>
      </c>
      <c r="D31" s="26" t="n">
        <v>349.6</v>
      </c>
    </row>
    <row r="32" customFormat="false" ht="15" hidden="false" customHeight="true" outlineLevel="0" collapsed="false">
      <c r="A32" s="8" t="s">
        <v>394</v>
      </c>
      <c r="B32" s="8" t="s">
        <v>436</v>
      </c>
      <c r="C32" s="8" t="s">
        <v>437</v>
      </c>
      <c r="D32" s="26" t="n">
        <v>0</v>
      </c>
    </row>
    <row r="33" customFormat="false" ht="15" hidden="false" customHeight="true" outlineLevel="0" collapsed="false">
      <c r="A33" s="8" t="s">
        <v>394</v>
      </c>
      <c r="B33" s="8" t="s">
        <v>436</v>
      </c>
      <c r="C33" s="8" t="s">
        <v>438</v>
      </c>
      <c r="D33" s="26" t="n">
        <v>0</v>
      </c>
    </row>
    <row r="34" customFormat="false" ht="15" hidden="false" customHeight="true" outlineLevel="0" collapsed="false">
      <c r="A34" s="8" t="s">
        <v>394</v>
      </c>
      <c r="B34" s="8" t="s">
        <v>436</v>
      </c>
      <c r="C34" s="8" t="s">
        <v>439</v>
      </c>
      <c r="D34" s="26" t="n">
        <v>0</v>
      </c>
    </row>
    <row r="35" customFormat="false" ht="15" hidden="false" customHeight="true" outlineLevel="0" collapsed="false">
      <c r="A35" s="8" t="s">
        <v>394</v>
      </c>
      <c r="B35" s="8" t="s">
        <v>436</v>
      </c>
      <c r="C35" s="8" t="s">
        <v>440</v>
      </c>
      <c r="D35" s="26" t="n">
        <v>0</v>
      </c>
    </row>
    <row r="36" customFormat="false" ht="15" hidden="false" customHeight="true" outlineLevel="0" collapsed="false">
      <c r="A36" s="8" t="s">
        <v>394</v>
      </c>
      <c r="B36" s="8" t="s">
        <v>73</v>
      </c>
      <c r="C36" s="8" t="s">
        <v>442</v>
      </c>
      <c r="D36" s="26" t="n">
        <v>0</v>
      </c>
    </row>
    <row r="37" customFormat="false" ht="15" hidden="false" customHeight="true" outlineLevel="0" collapsed="false">
      <c r="A37" s="8" t="s">
        <v>394</v>
      </c>
      <c r="B37" s="8" t="s">
        <v>73</v>
      </c>
      <c r="C37" s="8" t="s">
        <v>443</v>
      </c>
      <c r="D37" s="26" t="n">
        <v>1096.9</v>
      </c>
    </row>
    <row r="38" customFormat="false" ht="15" hidden="false" customHeight="true" outlineLevel="0" collapsed="false">
      <c r="A38" s="8" t="s">
        <v>394</v>
      </c>
      <c r="B38" s="8" t="s">
        <v>73</v>
      </c>
      <c r="C38" s="8" t="s">
        <v>444</v>
      </c>
      <c r="D38" s="26" t="n">
        <v>351</v>
      </c>
    </row>
    <row r="39" customFormat="false" ht="15" hidden="false" customHeight="true" outlineLevel="0" collapsed="false">
      <c r="A39" s="8" t="s">
        <v>394</v>
      </c>
      <c r="B39" s="8" t="s">
        <v>73</v>
      </c>
      <c r="C39" s="8" t="s">
        <v>445</v>
      </c>
      <c r="D39" s="26" t="n">
        <v>745.9</v>
      </c>
    </row>
    <row r="40" customFormat="false" ht="15" hidden="false" customHeight="true" outlineLevel="0" collapsed="false">
      <c r="A40" s="8" t="s">
        <v>394</v>
      </c>
      <c r="B40" s="8" t="s">
        <v>73</v>
      </c>
      <c r="C40" s="8" t="s">
        <v>446</v>
      </c>
      <c r="D40" s="26" t="n">
        <v>1009.1</v>
      </c>
    </row>
    <row r="41" customFormat="false" ht="15" hidden="false" customHeight="true" outlineLevel="0" collapsed="false">
      <c r="A41" s="8" t="s">
        <v>394</v>
      </c>
      <c r="B41" s="8" t="s">
        <v>449</v>
      </c>
      <c r="C41" s="8" t="s">
        <v>450</v>
      </c>
      <c r="D41" s="26" t="n">
        <v>0</v>
      </c>
    </row>
    <row r="42" customFormat="false" ht="15" hidden="false" customHeight="true" outlineLevel="0" collapsed="false">
      <c r="A42" s="8" t="s">
        <v>394</v>
      </c>
      <c r="B42" s="8" t="s">
        <v>449</v>
      </c>
      <c r="C42" s="8" t="s">
        <v>451</v>
      </c>
      <c r="D42" s="26" t="n">
        <v>0</v>
      </c>
    </row>
    <row r="43" customFormat="false" ht="15" hidden="false" customHeight="true" outlineLevel="0" collapsed="false">
      <c r="A43" s="8" t="s">
        <v>394</v>
      </c>
      <c r="B43" s="8" t="s">
        <v>449</v>
      </c>
      <c r="C43" s="8" t="s">
        <v>452</v>
      </c>
      <c r="D43" s="26" t="n">
        <v>0</v>
      </c>
    </row>
    <row r="44" customFormat="false" ht="15" hidden="false" customHeight="true" outlineLevel="0" collapsed="false">
      <c r="A44" s="8" t="s">
        <v>394</v>
      </c>
      <c r="B44" s="8" t="s">
        <v>449</v>
      </c>
      <c r="C44" s="8" t="s">
        <v>453</v>
      </c>
      <c r="D44" s="26" t="n">
        <v>0</v>
      </c>
    </row>
    <row r="45" customFormat="false" ht="15" hidden="false" customHeight="true" outlineLevel="0" collapsed="false">
      <c r="A45" s="8" t="s">
        <v>394</v>
      </c>
      <c r="B45" s="8" t="s">
        <v>449</v>
      </c>
      <c r="C45" s="8" t="s">
        <v>454</v>
      </c>
      <c r="D45" s="26" t="n">
        <v>0</v>
      </c>
    </row>
    <row r="46" customFormat="false" ht="15" hidden="false" customHeight="true" outlineLevel="0" collapsed="false">
      <c r="A46" s="8" t="s">
        <v>394</v>
      </c>
      <c r="B46" s="8" t="s">
        <v>59</v>
      </c>
      <c r="C46" s="8" t="s">
        <v>455</v>
      </c>
      <c r="D46" s="26" t="n">
        <v>144.7</v>
      </c>
    </row>
    <row r="47" customFormat="false" ht="15" hidden="false" customHeight="true" outlineLevel="0" collapsed="false">
      <c r="A47" s="8" t="s">
        <v>394</v>
      </c>
      <c r="B47" s="8" t="s">
        <v>59</v>
      </c>
      <c r="C47" s="8" t="s">
        <v>456</v>
      </c>
      <c r="D47" s="26" t="n">
        <v>2043.6</v>
      </c>
    </row>
    <row r="48" customFormat="false" ht="15" hidden="false" customHeight="true" outlineLevel="0" collapsed="false">
      <c r="A48" s="8" t="s">
        <v>394</v>
      </c>
      <c r="B48" s="8" t="s">
        <v>59</v>
      </c>
      <c r="C48" s="8" t="s">
        <v>457</v>
      </c>
      <c r="D48" s="26" t="n">
        <v>1446.8</v>
      </c>
    </row>
    <row r="49" customFormat="false" ht="15" hidden="false" customHeight="true" outlineLevel="0" collapsed="false">
      <c r="A49" s="8" t="s">
        <v>394</v>
      </c>
      <c r="B49" s="8" t="s">
        <v>59</v>
      </c>
      <c r="C49" s="8" t="s">
        <v>458</v>
      </c>
      <c r="D49" s="26" t="n">
        <v>2531.9</v>
      </c>
    </row>
    <row r="50" customFormat="false" ht="15" hidden="false" customHeight="true" outlineLevel="0" collapsed="false">
      <c r="A50" s="8" t="s">
        <v>394</v>
      </c>
      <c r="B50" s="8" t="s">
        <v>59</v>
      </c>
      <c r="C50" s="8" t="s">
        <v>459</v>
      </c>
      <c r="D50" s="26" t="n">
        <v>1410.6</v>
      </c>
    </row>
    <row r="51" customFormat="false" ht="15" hidden="false" customHeight="true" outlineLevel="0" collapsed="false">
      <c r="A51" s="8" t="s">
        <v>394</v>
      </c>
      <c r="B51" s="8" t="s">
        <v>460</v>
      </c>
      <c r="C51" s="8" t="s">
        <v>1129</v>
      </c>
      <c r="D51" s="26" t="n">
        <v>0</v>
      </c>
    </row>
    <row r="52" customFormat="false" ht="15" hidden="false" customHeight="true" outlineLevel="0" collapsed="false">
      <c r="A52" s="8" t="s">
        <v>394</v>
      </c>
      <c r="B52" s="8" t="s">
        <v>462</v>
      </c>
      <c r="C52" s="8" t="s">
        <v>1130</v>
      </c>
      <c r="D52" s="26" t="n">
        <v>0</v>
      </c>
    </row>
    <row r="53" customFormat="false" ht="15" hidden="false" customHeight="true" outlineLevel="0" collapsed="false">
      <c r="A53" s="8" t="s">
        <v>394</v>
      </c>
      <c r="B53" s="8" t="s">
        <v>462</v>
      </c>
      <c r="C53" s="8" t="s">
        <v>463</v>
      </c>
      <c r="D53" s="26" t="n">
        <v>0</v>
      </c>
    </row>
    <row r="54" customFormat="false" ht="15" hidden="false" customHeight="true" outlineLevel="0" collapsed="false">
      <c r="A54" s="8" t="s">
        <v>394</v>
      </c>
      <c r="B54" s="8" t="s">
        <v>462</v>
      </c>
      <c r="C54" s="8" t="s">
        <v>1131</v>
      </c>
      <c r="D54" s="26" t="n">
        <v>0</v>
      </c>
    </row>
    <row r="55" customFormat="false" ht="15" hidden="false" customHeight="true" outlineLevel="0" collapsed="false">
      <c r="A55" s="8" t="s">
        <v>394</v>
      </c>
      <c r="B55" s="8" t="s">
        <v>462</v>
      </c>
      <c r="C55" s="8" t="s">
        <v>464</v>
      </c>
      <c r="D55" s="26" t="n">
        <v>0</v>
      </c>
    </row>
    <row r="56" customFormat="false" ht="15" hidden="false" customHeight="true" outlineLevel="0" collapsed="false">
      <c r="A56" s="8" t="s">
        <v>394</v>
      </c>
      <c r="B56" s="8" t="s">
        <v>465</v>
      </c>
      <c r="C56" s="8" t="s">
        <v>466</v>
      </c>
      <c r="D56" s="26" t="n">
        <v>0</v>
      </c>
    </row>
    <row r="57" customFormat="false" ht="15" hidden="false" customHeight="true" outlineLevel="0" collapsed="false">
      <c r="A57" s="8" t="s">
        <v>394</v>
      </c>
      <c r="B57" s="8" t="s">
        <v>465</v>
      </c>
      <c r="C57" s="8" t="s">
        <v>467</v>
      </c>
      <c r="D57" s="26" t="n">
        <v>0</v>
      </c>
    </row>
    <row r="58" customFormat="false" ht="15" hidden="false" customHeight="true" outlineLevel="0" collapsed="false">
      <c r="A58" s="8" t="s">
        <v>394</v>
      </c>
      <c r="B58" s="8" t="s">
        <v>465</v>
      </c>
      <c r="C58" s="8" t="s">
        <v>468</v>
      </c>
      <c r="D58" s="26" t="n">
        <v>0</v>
      </c>
    </row>
    <row r="59" customFormat="false" ht="15" hidden="false" customHeight="true" outlineLevel="0" collapsed="false">
      <c r="A59" s="8" t="s">
        <v>394</v>
      </c>
      <c r="B59" s="8" t="s">
        <v>465</v>
      </c>
      <c r="C59" s="8" t="s">
        <v>469</v>
      </c>
      <c r="D59" s="26" t="n">
        <v>0</v>
      </c>
    </row>
    <row r="60" customFormat="false" ht="15" hidden="false" customHeight="true" outlineLevel="0" collapsed="false">
      <c r="A60" s="8" t="s">
        <v>394</v>
      </c>
      <c r="B60" s="8" t="s">
        <v>465</v>
      </c>
      <c r="C60" s="8" t="s">
        <v>470</v>
      </c>
      <c r="D60" s="26" t="n">
        <v>0</v>
      </c>
    </row>
    <row r="61" customFormat="false" ht="15" hidden="false" customHeight="true" outlineLevel="0" collapsed="false">
      <c r="A61" s="8" t="s">
        <v>394</v>
      </c>
      <c r="B61" s="8" t="s">
        <v>56</v>
      </c>
      <c r="C61" s="8" t="s">
        <v>471</v>
      </c>
      <c r="D61" s="26" t="n">
        <v>1447.5</v>
      </c>
    </row>
    <row r="62" customFormat="false" ht="15" hidden="false" customHeight="true" outlineLevel="0" collapsed="false">
      <c r="A62" s="8" t="s">
        <v>394</v>
      </c>
      <c r="B62" s="8" t="s">
        <v>56</v>
      </c>
      <c r="C62" s="8" t="s">
        <v>472</v>
      </c>
      <c r="D62" s="26" t="n">
        <v>2766.6</v>
      </c>
    </row>
    <row r="63" customFormat="false" ht="15" hidden="false" customHeight="true" outlineLevel="0" collapsed="false">
      <c r="A63" s="8" t="s">
        <v>394</v>
      </c>
      <c r="B63" s="8" t="s">
        <v>56</v>
      </c>
      <c r="C63" s="8" t="s">
        <v>473</v>
      </c>
      <c r="D63" s="26" t="n">
        <v>3505.6</v>
      </c>
    </row>
    <row r="64" customFormat="false" ht="15" hidden="false" customHeight="true" outlineLevel="0" collapsed="false">
      <c r="A64" s="8" t="s">
        <v>394</v>
      </c>
      <c r="B64" s="8" t="s">
        <v>56</v>
      </c>
      <c r="C64" s="8" t="s">
        <v>474</v>
      </c>
      <c r="D64" s="26" t="n">
        <v>1093.2</v>
      </c>
    </row>
    <row r="65" customFormat="false" ht="15" hidden="false" customHeight="true" outlineLevel="0" collapsed="false">
      <c r="A65" s="8" t="s">
        <v>394</v>
      </c>
      <c r="B65" s="8" t="s">
        <v>475</v>
      </c>
      <c r="C65" s="8" t="s">
        <v>477</v>
      </c>
      <c r="D65" s="26" t="n">
        <v>0</v>
      </c>
    </row>
    <row r="66" customFormat="false" ht="15" hidden="false" customHeight="true" outlineLevel="0" collapsed="false">
      <c r="A66" s="8" t="s">
        <v>394</v>
      </c>
      <c r="B66" s="8" t="s">
        <v>475</v>
      </c>
      <c r="C66" s="8" t="s">
        <v>479</v>
      </c>
      <c r="D66" s="26" t="n">
        <v>0</v>
      </c>
    </row>
    <row r="67" customFormat="false" ht="15" hidden="false" customHeight="true" outlineLevel="0" collapsed="false">
      <c r="A67" s="8" t="s">
        <v>394</v>
      </c>
      <c r="B67" s="8" t="s">
        <v>480</v>
      </c>
      <c r="C67" s="8" t="s">
        <v>481</v>
      </c>
      <c r="D67" s="26" t="n">
        <v>0</v>
      </c>
    </row>
    <row r="68" customFormat="false" ht="15" hidden="false" customHeight="true" outlineLevel="0" collapsed="false">
      <c r="A68" s="8" t="s">
        <v>394</v>
      </c>
      <c r="B68" s="8" t="s">
        <v>101</v>
      </c>
      <c r="C68" s="8" t="s">
        <v>482</v>
      </c>
      <c r="D68" s="26" t="n">
        <v>0</v>
      </c>
    </row>
    <row r="69" customFormat="false" ht="15" hidden="false" customHeight="true" outlineLevel="0" collapsed="false">
      <c r="A69" s="8" t="s">
        <v>394</v>
      </c>
      <c r="B69" s="8" t="s">
        <v>101</v>
      </c>
      <c r="C69" s="8" t="s">
        <v>483</v>
      </c>
      <c r="D69" s="26" t="n">
        <v>342.5</v>
      </c>
    </row>
    <row r="70" customFormat="false" ht="15" hidden="false" customHeight="true" outlineLevel="0" collapsed="false">
      <c r="A70" s="8" t="s">
        <v>394</v>
      </c>
      <c r="B70" s="8" t="s">
        <v>101</v>
      </c>
      <c r="C70" s="8" t="s">
        <v>484</v>
      </c>
      <c r="D70" s="26" t="n">
        <v>587.2</v>
      </c>
    </row>
    <row r="71" customFormat="false" ht="15" hidden="false" customHeight="true" outlineLevel="0" collapsed="false">
      <c r="A71" s="8" t="s">
        <v>394</v>
      </c>
      <c r="B71" s="8" t="s">
        <v>101</v>
      </c>
      <c r="C71" s="8" t="s">
        <v>485</v>
      </c>
      <c r="D71" s="26" t="n">
        <v>342.5</v>
      </c>
    </row>
    <row r="72" customFormat="false" ht="15" hidden="false" customHeight="true" outlineLevel="0" collapsed="false">
      <c r="A72" s="8" t="s">
        <v>394</v>
      </c>
      <c r="B72" s="8" t="s">
        <v>103</v>
      </c>
      <c r="C72" s="8" t="s">
        <v>1132</v>
      </c>
      <c r="D72" s="26" t="n">
        <v>253.1</v>
      </c>
    </row>
    <row r="73" customFormat="false" ht="15" hidden="false" customHeight="true" outlineLevel="0" collapsed="false">
      <c r="A73" s="8" t="s">
        <v>394</v>
      </c>
      <c r="B73" s="8" t="s">
        <v>103</v>
      </c>
      <c r="C73" s="8" t="s">
        <v>486</v>
      </c>
      <c r="D73" s="26" t="n">
        <v>822.7</v>
      </c>
    </row>
    <row r="74" customFormat="false" ht="15" hidden="false" customHeight="true" outlineLevel="0" collapsed="false">
      <c r="A74" s="8" t="s">
        <v>394</v>
      </c>
      <c r="B74" s="8" t="s">
        <v>103</v>
      </c>
      <c r="C74" s="8" t="s">
        <v>487</v>
      </c>
      <c r="D74" s="26" t="n">
        <v>126.6</v>
      </c>
    </row>
    <row r="75" customFormat="false" ht="15" hidden="false" customHeight="true" outlineLevel="0" collapsed="false">
      <c r="A75" s="8" t="s">
        <v>394</v>
      </c>
      <c r="B75" s="8" t="s">
        <v>103</v>
      </c>
      <c r="C75" s="8" t="s">
        <v>1133</v>
      </c>
      <c r="D75" s="26" t="n">
        <v>0</v>
      </c>
    </row>
    <row r="76" customFormat="false" ht="15" hidden="false" customHeight="true" outlineLevel="0" collapsed="false">
      <c r="A76" s="8" t="s">
        <v>394</v>
      </c>
      <c r="B76" s="8" t="s">
        <v>97</v>
      </c>
      <c r="C76" s="8" t="s">
        <v>488</v>
      </c>
      <c r="D76" s="26" t="n">
        <v>0</v>
      </c>
    </row>
    <row r="77" customFormat="false" ht="15" hidden="false" customHeight="true" outlineLevel="0" collapsed="false">
      <c r="A77" s="8" t="s">
        <v>394</v>
      </c>
      <c r="B77" s="8" t="s">
        <v>97</v>
      </c>
      <c r="C77" s="8" t="s">
        <v>489</v>
      </c>
      <c r="D77" s="26" t="n">
        <v>348.1</v>
      </c>
    </row>
    <row r="78" customFormat="false" ht="15" hidden="false" customHeight="true" outlineLevel="0" collapsed="false">
      <c r="A78" s="8" t="s">
        <v>394</v>
      </c>
      <c r="B78" s="8" t="s">
        <v>97</v>
      </c>
      <c r="C78" s="8" t="s">
        <v>490</v>
      </c>
      <c r="D78" s="26" t="n">
        <v>1139.1</v>
      </c>
    </row>
    <row r="79" customFormat="false" ht="15" hidden="false" customHeight="true" outlineLevel="0" collapsed="false">
      <c r="A79" s="8" t="s">
        <v>394</v>
      </c>
      <c r="B79" s="8" t="s">
        <v>97</v>
      </c>
      <c r="C79" s="8" t="s">
        <v>491</v>
      </c>
      <c r="D79" s="26" t="n">
        <v>0</v>
      </c>
    </row>
    <row r="80" customFormat="false" ht="15" hidden="false" customHeight="true" outlineLevel="0" collapsed="false">
      <c r="A80" s="8" t="s">
        <v>394</v>
      </c>
      <c r="B80" s="8" t="s">
        <v>492</v>
      </c>
      <c r="C80" s="8" t="s">
        <v>493</v>
      </c>
      <c r="D80" s="26" t="n">
        <v>0</v>
      </c>
    </row>
    <row r="81" customFormat="false" ht="15" hidden="false" customHeight="true" outlineLevel="0" collapsed="false">
      <c r="A81" s="8" t="s">
        <v>394</v>
      </c>
      <c r="B81" s="8" t="s">
        <v>1134</v>
      </c>
      <c r="C81" s="8" t="s">
        <v>493</v>
      </c>
      <c r="D81" s="26" t="n">
        <v>0</v>
      </c>
    </row>
    <row r="82" customFormat="false" ht="15" hidden="false" customHeight="true" outlineLevel="0" collapsed="false">
      <c r="A82" s="8" t="s">
        <v>394</v>
      </c>
      <c r="B82" s="8" t="s">
        <v>496</v>
      </c>
      <c r="C82" s="8" t="s">
        <v>497</v>
      </c>
      <c r="D82" s="26" t="n">
        <v>0</v>
      </c>
    </row>
    <row r="83" customFormat="false" ht="15" hidden="false" customHeight="true" outlineLevel="0" collapsed="false">
      <c r="A83" s="8" t="s">
        <v>394</v>
      </c>
      <c r="B83" s="8" t="s">
        <v>498</v>
      </c>
      <c r="C83" s="8" t="s">
        <v>499</v>
      </c>
      <c r="D83" s="26" t="n">
        <v>0</v>
      </c>
    </row>
    <row r="84" customFormat="false" ht="15" hidden="false" customHeight="true" outlineLevel="0" collapsed="false">
      <c r="A84" s="8" t="s">
        <v>394</v>
      </c>
      <c r="B84" s="8" t="s">
        <v>498</v>
      </c>
      <c r="C84" s="8" t="s">
        <v>500</v>
      </c>
      <c r="D84" s="26" t="n">
        <v>0</v>
      </c>
    </row>
    <row r="85" customFormat="false" ht="15" hidden="false" customHeight="true" outlineLevel="0" collapsed="false">
      <c r="A85" s="8" t="s">
        <v>394</v>
      </c>
      <c r="B85" s="8" t="s">
        <v>498</v>
      </c>
      <c r="C85" s="8" t="s">
        <v>501</v>
      </c>
      <c r="D85" s="26" t="n">
        <v>0</v>
      </c>
    </row>
    <row r="86" customFormat="false" ht="15" hidden="false" customHeight="true" outlineLevel="0" collapsed="false">
      <c r="A86" s="8" t="s">
        <v>394</v>
      </c>
      <c r="B86" s="8" t="s">
        <v>498</v>
      </c>
      <c r="C86" s="8" t="s">
        <v>502</v>
      </c>
      <c r="D86" s="26" t="n">
        <v>0</v>
      </c>
    </row>
    <row r="87" customFormat="false" ht="15" hidden="false" customHeight="true" outlineLevel="0" collapsed="false">
      <c r="A87" s="8" t="s">
        <v>394</v>
      </c>
      <c r="B87" s="8" t="s">
        <v>498</v>
      </c>
      <c r="C87" s="8" t="s">
        <v>503</v>
      </c>
      <c r="D87" s="26" t="n">
        <v>0</v>
      </c>
    </row>
    <row r="88" customFormat="false" ht="15" hidden="false" customHeight="true" outlineLevel="0" collapsed="false">
      <c r="A88" s="8" t="s">
        <v>394</v>
      </c>
      <c r="B88" s="8" t="s">
        <v>504</v>
      </c>
      <c r="C88" s="8" t="s">
        <v>505</v>
      </c>
      <c r="D88" s="26" t="n">
        <v>0</v>
      </c>
    </row>
    <row r="89" customFormat="false" ht="15" hidden="false" customHeight="true" outlineLevel="0" collapsed="false">
      <c r="A89" s="8" t="s">
        <v>394</v>
      </c>
      <c r="B89" s="8" t="s">
        <v>504</v>
      </c>
      <c r="C89" s="8" t="s">
        <v>506</v>
      </c>
      <c r="D89" s="26" t="n">
        <v>0</v>
      </c>
    </row>
    <row r="90" customFormat="false" ht="15" hidden="false" customHeight="true" outlineLevel="0" collapsed="false">
      <c r="A90" s="8" t="s">
        <v>394</v>
      </c>
      <c r="B90" s="8" t="s">
        <v>507</v>
      </c>
      <c r="C90" s="8" t="s">
        <v>508</v>
      </c>
      <c r="D90" s="26" t="n">
        <v>0</v>
      </c>
    </row>
    <row r="91" customFormat="false" ht="15" hidden="false" customHeight="true" outlineLevel="0" collapsed="false">
      <c r="A91" s="8" t="s">
        <v>394</v>
      </c>
      <c r="B91" s="8" t="s">
        <v>507</v>
      </c>
      <c r="C91" s="8" t="s">
        <v>509</v>
      </c>
      <c r="D91" s="26" t="n">
        <v>0</v>
      </c>
    </row>
    <row r="92" customFormat="false" ht="15" hidden="false" customHeight="true" outlineLevel="0" collapsed="false">
      <c r="A92" s="8" t="s">
        <v>394</v>
      </c>
      <c r="B92" s="8" t="s">
        <v>510</v>
      </c>
      <c r="C92" s="8" t="s">
        <v>511</v>
      </c>
      <c r="D92" s="26" t="n">
        <v>0</v>
      </c>
    </row>
    <row r="93" customFormat="false" ht="15" hidden="false" customHeight="true" outlineLevel="0" collapsed="false">
      <c r="A93" s="8" t="s">
        <v>394</v>
      </c>
      <c r="B93" s="8" t="s">
        <v>512</v>
      </c>
      <c r="C93" s="8" t="s">
        <v>511</v>
      </c>
      <c r="D93" s="26" t="n">
        <v>0</v>
      </c>
    </row>
    <row r="94" customFormat="false" ht="15" hidden="false" customHeight="true" outlineLevel="0" collapsed="false">
      <c r="A94" s="8" t="s">
        <v>394</v>
      </c>
      <c r="B94" s="8" t="s">
        <v>515</v>
      </c>
      <c r="C94" s="8" t="s">
        <v>1135</v>
      </c>
      <c r="D94" s="26" t="n">
        <v>0</v>
      </c>
    </row>
    <row r="95" customFormat="false" ht="15" hidden="false" customHeight="true" outlineLevel="0" collapsed="false">
      <c r="A95" s="8" t="s">
        <v>394</v>
      </c>
      <c r="B95" s="8" t="s">
        <v>517</v>
      </c>
      <c r="C95" s="8" t="s">
        <v>518</v>
      </c>
      <c r="D95" s="26" t="n">
        <v>0</v>
      </c>
    </row>
    <row r="96" customFormat="false" ht="15" hidden="false" customHeight="true" outlineLevel="0" collapsed="false">
      <c r="A96" s="8" t="s">
        <v>394</v>
      </c>
      <c r="B96" s="8" t="s">
        <v>517</v>
      </c>
      <c r="C96" s="8" t="s">
        <v>519</v>
      </c>
      <c r="D96" s="26" t="n">
        <v>0</v>
      </c>
    </row>
    <row r="97" customFormat="false" ht="15" hidden="false" customHeight="true" outlineLevel="0" collapsed="false">
      <c r="A97" s="8" t="s">
        <v>394</v>
      </c>
      <c r="B97" s="8" t="s">
        <v>517</v>
      </c>
      <c r="C97" s="8" t="s">
        <v>520</v>
      </c>
      <c r="D97" s="26" t="n">
        <v>0</v>
      </c>
    </row>
    <row r="98" customFormat="false" ht="15" hidden="false" customHeight="true" outlineLevel="0" collapsed="false">
      <c r="A98" s="8" t="s">
        <v>394</v>
      </c>
      <c r="B98" s="8" t="s">
        <v>517</v>
      </c>
      <c r="C98" s="8" t="s">
        <v>521</v>
      </c>
      <c r="D98" s="26" t="n">
        <v>0</v>
      </c>
    </row>
    <row r="99" customFormat="false" ht="15" hidden="false" customHeight="true" outlineLevel="0" collapsed="false">
      <c r="A99" s="8" t="s">
        <v>394</v>
      </c>
      <c r="B99" s="8" t="s">
        <v>522</v>
      </c>
      <c r="C99" s="8" t="s">
        <v>523</v>
      </c>
      <c r="D99" s="26" t="n">
        <v>0</v>
      </c>
    </row>
    <row r="100" customFormat="false" ht="15" hidden="false" customHeight="true" outlineLevel="0" collapsed="false">
      <c r="A100" s="8" t="s">
        <v>394</v>
      </c>
      <c r="B100" s="8" t="s">
        <v>522</v>
      </c>
      <c r="C100" s="8" t="s">
        <v>524</v>
      </c>
      <c r="D100" s="26" t="n">
        <v>0</v>
      </c>
    </row>
    <row r="101" customFormat="false" ht="15" hidden="false" customHeight="true" outlineLevel="0" collapsed="false">
      <c r="A101" s="8" t="s">
        <v>394</v>
      </c>
      <c r="B101" s="8" t="s">
        <v>527</v>
      </c>
      <c r="C101" s="8" t="s">
        <v>1136</v>
      </c>
      <c r="D101" s="26" t="n">
        <v>0</v>
      </c>
    </row>
    <row r="102" customFormat="false" ht="15" hidden="false" customHeight="true" outlineLevel="0" collapsed="false">
      <c r="A102" s="8" t="s">
        <v>394</v>
      </c>
      <c r="B102" s="8" t="s">
        <v>527</v>
      </c>
      <c r="C102" s="8" t="s">
        <v>1137</v>
      </c>
      <c r="D102" s="26" t="n">
        <v>0</v>
      </c>
    </row>
    <row r="103" customFormat="false" ht="15" hidden="false" customHeight="true" outlineLevel="0" collapsed="false">
      <c r="A103" s="8" t="s">
        <v>394</v>
      </c>
      <c r="B103" s="8" t="s">
        <v>517</v>
      </c>
      <c r="C103" s="8" t="s">
        <v>530</v>
      </c>
      <c r="D103" s="26" t="n">
        <v>0</v>
      </c>
    </row>
    <row r="104" customFormat="false" ht="15" hidden="false" customHeight="true" outlineLevel="0" collapsed="false">
      <c r="A104" s="8" t="s">
        <v>394</v>
      </c>
      <c r="B104" s="8" t="s">
        <v>531</v>
      </c>
      <c r="C104" s="8" t="s">
        <v>532</v>
      </c>
      <c r="D104" s="26" t="n">
        <v>0</v>
      </c>
    </row>
    <row r="105" customFormat="false" ht="15" hidden="false" customHeight="true" outlineLevel="0" collapsed="false">
      <c r="A105" s="8" t="s">
        <v>394</v>
      </c>
      <c r="B105" s="8" t="s">
        <v>531</v>
      </c>
      <c r="C105" s="8" t="s">
        <v>533</v>
      </c>
      <c r="D105" s="26" t="n">
        <v>0</v>
      </c>
    </row>
    <row r="106" customFormat="false" ht="15" hidden="false" customHeight="true" outlineLevel="0" collapsed="false">
      <c r="A106" s="8" t="s">
        <v>394</v>
      </c>
      <c r="B106" s="8" t="s">
        <v>539</v>
      </c>
      <c r="C106" s="8" t="s">
        <v>540</v>
      </c>
      <c r="D106" s="26" t="n">
        <v>0</v>
      </c>
    </row>
    <row r="107" customFormat="false" ht="15" hidden="false" customHeight="true" outlineLevel="0" collapsed="false">
      <c r="A107" s="8" t="s">
        <v>394</v>
      </c>
      <c r="B107" s="8" t="s">
        <v>539</v>
      </c>
      <c r="C107" s="8" t="s">
        <v>542</v>
      </c>
      <c r="D107" s="26" t="n">
        <v>0</v>
      </c>
    </row>
    <row r="108" customFormat="false" ht="15" hidden="false" customHeight="true" outlineLevel="0" collapsed="false">
      <c r="A108" s="8" t="s">
        <v>394</v>
      </c>
      <c r="B108" s="8" t="s">
        <v>539</v>
      </c>
      <c r="C108" s="8" t="s">
        <v>543</v>
      </c>
      <c r="D108" s="26" t="n">
        <v>0</v>
      </c>
    </row>
    <row r="109" customFormat="false" ht="15" hidden="false" customHeight="true" outlineLevel="0" collapsed="false">
      <c r="A109" s="8" t="s">
        <v>394</v>
      </c>
      <c r="B109" s="8" t="s">
        <v>539</v>
      </c>
      <c r="C109" s="8" t="s">
        <v>544</v>
      </c>
      <c r="D109" s="26" t="n">
        <v>0</v>
      </c>
    </row>
    <row r="110" customFormat="false" ht="15" hidden="false" customHeight="true" outlineLevel="0" collapsed="false">
      <c r="A110" s="8" t="s">
        <v>394</v>
      </c>
      <c r="B110" s="8" t="s">
        <v>84</v>
      </c>
      <c r="C110" s="8" t="s">
        <v>545</v>
      </c>
      <c r="D110" s="26" t="n">
        <v>0</v>
      </c>
    </row>
    <row r="111" customFormat="false" ht="15" hidden="false" customHeight="true" outlineLevel="0" collapsed="false">
      <c r="A111" s="8" t="s">
        <v>394</v>
      </c>
      <c r="B111" s="8" t="s">
        <v>84</v>
      </c>
      <c r="C111" s="8" t="s">
        <v>546</v>
      </c>
      <c r="D111" s="26" t="n">
        <v>107.1</v>
      </c>
    </row>
    <row r="112" customFormat="false" ht="15" hidden="false" customHeight="true" outlineLevel="0" collapsed="false">
      <c r="A112" s="8" t="s">
        <v>394</v>
      </c>
      <c r="B112" s="8" t="s">
        <v>84</v>
      </c>
      <c r="C112" s="8" t="s">
        <v>547</v>
      </c>
      <c r="D112" s="26" t="n">
        <v>1017.3</v>
      </c>
    </row>
    <row r="113" customFormat="false" ht="15" hidden="false" customHeight="true" outlineLevel="0" collapsed="false">
      <c r="A113" s="8" t="s">
        <v>394</v>
      </c>
      <c r="B113" s="8" t="s">
        <v>84</v>
      </c>
      <c r="C113" s="8" t="s">
        <v>548</v>
      </c>
      <c r="D113" s="26" t="n">
        <v>401.6</v>
      </c>
    </row>
    <row r="114" customFormat="false" ht="15" hidden="false" customHeight="true" outlineLevel="0" collapsed="false">
      <c r="A114" s="8" t="s">
        <v>394</v>
      </c>
      <c r="B114" s="8" t="s">
        <v>84</v>
      </c>
      <c r="C114" s="8" t="s">
        <v>549</v>
      </c>
      <c r="D114" s="26" t="n">
        <v>642.5</v>
      </c>
    </row>
    <row r="115" customFormat="false" ht="15" hidden="false" customHeight="true" outlineLevel="0" collapsed="false">
      <c r="A115" s="8" t="s">
        <v>394</v>
      </c>
      <c r="B115" s="8" t="s">
        <v>551</v>
      </c>
      <c r="C115" s="8" t="s">
        <v>553</v>
      </c>
      <c r="D115" s="26" t="n">
        <v>0</v>
      </c>
    </row>
    <row r="116" customFormat="false" ht="15" hidden="false" customHeight="true" outlineLevel="0" collapsed="false">
      <c r="A116" s="8" t="s">
        <v>394</v>
      </c>
      <c r="B116" s="8" t="s">
        <v>551</v>
      </c>
      <c r="C116" s="8" t="s">
        <v>554</v>
      </c>
      <c r="D116" s="26" t="n">
        <v>0</v>
      </c>
    </row>
    <row r="117" customFormat="false" ht="15" hidden="false" customHeight="true" outlineLevel="0" collapsed="false">
      <c r="A117" s="8" t="s">
        <v>394</v>
      </c>
      <c r="B117" s="8" t="s">
        <v>551</v>
      </c>
      <c r="C117" s="8" t="s">
        <v>555</v>
      </c>
      <c r="D117" s="26" t="n">
        <v>0</v>
      </c>
    </row>
    <row r="118" customFormat="false" ht="15" hidden="false" customHeight="true" outlineLevel="0" collapsed="false">
      <c r="A118" s="8" t="s">
        <v>394</v>
      </c>
      <c r="B118" s="8" t="s">
        <v>83</v>
      </c>
      <c r="C118" s="8" t="s">
        <v>556</v>
      </c>
      <c r="D118" s="26" t="n">
        <v>2193.8</v>
      </c>
    </row>
    <row r="119" customFormat="false" ht="15" hidden="false" customHeight="true" outlineLevel="0" collapsed="false">
      <c r="A119" s="8" t="s">
        <v>394</v>
      </c>
      <c r="B119" s="8" t="s">
        <v>66</v>
      </c>
      <c r="C119" s="8" t="s">
        <v>557</v>
      </c>
      <c r="D119" s="26" t="n">
        <v>4241.3</v>
      </c>
    </row>
    <row r="120" customFormat="false" ht="15" hidden="false" customHeight="true" outlineLevel="0" collapsed="false">
      <c r="A120" s="8" t="s">
        <v>394</v>
      </c>
      <c r="B120" s="8" t="s">
        <v>132</v>
      </c>
      <c r="C120" s="8" t="s">
        <v>558</v>
      </c>
      <c r="D120" s="26" t="n">
        <v>480</v>
      </c>
    </row>
    <row r="121" customFormat="false" ht="15" hidden="false" customHeight="true" outlineLevel="0" collapsed="false">
      <c r="A121" s="8" t="s">
        <v>394</v>
      </c>
      <c r="B121" s="8" t="s">
        <v>559</v>
      </c>
      <c r="C121" s="8" t="s">
        <v>560</v>
      </c>
      <c r="D121" s="26" t="n">
        <v>0</v>
      </c>
    </row>
    <row r="122" customFormat="false" ht="15" hidden="false" customHeight="true" outlineLevel="0" collapsed="false">
      <c r="A122" s="8" t="s">
        <v>394</v>
      </c>
      <c r="B122" s="8" t="s">
        <v>561</v>
      </c>
      <c r="C122" s="8" t="s">
        <v>562</v>
      </c>
      <c r="D122" s="26" t="n">
        <v>0</v>
      </c>
    </row>
    <row r="123" customFormat="false" ht="15" hidden="false" customHeight="true" outlineLevel="0" collapsed="false">
      <c r="A123" s="8" t="s">
        <v>394</v>
      </c>
      <c r="B123" s="8" t="s">
        <v>563</v>
      </c>
      <c r="C123" s="8" t="s">
        <v>564</v>
      </c>
      <c r="D123" s="26" t="n">
        <v>0</v>
      </c>
    </row>
    <row r="124" customFormat="false" ht="15" hidden="false" customHeight="true" outlineLevel="0" collapsed="false">
      <c r="A124" s="8" t="s">
        <v>394</v>
      </c>
      <c r="B124" s="8" t="s">
        <v>565</v>
      </c>
      <c r="C124" s="8" t="s">
        <v>566</v>
      </c>
      <c r="D124" s="26" t="n">
        <v>0</v>
      </c>
    </row>
    <row r="125" customFormat="false" ht="15" hidden="false" customHeight="true" outlineLevel="0" collapsed="false">
      <c r="A125" s="8" t="s">
        <v>394</v>
      </c>
      <c r="B125" s="8" t="s">
        <v>142</v>
      </c>
      <c r="C125" s="8" t="s">
        <v>556</v>
      </c>
      <c r="D125" s="26" t="n">
        <v>260</v>
      </c>
    </row>
    <row r="126" customFormat="false" ht="15" hidden="false" customHeight="true" outlineLevel="0" collapsed="false">
      <c r="A126" s="8" t="s">
        <v>394</v>
      </c>
      <c r="B126" s="8" t="s">
        <v>69</v>
      </c>
      <c r="C126" s="8" t="s">
        <v>556</v>
      </c>
      <c r="D126" s="26" t="n">
        <v>3510</v>
      </c>
    </row>
    <row r="127" customFormat="false" ht="15" hidden="false" customHeight="true" outlineLevel="0" collapsed="false">
      <c r="A127" s="8" t="s">
        <v>394</v>
      </c>
      <c r="B127" s="8" t="s">
        <v>98</v>
      </c>
      <c r="C127" s="8" t="s">
        <v>567</v>
      </c>
      <c r="D127" s="26" t="n">
        <v>1250.1</v>
      </c>
    </row>
    <row r="128" customFormat="false" ht="15" hidden="false" customHeight="true" outlineLevel="0" collapsed="false">
      <c r="A128" s="8" t="s">
        <v>394</v>
      </c>
      <c r="B128" s="8" t="s">
        <v>98</v>
      </c>
      <c r="C128" s="8" t="s">
        <v>568</v>
      </c>
      <c r="D128" s="26" t="n">
        <v>200</v>
      </c>
    </row>
    <row r="129" customFormat="false" ht="15" hidden="false" customHeight="true" outlineLevel="0" collapsed="false">
      <c r="A129" s="8" t="s">
        <v>394</v>
      </c>
      <c r="B129" s="8" t="s">
        <v>569</v>
      </c>
      <c r="C129" s="8" t="s">
        <v>570</v>
      </c>
      <c r="D129" s="26" t="n">
        <v>0</v>
      </c>
    </row>
    <row r="130" customFormat="false" ht="15" hidden="false" customHeight="true" outlineLevel="0" collapsed="false">
      <c r="A130" s="8" t="s">
        <v>394</v>
      </c>
      <c r="B130" s="8" t="s">
        <v>68</v>
      </c>
      <c r="C130" s="8" t="s">
        <v>573</v>
      </c>
      <c r="D130" s="26" t="n">
        <v>3534.3</v>
      </c>
    </row>
    <row r="131" customFormat="false" ht="15" hidden="false" customHeight="true" outlineLevel="0" collapsed="false">
      <c r="A131" s="8" t="s">
        <v>394</v>
      </c>
      <c r="B131" s="8" t="s">
        <v>100</v>
      </c>
      <c r="C131" s="8" t="s">
        <v>574</v>
      </c>
      <c r="D131" s="26" t="n">
        <v>1300.7</v>
      </c>
    </row>
    <row r="132" customFormat="false" ht="15" hidden="false" customHeight="true" outlineLevel="0" collapsed="false">
      <c r="A132" s="8" t="s">
        <v>394</v>
      </c>
      <c r="B132" s="8" t="s">
        <v>106</v>
      </c>
      <c r="C132" s="8" t="s">
        <v>575</v>
      </c>
      <c r="D132" s="26" t="n">
        <v>1095.6</v>
      </c>
    </row>
    <row r="133" customFormat="false" ht="15" hidden="false" customHeight="true" outlineLevel="0" collapsed="false">
      <c r="A133" s="8" t="s">
        <v>394</v>
      </c>
      <c r="B133" s="8" t="s">
        <v>128</v>
      </c>
      <c r="C133" s="8" t="s">
        <v>578</v>
      </c>
      <c r="D133" s="26" t="n">
        <v>583.7</v>
      </c>
    </row>
    <row r="134" customFormat="false" ht="15" hidden="false" customHeight="true" outlineLevel="0" collapsed="false">
      <c r="A134" s="8" t="s">
        <v>394</v>
      </c>
      <c r="B134" s="8" t="s">
        <v>579</v>
      </c>
      <c r="C134" s="8" t="s">
        <v>580</v>
      </c>
      <c r="D134" s="26" t="n">
        <v>0</v>
      </c>
    </row>
    <row r="135" customFormat="false" ht="15" hidden="false" customHeight="true" outlineLevel="0" collapsed="false">
      <c r="A135" s="8" t="s">
        <v>394</v>
      </c>
      <c r="B135" s="8" t="s">
        <v>579</v>
      </c>
      <c r="C135" s="8" t="s">
        <v>581</v>
      </c>
      <c r="D135" s="26" t="n">
        <v>0</v>
      </c>
    </row>
    <row r="136" customFormat="false" ht="15" hidden="false" customHeight="true" outlineLevel="0" collapsed="false">
      <c r="A136" s="8" t="s">
        <v>394</v>
      </c>
      <c r="B136" s="8" t="s">
        <v>579</v>
      </c>
      <c r="C136" s="8" t="s">
        <v>582</v>
      </c>
      <c r="D136" s="26" t="n">
        <v>0</v>
      </c>
    </row>
    <row r="137" customFormat="false" ht="15" hidden="false" customHeight="true" outlineLevel="0" collapsed="false">
      <c r="A137" s="8" t="s">
        <v>394</v>
      </c>
      <c r="B137" s="8" t="s">
        <v>579</v>
      </c>
      <c r="C137" s="8" t="s">
        <v>583</v>
      </c>
      <c r="D137" s="26" t="n">
        <v>0</v>
      </c>
    </row>
    <row r="138" customFormat="false" ht="15" hidden="false" customHeight="true" outlineLevel="0" collapsed="false">
      <c r="A138" s="8" t="s">
        <v>394</v>
      </c>
      <c r="B138" s="8" t="s">
        <v>579</v>
      </c>
      <c r="C138" s="8" t="s">
        <v>584</v>
      </c>
      <c r="D138" s="26" t="n">
        <v>0</v>
      </c>
    </row>
    <row r="139" customFormat="false" ht="15" hidden="false" customHeight="true" outlineLevel="0" collapsed="false">
      <c r="A139" s="8" t="s">
        <v>394</v>
      </c>
      <c r="B139" s="8" t="s">
        <v>585</v>
      </c>
      <c r="C139" s="8" t="s">
        <v>586</v>
      </c>
      <c r="D139" s="26" t="n">
        <v>0</v>
      </c>
    </row>
    <row r="140" customFormat="false" ht="15" hidden="false" customHeight="true" outlineLevel="0" collapsed="false">
      <c r="A140" s="8" t="s">
        <v>394</v>
      </c>
      <c r="B140" s="8" t="s">
        <v>588</v>
      </c>
      <c r="C140" s="8" t="s">
        <v>589</v>
      </c>
      <c r="D140" s="26" t="n">
        <v>0</v>
      </c>
    </row>
    <row r="141" customFormat="false" ht="15" hidden="false" customHeight="true" outlineLevel="0" collapsed="false">
      <c r="A141" s="8" t="s">
        <v>394</v>
      </c>
      <c r="B141" s="8" t="s">
        <v>588</v>
      </c>
      <c r="C141" s="8" t="s">
        <v>590</v>
      </c>
      <c r="D141" s="26" t="n">
        <v>0</v>
      </c>
    </row>
    <row r="142" customFormat="false" ht="15" hidden="false" customHeight="true" outlineLevel="0" collapsed="false">
      <c r="A142" s="8" t="s">
        <v>394</v>
      </c>
      <c r="B142" s="8" t="s">
        <v>588</v>
      </c>
      <c r="C142" s="8" t="s">
        <v>591</v>
      </c>
      <c r="D142" s="26" t="n">
        <v>0</v>
      </c>
    </row>
    <row r="143" customFormat="false" ht="15" hidden="false" customHeight="true" outlineLevel="0" collapsed="false">
      <c r="A143" s="8" t="s">
        <v>394</v>
      </c>
      <c r="B143" s="8" t="s">
        <v>588</v>
      </c>
      <c r="C143" s="8" t="s">
        <v>592</v>
      </c>
      <c r="D143" s="26" t="n">
        <v>0</v>
      </c>
    </row>
    <row r="144" customFormat="false" ht="15" hidden="false" customHeight="true" outlineLevel="0" collapsed="false">
      <c r="A144" s="8" t="s">
        <v>394</v>
      </c>
      <c r="B144" s="8" t="s">
        <v>588</v>
      </c>
      <c r="C144" s="8" t="s">
        <v>593</v>
      </c>
      <c r="D144" s="26" t="n">
        <v>0</v>
      </c>
    </row>
    <row r="145" customFormat="false" ht="15" hidden="false" customHeight="true" outlineLevel="0" collapsed="false">
      <c r="A145" s="8" t="s">
        <v>394</v>
      </c>
      <c r="B145" s="8" t="s">
        <v>114</v>
      </c>
      <c r="C145" s="8" t="s">
        <v>594</v>
      </c>
      <c r="D145" s="26" t="n">
        <v>837.1</v>
      </c>
    </row>
    <row r="146" customFormat="false" ht="15" hidden="false" customHeight="true" outlineLevel="0" collapsed="false">
      <c r="A146" s="8" t="s">
        <v>394</v>
      </c>
      <c r="B146" s="8" t="s">
        <v>131</v>
      </c>
      <c r="C146" s="8" t="s">
        <v>595</v>
      </c>
      <c r="D146" s="26" t="n">
        <v>556.9</v>
      </c>
    </row>
    <row r="147" customFormat="false" ht="15" hidden="false" customHeight="true" outlineLevel="0" collapsed="false">
      <c r="A147" s="8" t="s">
        <v>394</v>
      </c>
      <c r="B147" s="8" t="s">
        <v>53</v>
      </c>
      <c r="C147" s="8" t="s">
        <v>596</v>
      </c>
      <c r="D147" s="26" t="n">
        <v>3457.1</v>
      </c>
    </row>
    <row r="148" customFormat="false" ht="15" hidden="false" customHeight="true" outlineLevel="0" collapsed="false">
      <c r="A148" s="8" t="s">
        <v>394</v>
      </c>
      <c r="B148" s="8" t="s">
        <v>53</v>
      </c>
      <c r="C148" s="8" t="s">
        <v>597</v>
      </c>
      <c r="D148" s="26" t="n">
        <v>1309.1</v>
      </c>
    </row>
    <row r="149" customFormat="false" ht="15" hidden="false" customHeight="true" outlineLevel="0" collapsed="false">
      <c r="A149" s="8" t="s">
        <v>394</v>
      </c>
      <c r="B149" s="8" t="s">
        <v>53</v>
      </c>
      <c r="C149" s="8" t="s">
        <v>598</v>
      </c>
      <c r="D149" s="26" t="n">
        <v>2958.1</v>
      </c>
    </row>
    <row r="150" customFormat="false" ht="15" hidden="false" customHeight="true" outlineLevel="0" collapsed="false">
      <c r="A150" s="8" t="s">
        <v>394</v>
      </c>
      <c r="B150" s="8" t="s">
        <v>53</v>
      </c>
      <c r="C150" s="8" t="s">
        <v>599</v>
      </c>
      <c r="D150" s="26" t="n">
        <v>2401.1</v>
      </c>
    </row>
    <row r="151" customFormat="false" ht="15" hidden="false" customHeight="true" outlineLevel="0" collapsed="false">
      <c r="A151" s="8" t="s">
        <v>394</v>
      </c>
      <c r="B151" s="8" t="s">
        <v>53</v>
      </c>
      <c r="C151" s="8" t="s">
        <v>601</v>
      </c>
      <c r="D151" s="26" t="n">
        <v>759.4</v>
      </c>
    </row>
    <row r="152" customFormat="false" ht="15" hidden="false" customHeight="true" outlineLevel="0" collapsed="false">
      <c r="A152" s="8" t="s">
        <v>394</v>
      </c>
      <c r="B152" s="8" t="s">
        <v>63</v>
      </c>
      <c r="C152" s="8" t="s">
        <v>602</v>
      </c>
      <c r="D152" s="26" t="n">
        <v>578</v>
      </c>
    </row>
    <row r="153" customFormat="false" ht="15" hidden="false" customHeight="true" outlineLevel="0" collapsed="false">
      <c r="A153" s="8" t="s">
        <v>394</v>
      </c>
      <c r="B153" s="8" t="s">
        <v>63</v>
      </c>
      <c r="C153" s="8" t="s">
        <v>603</v>
      </c>
      <c r="D153" s="26" t="n">
        <v>1445</v>
      </c>
    </row>
    <row r="154" customFormat="false" ht="15" hidden="false" customHeight="true" outlineLevel="0" collapsed="false">
      <c r="A154" s="8" t="s">
        <v>394</v>
      </c>
      <c r="B154" s="8" t="s">
        <v>63</v>
      </c>
      <c r="C154" s="8" t="s">
        <v>604</v>
      </c>
      <c r="D154" s="26" t="n">
        <v>1500.3</v>
      </c>
    </row>
    <row r="155" customFormat="false" ht="15" hidden="false" customHeight="true" outlineLevel="0" collapsed="false">
      <c r="A155" s="8" t="s">
        <v>394</v>
      </c>
      <c r="B155" s="8" t="s">
        <v>63</v>
      </c>
      <c r="C155" s="8" t="s">
        <v>605</v>
      </c>
      <c r="D155" s="26" t="n">
        <v>1500.3</v>
      </c>
    </row>
    <row r="156" customFormat="false" ht="15" hidden="false" customHeight="true" outlineLevel="0" collapsed="false">
      <c r="A156" s="8" t="s">
        <v>394</v>
      </c>
      <c r="B156" s="8" t="s">
        <v>63</v>
      </c>
      <c r="C156" s="8" t="s">
        <v>606</v>
      </c>
      <c r="D156" s="26" t="n">
        <v>178.5</v>
      </c>
    </row>
    <row r="157" customFormat="false" ht="15" hidden="false" customHeight="true" outlineLevel="0" collapsed="false">
      <c r="A157" s="8" t="s">
        <v>394</v>
      </c>
      <c r="B157" s="8" t="s">
        <v>607</v>
      </c>
      <c r="C157" s="8" t="s">
        <v>608</v>
      </c>
      <c r="D157" s="26" t="n">
        <v>0</v>
      </c>
    </row>
    <row r="158" customFormat="false" ht="15" hidden="false" customHeight="true" outlineLevel="0" collapsed="false">
      <c r="A158" s="8" t="s">
        <v>394</v>
      </c>
      <c r="B158" s="8" t="s">
        <v>607</v>
      </c>
      <c r="C158" s="8" t="s">
        <v>609</v>
      </c>
      <c r="D158" s="26" t="n">
        <v>0</v>
      </c>
    </row>
    <row r="159" customFormat="false" ht="15" hidden="false" customHeight="true" outlineLevel="0" collapsed="false">
      <c r="A159" s="8" t="s">
        <v>394</v>
      </c>
      <c r="B159" s="8" t="s">
        <v>607</v>
      </c>
      <c r="C159" s="8" t="s">
        <v>610</v>
      </c>
      <c r="D159" s="26" t="n">
        <v>0</v>
      </c>
    </row>
    <row r="160" customFormat="false" ht="15" hidden="false" customHeight="true" outlineLevel="0" collapsed="false">
      <c r="A160" s="8" t="s">
        <v>394</v>
      </c>
      <c r="B160" s="8" t="s">
        <v>607</v>
      </c>
      <c r="C160" s="8" t="s">
        <v>611</v>
      </c>
      <c r="D160" s="26" t="n">
        <v>0</v>
      </c>
    </row>
    <row r="161" customFormat="false" ht="15" hidden="false" customHeight="true" outlineLevel="0" collapsed="false">
      <c r="A161" s="8" t="s">
        <v>394</v>
      </c>
      <c r="B161" s="8" t="s">
        <v>140</v>
      </c>
      <c r="C161" s="8" t="s">
        <v>612</v>
      </c>
      <c r="D161" s="26" t="n">
        <v>275.4</v>
      </c>
    </row>
    <row r="162" customFormat="false" ht="15" hidden="false" customHeight="true" outlineLevel="0" collapsed="false">
      <c r="A162" s="8" t="s">
        <v>394</v>
      </c>
      <c r="B162" s="8" t="s">
        <v>119</v>
      </c>
      <c r="C162" s="8" t="s">
        <v>613</v>
      </c>
      <c r="D162" s="26" t="n">
        <v>795.6</v>
      </c>
    </row>
    <row r="163" customFormat="false" ht="15" hidden="false" customHeight="true" outlineLevel="0" collapsed="false">
      <c r="A163" s="8" t="s">
        <v>394</v>
      </c>
      <c r="B163" s="8" t="s">
        <v>93</v>
      </c>
      <c r="C163" s="8" t="s">
        <v>614</v>
      </c>
      <c r="D163" s="26" t="n">
        <v>1582.1</v>
      </c>
    </row>
    <row r="164" customFormat="false" ht="15" hidden="false" customHeight="true" outlineLevel="0" collapsed="false">
      <c r="A164" s="8" t="s">
        <v>394</v>
      </c>
      <c r="B164" s="8" t="s">
        <v>104</v>
      </c>
      <c r="C164" s="8" t="s">
        <v>615</v>
      </c>
      <c r="D164" s="26" t="n">
        <v>1201.7</v>
      </c>
    </row>
    <row r="165" customFormat="false" ht="15" hidden="false" customHeight="true" outlineLevel="0" collapsed="false">
      <c r="A165" s="8" t="s">
        <v>394</v>
      </c>
      <c r="B165" s="8" t="s">
        <v>616</v>
      </c>
      <c r="C165" s="8" t="s">
        <v>617</v>
      </c>
      <c r="D165" s="26" t="n">
        <v>0</v>
      </c>
    </row>
    <row r="166" customFormat="false" ht="15" hidden="false" customHeight="true" outlineLevel="0" collapsed="false">
      <c r="A166" s="8" t="s">
        <v>394</v>
      </c>
      <c r="B166" s="8" t="s">
        <v>117</v>
      </c>
      <c r="C166" s="8" t="s">
        <v>618</v>
      </c>
      <c r="D166" s="26" t="n">
        <v>801.6</v>
      </c>
    </row>
    <row r="167" customFormat="false" ht="15" hidden="false" customHeight="true" outlineLevel="0" collapsed="false">
      <c r="A167" s="8" t="s">
        <v>394</v>
      </c>
      <c r="B167" s="8" t="s">
        <v>135</v>
      </c>
      <c r="C167" s="8" t="s">
        <v>619</v>
      </c>
      <c r="D167" s="26" t="n">
        <v>404.8</v>
      </c>
    </row>
    <row r="168" customFormat="false" ht="15" hidden="false" customHeight="true" outlineLevel="0" collapsed="false">
      <c r="A168" s="8" t="s">
        <v>394</v>
      </c>
      <c r="B168" s="8" t="s">
        <v>620</v>
      </c>
      <c r="C168" s="8" t="s">
        <v>621</v>
      </c>
      <c r="D168" s="26" t="n">
        <v>0</v>
      </c>
    </row>
    <row r="169" customFormat="false" ht="15" hidden="false" customHeight="true" outlineLevel="0" collapsed="false">
      <c r="A169" s="8" t="s">
        <v>394</v>
      </c>
      <c r="B169" s="8" t="s">
        <v>622</v>
      </c>
      <c r="C169" s="8" t="s">
        <v>621</v>
      </c>
      <c r="D169" s="26" t="n">
        <v>0</v>
      </c>
    </row>
    <row r="170" customFormat="false" ht="15" hidden="false" customHeight="true" outlineLevel="0" collapsed="false">
      <c r="A170" s="8" t="s">
        <v>394</v>
      </c>
      <c r="B170" s="8" t="s">
        <v>139</v>
      </c>
      <c r="C170" s="8" t="s">
        <v>623</v>
      </c>
      <c r="D170" s="26" t="n">
        <v>309</v>
      </c>
    </row>
    <row r="171" customFormat="false" ht="15" hidden="false" customHeight="true" outlineLevel="0" collapsed="false">
      <c r="A171" s="8" t="s">
        <v>394</v>
      </c>
      <c r="B171" s="8" t="s">
        <v>139</v>
      </c>
      <c r="C171" s="8" t="s">
        <v>624</v>
      </c>
      <c r="D171" s="26" t="n">
        <v>0</v>
      </c>
    </row>
    <row r="172" customFormat="false" ht="15" hidden="false" customHeight="true" outlineLevel="0" collapsed="false">
      <c r="A172" s="8" t="s">
        <v>394</v>
      </c>
      <c r="B172" s="8" t="s">
        <v>139</v>
      </c>
      <c r="C172" s="8" t="s">
        <v>625</v>
      </c>
      <c r="D172" s="26" t="n">
        <v>0</v>
      </c>
    </row>
    <row r="173" customFormat="false" ht="15" hidden="false" customHeight="true" outlineLevel="0" collapsed="false">
      <c r="A173" s="8" t="s">
        <v>394</v>
      </c>
      <c r="B173" s="8" t="s">
        <v>139</v>
      </c>
      <c r="C173" s="8" t="s">
        <v>626</v>
      </c>
      <c r="D173" s="26" t="n">
        <v>0</v>
      </c>
    </row>
    <row r="174" customFormat="false" ht="15" hidden="false" customHeight="true" outlineLevel="0" collapsed="false">
      <c r="A174" s="8" t="s">
        <v>394</v>
      </c>
      <c r="B174" s="8" t="s">
        <v>627</v>
      </c>
      <c r="C174" s="8" t="s">
        <v>628</v>
      </c>
      <c r="D174" s="26" t="n">
        <v>0</v>
      </c>
    </row>
    <row r="175" customFormat="false" ht="15" hidden="false" customHeight="true" outlineLevel="0" collapsed="false">
      <c r="A175" s="8" t="s">
        <v>394</v>
      </c>
      <c r="B175" s="8" t="s">
        <v>627</v>
      </c>
      <c r="C175" s="8" t="s">
        <v>1138</v>
      </c>
      <c r="D175" s="26" t="n">
        <v>0</v>
      </c>
    </row>
    <row r="176" customFormat="false" ht="15" hidden="false" customHeight="true" outlineLevel="0" collapsed="false">
      <c r="A176" s="8" t="s">
        <v>394</v>
      </c>
      <c r="B176" s="8" t="s">
        <v>627</v>
      </c>
      <c r="C176" s="8" t="s">
        <v>629</v>
      </c>
      <c r="D176" s="26" t="n">
        <v>0</v>
      </c>
    </row>
    <row r="177" customFormat="false" ht="15" hidden="false" customHeight="true" outlineLevel="0" collapsed="false">
      <c r="A177" s="8" t="s">
        <v>394</v>
      </c>
      <c r="B177" s="8" t="s">
        <v>627</v>
      </c>
      <c r="C177" s="8" t="s">
        <v>630</v>
      </c>
      <c r="D177" s="26" t="n">
        <v>0</v>
      </c>
    </row>
    <row r="178" customFormat="false" ht="15" hidden="false" customHeight="true" outlineLevel="0" collapsed="false">
      <c r="A178" s="8" t="s">
        <v>394</v>
      </c>
      <c r="B178" s="8" t="s">
        <v>631</v>
      </c>
      <c r="C178" s="8" t="s">
        <v>632</v>
      </c>
      <c r="D178" s="26" t="n">
        <v>0</v>
      </c>
    </row>
    <row r="179" customFormat="false" ht="15" hidden="false" customHeight="true" outlineLevel="0" collapsed="false">
      <c r="A179" s="8" t="s">
        <v>394</v>
      </c>
      <c r="B179" s="8" t="s">
        <v>631</v>
      </c>
      <c r="C179" s="8" t="s">
        <v>633</v>
      </c>
      <c r="D179" s="26" t="n">
        <v>0</v>
      </c>
    </row>
    <row r="180" customFormat="false" ht="15" hidden="false" customHeight="true" outlineLevel="0" collapsed="false">
      <c r="A180" s="8" t="s">
        <v>394</v>
      </c>
      <c r="B180" s="8" t="s">
        <v>631</v>
      </c>
      <c r="C180" s="8" t="s">
        <v>634</v>
      </c>
      <c r="D180" s="26" t="n">
        <v>0</v>
      </c>
    </row>
    <row r="181" customFormat="false" ht="15" hidden="false" customHeight="true" outlineLevel="0" collapsed="false">
      <c r="A181" s="8" t="s">
        <v>394</v>
      </c>
      <c r="B181" s="8" t="s">
        <v>631</v>
      </c>
      <c r="C181" s="8" t="s">
        <v>635</v>
      </c>
      <c r="D181" s="26" t="n">
        <v>0</v>
      </c>
    </row>
    <row r="182" customFormat="false" ht="15" hidden="false" customHeight="true" outlineLevel="0" collapsed="false">
      <c r="A182" s="8" t="s">
        <v>394</v>
      </c>
      <c r="B182" s="8" t="s">
        <v>631</v>
      </c>
      <c r="C182" s="8" t="s">
        <v>636</v>
      </c>
      <c r="D182" s="26" t="n">
        <v>0</v>
      </c>
    </row>
    <row r="183" customFormat="false" ht="15" hidden="false" customHeight="true" outlineLevel="0" collapsed="false">
      <c r="A183" s="8" t="s">
        <v>394</v>
      </c>
      <c r="B183" s="8" t="s">
        <v>55</v>
      </c>
      <c r="C183" s="8" t="s">
        <v>637</v>
      </c>
      <c r="D183" s="26" t="n">
        <v>3498</v>
      </c>
    </row>
    <row r="184" customFormat="false" ht="15" hidden="false" customHeight="true" outlineLevel="0" collapsed="false">
      <c r="A184" s="8" t="s">
        <v>394</v>
      </c>
      <c r="B184" s="8" t="s">
        <v>55</v>
      </c>
      <c r="C184" s="8" t="s">
        <v>638</v>
      </c>
      <c r="D184" s="26" t="n">
        <v>2970</v>
      </c>
    </row>
    <row r="185" customFormat="false" ht="15" hidden="false" customHeight="true" outlineLevel="0" collapsed="false">
      <c r="A185" s="8" t="s">
        <v>394</v>
      </c>
      <c r="B185" s="8" t="s">
        <v>55</v>
      </c>
      <c r="C185" s="8" t="s">
        <v>639</v>
      </c>
      <c r="D185" s="26" t="n">
        <v>775.5</v>
      </c>
    </row>
    <row r="186" customFormat="false" ht="15" hidden="false" customHeight="true" outlineLevel="0" collapsed="false">
      <c r="A186" s="8" t="s">
        <v>394</v>
      </c>
      <c r="B186" s="8" t="s">
        <v>55</v>
      </c>
      <c r="C186" s="8" t="s">
        <v>640</v>
      </c>
      <c r="D186" s="26" t="n">
        <v>2033.6</v>
      </c>
    </row>
    <row r="187" customFormat="false" ht="15" hidden="false" customHeight="true" outlineLevel="0" collapsed="false">
      <c r="A187" s="8" t="s">
        <v>394</v>
      </c>
      <c r="B187" s="8" t="s">
        <v>55</v>
      </c>
      <c r="C187" s="8" t="s">
        <v>641</v>
      </c>
      <c r="D187" s="26" t="n">
        <v>730.1</v>
      </c>
    </row>
    <row r="188" customFormat="false" ht="15" hidden="false" customHeight="true" outlineLevel="0" collapsed="false">
      <c r="A188" s="8" t="s">
        <v>394</v>
      </c>
      <c r="B188" s="8" t="s">
        <v>642</v>
      </c>
      <c r="C188" s="8" t="s">
        <v>643</v>
      </c>
      <c r="D188" s="26" t="n">
        <v>0</v>
      </c>
    </row>
    <row r="189" customFormat="false" ht="15" hidden="false" customHeight="true" outlineLevel="0" collapsed="false">
      <c r="A189" s="8" t="s">
        <v>394</v>
      </c>
      <c r="B189" s="8" t="s">
        <v>642</v>
      </c>
      <c r="C189" s="8" t="s">
        <v>644</v>
      </c>
      <c r="D189" s="26" t="n">
        <v>0</v>
      </c>
    </row>
    <row r="190" customFormat="false" ht="15" hidden="false" customHeight="true" outlineLevel="0" collapsed="false">
      <c r="A190" s="8" t="s">
        <v>394</v>
      </c>
      <c r="B190" s="8" t="s">
        <v>642</v>
      </c>
      <c r="C190" s="8" t="s">
        <v>645</v>
      </c>
      <c r="D190" s="26" t="n">
        <v>0</v>
      </c>
    </row>
    <row r="191" customFormat="false" ht="15" hidden="false" customHeight="true" outlineLevel="0" collapsed="false">
      <c r="A191" s="8" t="s">
        <v>394</v>
      </c>
      <c r="B191" s="8" t="s">
        <v>642</v>
      </c>
      <c r="C191" s="8" t="s">
        <v>646</v>
      </c>
      <c r="D191" s="26" t="n">
        <v>0</v>
      </c>
    </row>
    <row r="192" customFormat="false" ht="15" hidden="false" customHeight="true" outlineLevel="0" collapsed="false">
      <c r="A192" s="8" t="s">
        <v>394</v>
      </c>
      <c r="B192" s="8" t="s">
        <v>57</v>
      </c>
      <c r="C192" s="8" t="s">
        <v>647</v>
      </c>
      <c r="D192" s="26" t="n">
        <v>768.8</v>
      </c>
    </row>
    <row r="193" customFormat="false" ht="15" hidden="false" customHeight="true" outlineLevel="0" collapsed="false">
      <c r="A193" s="8" t="s">
        <v>394</v>
      </c>
      <c r="B193" s="8" t="s">
        <v>57</v>
      </c>
      <c r="C193" s="8" t="s">
        <v>648</v>
      </c>
      <c r="D193" s="26" t="n">
        <v>2029.5</v>
      </c>
    </row>
    <row r="194" customFormat="false" ht="15" hidden="false" customHeight="true" outlineLevel="0" collapsed="false">
      <c r="A194" s="8" t="s">
        <v>394</v>
      </c>
      <c r="B194" s="8" t="s">
        <v>57</v>
      </c>
      <c r="C194" s="8" t="s">
        <v>649</v>
      </c>
      <c r="D194" s="26" t="n">
        <v>2777.7</v>
      </c>
    </row>
    <row r="195" customFormat="false" ht="15" hidden="false" customHeight="true" outlineLevel="0" collapsed="false">
      <c r="A195" s="8" t="s">
        <v>394</v>
      </c>
      <c r="B195" s="8" t="s">
        <v>57</v>
      </c>
      <c r="C195" s="8" t="s">
        <v>650</v>
      </c>
      <c r="D195" s="26" t="n">
        <v>2326.7</v>
      </c>
    </row>
    <row r="196" customFormat="false" ht="15" hidden="false" customHeight="true" outlineLevel="0" collapsed="false">
      <c r="A196" s="8" t="s">
        <v>394</v>
      </c>
      <c r="B196" s="8" t="s">
        <v>57</v>
      </c>
      <c r="C196" s="8" t="s">
        <v>651</v>
      </c>
      <c r="D196" s="26" t="n">
        <v>825.1</v>
      </c>
    </row>
    <row r="197" customFormat="false" ht="15" hidden="false" customHeight="true" outlineLevel="0" collapsed="false">
      <c r="A197" s="8" t="s">
        <v>394</v>
      </c>
      <c r="B197" s="8" t="s">
        <v>652</v>
      </c>
      <c r="C197" s="8" t="s">
        <v>653</v>
      </c>
      <c r="D197" s="26" t="n">
        <v>0</v>
      </c>
    </row>
    <row r="198" customFormat="false" ht="15" hidden="false" customHeight="true" outlineLevel="0" collapsed="false">
      <c r="A198" s="8" t="s">
        <v>394</v>
      </c>
      <c r="B198" s="8" t="s">
        <v>652</v>
      </c>
      <c r="C198" s="8" t="s">
        <v>654</v>
      </c>
      <c r="D198" s="26" t="n">
        <v>0</v>
      </c>
    </row>
    <row r="199" customFormat="false" ht="15" hidden="false" customHeight="true" outlineLevel="0" collapsed="false">
      <c r="A199" s="8" t="s">
        <v>394</v>
      </c>
      <c r="B199" s="8" t="s">
        <v>652</v>
      </c>
      <c r="C199" s="8" t="s">
        <v>655</v>
      </c>
      <c r="D199" s="26" t="n">
        <v>0</v>
      </c>
    </row>
    <row r="200" customFormat="false" ht="15" hidden="false" customHeight="true" outlineLevel="0" collapsed="false">
      <c r="A200" s="8" t="s">
        <v>394</v>
      </c>
      <c r="B200" s="8" t="s">
        <v>652</v>
      </c>
      <c r="C200" s="8" t="s">
        <v>656</v>
      </c>
      <c r="D200" s="26" t="n">
        <v>0</v>
      </c>
    </row>
    <row r="201" customFormat="false" ht="15" hidden="false" customHeight="true" outlineLevel="0" collapsed="false">
      <c r="A201" s="8" t="s">
        <v>394</v>
      </c>
      <c r="B201" s="8" t="s">
        <v>137</v>
      </c>
      <c r="C201" s="8" t="s">
        <v>658</v>
      </c>
      <c r="D201" s="26" t="n">
        <v>21</v>
      </c>
    </row>
    <row r="202" customFormat="false" ht="15" hidden="false" customHeight="true" outlineLevel="0" collapsed="false">
      <c r="A202" s="8" t="s">
        <v>394</v>
      </c>
      <c r="B202" s="8" t="s">
        <v>137</v>
      </c>
      <c r="C202" s="8" t="s">
        <v>659</v>
      </c>
      <c r="D202" s="26" t="n">
        <v>162.8</v>
      </c>
    </row>
    <row r="203" customFormat="false" ht="15" hidden="false" customHeight="true" outlineLevel="0" collapsed="false">
      <c r="A203" s="8" t="s">
        <v>394</v>
      </c>
      <c r="B203" s="8" t="s">
        <v>137</v>
      </c>
      <c r="C203" s="8" t="s">
        <v>660</v>
      </c>
      <c r="D203" s="26" t="n">
        <v>0</v>
      </c>
    </row>
    <row r="204" customFormat="false" ht="15" hidden="false" customHeight="true" outlineLevel="0" collapsed="false">
      <c r="A204" s="8" t="s">
        <v>394</v>
      </c>
      <c r="B204" s="8" t="s">
        <v>137</v>
      </c>
      <c r="C204" s="8" t="s">
        <v>661</v>
      </c>
      <c r="D204" s="26" t="n">
        <v>204.8</v>
      </c>
    </row>
    <row r="205" customFormat="false" ht="15" hidden="false" customHeight="true" outlineLevel="0" collapsed="false">
      <c r="A205" s="8" t="s">
        <v>394</v>
      </c>
      <c r="B205" s="8" t="s">
        <v>137</v>
      </c>
      <c r="C205" s="8" t="s">
        <v>662</v>
      </c>
      <c r="D205" s="26" t="n">
        <v>0</v>
      </c>
    </row>
    <row r="206" customFormat="false" ht="15" hidden="false" customHeight="true" outlineLevel="0" collapsed="false">
      <c r="A206" s="8" t="s">
        <v>394</v>
      </c>
      <c r="B206" s="8" t="s">
        <v>663</v>
      </c>
      <c r="C206" s="8" t="s">
        <v>1139</v>
      </c>
      <c r="D206" s="26" t="n">
        <v>0</v>
      </c>
    </row>
    <row r="207" customFormat="false" ht="15" hidden="false" customHeight="true" outlineLevel="0" collapsed="false">
      <c r="A207" s="8" t="s">
        <v>394</v>
      </c>
      <c r="B207" s="8" t="s">
        <v>663</v>
      </c>
      <c r="C207" s="8" t="s">
        <v>664</v>
      </c>
      <c r="D207" s="26" t="n">
        <v>0</v>
      </c>
    </row>
    <row r="208" customFormat="false" ht="15" hidden="false" customHeight="true" outlineLevel="0" collapsed="false">
      <c r="A208" s="8" t="s">
        <v>394</v>
      </c>
      <c r="B208" s="8" t="s">
        <v>663</v>
      </c>
      <c r="C208" s="8" t="s">
        <v>665</v>
      </c>
      <c r="D208" s="26" t="n">
        <v>0</v>
      </c>
    </row>
    <row r="209" customFormat="false" ht="15" hidden="false" customHeight="true" outlineLevel="0" collapsed="false">
      <c r="A209" s="8" t="s">
        <v>394</v>
      </c>
      <c r="B209" s="8" t="s">
        <v>663</v>
      </c>
      <c r="C209" s="8" t="s">
        <v>666</v>
      </c>
      <c r="D209" s="26" t="n">
        <v>0</v>
      </c>
    </row>
    <row r="210" customFormat="false" ht="15" hidden="false" customHeight="true" outlineLevel="0" collapsed="false">
      <c r="A210" s="8" t="s">
        <v>394</v>
      </c>
      <c r="B210" s="8" t="s">
        <v>668</v>
      </c>
      <c r="C210" s="8" t="s">
        <v>669</v>
      </c>
      <c r="D210" s="26" t="n">
        <v>0</v>
      </c>
    </row>
    <row r="211" customFormat="false" ht="15" hidden="false" customHeight="true" outlineLevel="0" collapsed="false">
      <c r="A211" s="8" t="s">
        <v>394</v>
      </c>
      <c r="B211" s="8" t="s">
        <v>668</v>
      </c>
      <c r="C211" s="8" t="s">
        <v>670</v>
      </c>
      <c r="D211" s="26" t="n">
        <v>0</v>
      </c>
    </row>
    <row r="212" customFormat="false" ht="15" hidden="false" customHeight="true" outlineLevel="0" collapsed="false">
      <c r="A212" s="8" t="s">
        <v>394</v>
      </c>
      <c r="B212" s="8" t="s">
        <v>668</v>
      </c>
      <c r="C212" s="8" t="s">
        <v>1140</v>
      </c>
      <c r="D212" s="26" t="n">
        <v>0</v>
      </c>
    </row>
    <row r="213" customFormat="false" ht="15" hidden="false" customHeight="true" outlineLevel="0" collapsed="false">
      <c r="A213" s="8" t="s">
        <v>394</v>
      </c>
      <c r="B213" s="8" t="s">
        <v>671</v>
      </c>
      <c r="C213" s="8" t="s">
        <v>672</v>
      </c>
      <c r="D213" s="26" t="n">
        <v>0</v>
      </c>
    </row>
    <row r="214" customFormat="false" ht="15" hidden="false" customHeight="true" outlineLevel="0" collapsed="false">
      <c r="A214" s="8" t="s">
        <v>394</v>
      </c>
      <c r="B214" s="8" t="s">
        <v>671</v>
      </c>
      <c r="C214" s="8" t="s">
        <v>673</v>
      </c>
      <c r="D214" s="26" t="n">
        <v>0</v>
      </c>
    </row>
    <row r="215" customFormat="false" ht="15" hidden="false" customHeight="true" outlineLevel="0" collapsed="false">
      <c r="A215" s="8" t="s">
        <v>394</v>
      </c>
      <c r="B215" s="8" t="s">
        <v>671</v>
      </c>
      <c r="C215" s="8" t="s">
        <v>674</v>
      </c>
      <c r="D215" s="26" t="n">
        <v>0</v>
      </c>
    </row>
    <row r="216" customFormat="false" ht="15" hidden="false" customHeight="true" outlineLevel="0" collapsed="false">
      <c r="A216" s="8" t="s">
        <v>394</v>
      </c>
      <c r="B216" s="8" t="s">
        <v>671</v>
      </c>
      <c r="C216" s="8" t="s">
        <v>675</v>
      </c>
      <c r="D216" s="26" t="n">
        <v>0</v>
      </c>
    </row>
    <row r="217" customFormat="false" ht="15" hidden="false" customHeight="true" outlineLevel="0" collapsed="false">
      <c r="A217" s="8" t="s">
        <v>394</v>
      </c>
      <c r="B217" s="8" t="s">
        <v>671</v>
      </c>
      <c r="C217" s="8" t="s">
        <v>676</v>
      </c>
      <c r="D217" s="26" t="n">
        <v>0</v>
      </c>
    </row>
    <row r="218" customFormat="false" ht="15" hidden="false" customHeight="true" outlineLevel="0" collapsed="false">
      <c r="A218" s="8" t="s">
        <v>394</v>
      </c>
      <c r="B218" s="8" t="s">
        <v>76</v>
      </c>
      <c r="C218" s="8" t="s">
        <v>677</v>
      </c>
      <c r="D218" s="26" t="n">
        <v>545.2</v>
      </c>
    </row>
    <row r="219" customFormat="false" ht="15" hidden="false" customHeight="true" outlineLevel="0" collapsed="false">
      <c r="A219" s="8" t="s">
        <v>394</v>
      </c>
      <c r="B219" s="8" t="s">
        <v>76</v>
      </c>
      <c r="C219" s="8" t="s">
        <v>678</v>
      </c>
      <c r="D219" s="26" t="n">
        <v>272.6</v>
      </c>
    </row>
    <row r="220" customFormat="false" ht="15" hidden="false" customHeight="true" outlineLevel="0" collapsed="false">
      <c r="A220" s="8" t="s">
        <v>394</v>
      </c>
      <c r="B220" s="8" t="s">
        <v>76</v>
      </c>
      <c r="C220" s="8" t="s">
        <v>679</v>
      </c>
      <c r="D220" s="26" t="n">
        <v>817.8</v>
      </c>
    </row>
    <row r="221" customFormat="false" ht="15" hidden="false" customHeight="true" outlineLevel="0" collapsed="false">
      <c r="A221" s="8" t="s">
        <v>394</v>
      </c>
      <c r="B221" s="8" t="s">
        <v>76</v>
      </c>
      <c r="C221" s="8" t="s">
        <v>680</v>
      </c>
      <c r="D221" s="26" t="n">
        <v>954.1</v>
      </c>
    </row>
    <row r="222" customFormat="false" ht="15" hidden="false" customHeight="true" outlineLevel="0" collapsed="false">
      <c r="A222" s="8" t="s">
        <v>394</v>
      </c>
      <c r="B222" s="8" t="s">
        <v>54</v>
      </c>
      <c r="C222" s="8" t="s">
        <v>681</v>
      </c>
      <c r="D222" s="26" t="n">
        <v>4208.8</v>
      </c>
    </row>
    <row r="223" customFormat="false" ht="15" hidden="false" customHeight="true" outlineLevel="0" collapsed="false">
      <c r="A223" s="8" t="s">
        <v>394</v>
      </c>
      <c r="B223" s="8" t="s">
        <v>54</v>
      </c>
      <c r="C223" s="8" t="s">
        <v>682</v>
      </c>
      <c r="D223" s="26" t="n">
        <v>2983.8</v>
      </c>
    </row>
    <row r="224" customFormat="false" ht="15" hidden="false" customHeight="true" outlineLevel="0" collapsed="false">
      <c r="A224" s="8" t="s">
        <v>394</v>
      </c>
      <c r="B224" s="8" t="s">
        <v>54</v>
      </c>
      <c r="C224" s="8" t="s">
        <v>683</v>
      </c>
      <c r="D224" s="26" t="n">
        <v>1872.5</v>
      </c>
    </row>
    <row r="225" customFormat="false" ht="15" hidden="false" customHeight="true" outlineLevel="0" collapsed="false">
      <c r="A225" s="8" t="s">
        <v>394</v>
      </c>
      <c r="B225" s="8" t="s">
        <v>54</v>
      </c>
      <c r="C225" s="8" t="s">
        <v>684</v>
      </c>
      <c r="D225" s="26" t="n">
        <v>1741.3</v>
      </c>
    </row>
    <row r="226" customFormat="false" ht="15" hidden="false" customHeight="true" outlineLevel="0" collapsed="false">
      <c r="A226" s="8" t="s">
        <v>394</v>
      </c>
      <c r="B226" s="8" t="s">
        <v>65</v>
      </c>
      <c r="C226" s="8" t="s">
        <v>685</v>
      </c>
      <c r="D226" s="26" t="n">
        <v>956.3</v>
      </c>
    </row>
    <row r="227" customFormat="false" ht="15" hidden="false" customHeight="true" outlineLevel="0" collapsed="false">
      <c r="A227" s="8" t="s">
        <v>394</v>
      </c>
      <c r="B227" s="8" t="s">
        <v>65</v>
      </c>
      <c r="C227" s="8" t="s">
        <v>686</v>
      </c>
      <c r="D227" s="26" t="n">
        <v>1330.3</v>
      </c>
    </row>
    <row r="228" customFormat="false" ht="15" hidden="false" customHeight="true" outlineLevel="0" collapsed="false">
      <c r="A228" s="8" t="s">
        <v>394</v>
      </c>
      <c r="B228" s="8" t="s">
        <v>65</v>
      </c>
      <c r="C228" s="8" t="s">
        <v>687</v>
      </c>
      <c r="D228" s="26" t="n">
        <v>1593.8</v>
      </c>
    </row>
    <row r="229" customFormat="false" ht="15" hidden="false" customHeight="true" outlineLevel="0" collapsed="false">
      <c r="A229" s="8" t="s">
        <v>394</v>
      </c>
      <c r="B229" s="8" t="s">
        <v>65</v>
      </c>
      <c r="C229" s="8" t="s">
        <v>688</v>
      </c>
      <c r="D229" s="26" t="n">
        <v>497.3</v>
      </c>
    </row>
    <row r="230" customFormat="false" ht="15" hidden="false" customHeight="true" outlineLevel="0" collapsed="false">
      <c r="A230" s="8" t="s">
        <v>394</v>
      </c>
      <c r="B230" s="8" t="s">
        <v>65</v>
      </c>
      <c r="C230" s="8" t="s">
        <v>689</v>
      </c>
      <c r="D230" s="26" t="n">
        <v>68</v>
      </c>
    </row>
    <row r="231" customFormat="false" ht="15" hidden="false" customHeight="true" outlineLevel="0" collapsed="false">
      <c r="A231" s="8" t="s">
        <v>394</v>
      </c>
      <c r="B231" s="8" t="s">
        <v>65</v>
      </c>
      <c r="C231" s="8" t="s">
        <v>690</v>
      </c>
      <c r="D231" s="26" t="n">
        <v>17</v>
      </c>
    </row>
    <row r="232" customFormat="false" ht="15" hidden="false" customHeight="true" outlineLevel="0" collapsed="false">
      <c r="A232" s="8" t="s">
        <v>394</v>
      </c>
      <c r="B232" s="8" t="s">
        <v>141</v>
      </c>
      <c r="C232" s="8" t="s">
        <v>691</v>
      </c>
      <c r="D232" s="26" t="n">
        <v>270.6</v>
      </c>
    </row>
    <row r="233" customFormat="false" ht="15" hidden="false" customHeight="true" outlineLevel="0" collapsed="false">
      <c r="A233" s="8" t="s">
        <v>394</v>
      </c>
      <c r="B233" s="8" t="s">
        <v>108</v>
      </c>
      <c r="C233" s="8" t="s">
        <v>692</v>
      </c>
      <c r="D233" s="26" t="n">
        <v>1004.4</v>
      </c>
    </row>
    <row r="234" customFormat="false" ht="15" hidden="false" customHeight="true" outlineLevel="0" collapsed="false">
      <c r="A234" s="8" t="s">
        <v>394</v>
      </c>
      <c r="B234" s="8" t="s">
        <v>693</v>
      </c>
      <c r="C234" s="8" t="s">
        <v>694</v>
      </c>
      <c r="D234" s="26" t="n">
        <v>0</v>
      </c>
    </row>
    <row r="235" customFormat="false" ht="15" hidden="false" customHeight="true" outlineLevel="0" collapsed="false">
      <c r="A235" s="8" t="s">
        <v>394</v>
      </c>
      <c r="B235" s="8" t="s">
        <v>693</v>
      </c>
      <c r="C235" s="8" t="s">
        <v>695</v>
      </c>
      <c r="D235" s="26" t="n">
        <v>0</v>
      </c>
    </row>
    <row r="236" customFormat="false" ht="15" hidden="false" customHeight="true" outlineLevel="0" collapsed="false">
      <c r="A236" s="8" t="s">
        <v>394</v>
      </c>
      <c r="B236" s="8" t="s">
        <v>693</v>
      </c>
      <c r="C236" s="8" t="s">
        <v>696</v>
      </c>
      <c r="D236" s="26" t="n">
        <v>0</v>
      </c>
    </row>
    <row r="237" customFormat="false" ht="15" hidden="false" customHeight="true" outlineLevel="0" collapsed="false">
      <c r="A237" s="8" t="s">
        <v>394</v>
      </c>
      <c r="B237" s="8" t="s">
        <v>693</v>
      </c>
      <c r="C237" s="8" t="s">
        <v>697</v>
      </c>
      <c r="D237" s="26" t="n">
        <v>0</v>
      </c>
    </row>
    <row r="238" customFormat="false" ht="15" hidden="false" customHeight="true" outlineLevel="0" collapsed="false">
      <c r="A238" s="8" t="s">
        <v>394</v>
      </c>
      <c r="B238" s="8" t="s">
        <v>693</v>
      </c>
      <c r="C238" s="8" t="s">
        <v>698</v>
      </c>
      <c r="D238" s="26" t="n">
        <v>0</v>
      </c>
    </row>
    <row r="239" customFormat="false" ht="15" hidden="false" customHeight="true" outlineLevel="0" collapsed="false">
      <c r="A239" s="8" t="s">
        <v>394</v>
      </c>
      <c r="B239" s="8" t="s">
        <v>693</v>
      </c>
      <c r="C239" s="8" t="s">
        <v>699</v>
      </c>
      <c r="D239" s="26" t="n">
        <v>0</v>
      </c>
    </row>
    <row r="240" customFormat="false" ht="15" hidden="false" customHeight="true" outlineLevel="0" collapsed="false">
      <c r="A240" s="8" t="s">
        <v>394</v>
      </c>
      <c r="B240" s="8" t="s">
        <v>64</v>
      </c>
      <c r="C240" s="8" t="s">
        <v>700</v>
      </c>
      <c r="D240" s="26" t="n">
        <v>875</v>
      </c>
    </row>
    <row r="241" customFormat="false" ht="15" hidden="false" customHeight="true" outlineLevel="0" collapsed="false">
      <c r="A241" s="8" t="s">
        <v>394</v>
      </c>
      <c r="B241" s="8" t="s">
        <v>64</v>
      </c>
      <c r="C241" s="8" t="s">
        <v>701</v>
      </c>
      <c r="D241" s="26" t="n">
        <v>1686.8</v>
      </c>
    </row>
    <row r="242" customFormat="false" ht="15" hidden="false" customHeight="true" outlineLevel="0" collapsed="false">
      <c r="A242" s="8" t="s">
        <v>394</v>
      </c>
      <c r="B242" s="8" t="s">
        <v>64</v>
      </c>
      <c r="C242" s="8" t="s">
        <v>702</v>
      </c>
      <c r="D242" s="26" t="n">
        <v>2161.2</v>
      </c>
    </row>
    <row r="243" customFormat="false" ht="15" hidden="false" customHeight="true" outlineLevel="0" collapsed="false">
      <c r="A243" s="8" t="s">
        <v>394</v>
      </c>
      <c r="B243" s="8" t="s">
        <v>111</v>
      </c>
      <c r="C243" s="8" t="s">
        <v>703</v>
      </c>
      <c r="D243" s="26" t="n">
        <v>906.6</v>
      </c>
    </row>
    <row r="244" customFormat="false" ht="15" hidden="false" customHeight="true" outlineLevel="0" collapsed="false">
      <c r="A244" s="8" t="s">
        <v>394</v>
      </c>
      <c r="B244" s="8" t="s">
        <v>1141</v>
      </c>
      <c r="C244" s="8" t="s">
        <v>1142</v>
      </c>
      <c r="D244" s="26" t="n">
        <v>0</v>
      </c>
    </row>
    <row r="245" customFormat="false" ht="15" hidden="false" customHeight="true" outlineLevel="0" collapsed="false">
      <c r="A245" s="8" t="s">
        <v>394</v>
      </c>
      <c r="B245" s="8" t="s">
        <v>707</v>
      </c>
      <c r="C245" s="8" t="s">
        <v>710</v>
      </c>
      <c r="D245" s="26" t="n">
        <v>0</v>
      </c>
    </row>
    <row r="246" customFormat="false" ht="15" hidden="false" customHeight="true" outlineLevel="0" collapsed="false">
      <c r="A246" s="8" t="s">
        <v>394</v>
      </c>
      <c r="B246" s="8" t="s">
        <v>713</v>
      </c>
      <c r="C246" s="8" t="s">
        <v>715</v>
      </c>
      <c r="D246" s="26" t="n">
        <v>0</v>
      </c>
    </row>
    <row r="247" customFormat="false" ht="15" hidden="false" customHeight="true" outlineLevel="0" collapsed="false">
      <c r="A247" s="8" t="s">
        <v>394</v>
      </c>
      <c r="B247" s="8" t="s">
        <v>713</v>
      </c>
      <c r="C247" s="8" t="s">
        <v>716</v>
      </c>
      <c r="D247" s="26" t="n">
        <v>0</v>
      </c>
    </row>
    <row r="248" customFormat="false" ht="15" hidden="false" customHeight="true" outlineLevel="0" collapsed="false">
      <c r="A248" s="8" t="s">
        <v>394</v>
      </c>
      <c r="B248" s="8" t="s">
        <v>713</v>
      </c>
      <c r="C248" s="8" t="s">
        <v>717</v>
      </c>
      <c r="D248" s="26" t="n">
        <v>0</v>
      </c>
    </row>
    <row r="249" customFormat="false" ht="15" hidden="false" customHeight="true" outlineLevel="0" collapsed="false">
      <c r="A249" s="8" t="s">
        <v>394</v>
      </c>
      <c r="B249" s="8" t="s">
        <v>718</v>
      </c>
      <c r="C249" s="8" t="s">
        <v>721</v>
      </c>
      <c r="D249" s="26" t="n">
        <v>0</v>
      </c>
    </row>
    <row r="250" customFormat="false" ht="15" hidden="false" customHeight="true" outlineLevel="0" collapsed="false">
      <c r="A250" s="8" t="s">
        <v>394</v>
      </c>
      <c r="B250" s="8" t="s">
        <v>723</v>
      </c>
      <c r="C250" s="8" t="s">
        <v>724</v>
      </c>
      <c r="D250" s="26" t="n">
        <v>0</v>
      </c>
    </row>
    <row r="251" customFormat="false" ht="15" hidden="false" customHeight="true" outlineLevel="0" collapsed="false">
      <c r="A251" s="8" t="s">
        <v>394</v>
      </c>
      <c r="B251" s="8" t="s">
        <v>725</v>
      </c>
      <c r="C251" s="8" t="s">
        <v>726</v>
      </c>
      <c r="D251" s="26" t="n">
        <v>0</v>
      </c>
    </row>
    <row r="252" customFormat="false" ht="15" hidden="false" customHeight="true" outlineLevel="0" collapsed="false">
      <c r="A252" s="8" t="s">
        <v>394</v>
      </c>
      <c r="B252" s="8" t="s">
        <v>725</v>
      </c>
      <c r="C252" s="8" t="s">
        <v>727</v>
      </c>
      <c r="D252" s="26" t="n">
        <v>0</v>
      </c>
    </row>
    <row r="253" customFormat="false" ht="15" hidden="false" customHeight="true" outlineLevel="0" collapsed="false">
      <c r="A253" s="8" t="s">
        <v>394</v>
      </c>
      <c r="B253" s="8" t="s">
        <v>725</v>
      </c>
      <c r="C253" s="8" t="s">
        <v>728</v>
      </c>
      <c r="D253" s="26" t="n">
        <v>0</v>
      </c>
    </row>
    <row r="254" customFormat="false" ht="15" hidden="false" customHeight="true" outlineLevel="0" collapsed="false">
      <c r="A254" s="8" t="s">
        <v>394</v>
      </c>
      <c r="B254" s="8" t="s">
        <v>1143</v>
      </c>
      <c r="C254" s="8" t="s">
        <v>1144</v>
      </c>
      <c r="D254" s="26" t="n">
        <v>0</v>
      </c>
    </row>
    <row r="255" customFormat="false" ht="15" hidden="false" customHeight="true" outlineLevel="0" collapsed="false">
      <c r="A255" s="8" t="s">
        <v>394</v>
      </c>
      <c r="B255" s="8" t="s">
        <v>58</v>
      </c>
      <c r="C255" s="8" t="s">
        <v>729</v>
      </c>
      <c r="D255" s="26" t="n">
        <v>506</v>
      </c>
    </row>
    <row r="256" customFormat="false" ht="15" hidden="false" customHeight="true" outlineLevel="0" collapsed="false">
      <c r="A256" s="8" t="s">
        <v>394</v>
      </c>
      <c r="B256" s="8" t="s">
        <v>58</v>
      </c>
      <c r="C256" s="8" t="s">
        <v>730</v>
      </c>
      <c r="D256" s="26" t="n">
        <v>2498.4</v>
      </c>
    </row>
    <row r="257" customFormat="false" ht="15" hidden="false" customHeight="true" outlineLevel="0" collapsed="false">
      <c r="A257" s="8" t="s">
        <v>394</v>
      </c>
      <c r="B257" s="8" t="s">
        <v>58</v>
      </c>
      <c r="C257" s="8" t="s">
        <v>731</v>
      </c>
      <c r="D257" s="26" t="n">
        <v>2340.3</v>
      </c>
    </row>
    <row r="258" customFormat="false" ht="15" hidden="false" customHeight="true" outlineLevel="0" collapsed="false">
      <c r="A258" s="8" t="s">
        <v>394</v>
      </c>
      <c r="B258" s="8" t="s">
        <v>58</v>
      </c>
      <c r="C258" s="8" t="s">
        <v>732</v>
      </c>
      <c r="D258" s="26" t="n">
        <v>1771</v>
      </c>
    </row>
    <row r="259" customFormat="false" ht="15" hidden="false" customHeight="true" outlineLevel="0" collapsed="false">
      <c r="A259" s="8" t="s">
        <v>394</v>
      </c>
      <c r="B259" s="8" t="s">
        <v>58</v>
      </c>
      <c r="C259" s="8" t="s">
        <v>733</v>
      </c>
      <c r="D259" s="26" t="n">
        <v>885.5</v>
      </c>
    </row>
    <row r="260" customFormat="false" ht="15" hidden="false" customHeight="true" outlineLevel="0" collapsed="false">
      <c r="A260" s="8" t="s">
        <v>394</v>
      </c>
      <c r="B260" s="8" t="s">
        <v>734</v>
      </c>
      <c r="C260" s="8" t="s">
        <v>735</v>
      </c>
      <c r="D260" s="26" t="n">
        <v>0</v>
      </c>
    </row>
    <row r="261" customFormat="false" ht="15" hidden="false" customHeight="true" outlineLevel="0" collapsed="false">
      <c r="A261" s="8" t="s">
        <v>394</v>
      </c>
      <c r="B261" s="8" t="s">
        <v>741</v>
      </c>
      <c r="C261" s="8" t="s">
        <v>742</v>
      </c>
      <c r="D261" s="26" t="n">
        <v>0</v>
      </c>
    </row>
    <row r="262" customFormat="false" ht="15" hidden="false" customHeight="true" outlineLevel="0" collapsed="false">
      <c r="A262" s="8" t="s">
        <v>394</v>
      </c>
      <c r="B262" s="8" t="s">
        <v>1145</v>
      </c>
      <c r="C262" s="8" t="s">
        <v>1146</v>
      </c>
      <c r="D262" s="26" t="n">
        <v>0</v>
      </c>
    </row>
    <row r="263" customFormat="false" ht="15" hidden="false" customHeight="true" outlineLevel="0" collapsed="false">
      <c r="A263" s="8" t="s">
        <v>394</v>
      </c>
      <c r="B263" s="8" t="s">
        <v>154</v>
      </c>
      <c r="C263" s="8" t="s">
        <v>746</v>
      </c>
      <c r="D263" s="26" t="n">
        <v>0</v>
      </c>
    </row>
    <row r="264" customFormat="false" ht="15" hidden="false" customHeight="true" outlineLevel="0" collapsed="false">
      <c r="A264" s="8" t="s">
        <v>394</v>
      </c>
      <c r="B264" s="8" t="s">
        <v>154</v>
      </c>
      <c r="C264" s="8" t="s">
        <v>747</v>
      </c>
      <c r="D264" s="26" t="n">
        <v>32.1</v>
      </c>
    </row>
    <row r="265" customFormat="false" ht="15" hidden="false" customHeight="true" outlineLevel="0" collapsed="false">
      <c r="A265" s="8" t="s">
        <v>394</v>
      </c>
      <c r="B265" s="8" t="s">
        <v>154</v>
      </c>
      <c r="C265" s="8" t="s">
        <v>748</v>
      </c>
      <c r="D265" s="26" t="n">
        <v>0</v>
      </c>
    </row>
    <row r="266" customFormat="false" ht="15" hidden="false" customHeight="true" outlineLevel="0" collapsed="false">
      <c r="A266" s="8" t="s">
        <v>394</v>
      </c>
      <c r="B266" s="8" t="s">
        <v>749</v>
      </c>
      <c r="C266" s="8" t="s">
        <v>753</v>
      </c>
      <c r="D266" s="26" t="n">
        <v>0</v>
      </c>
    </row>
    <row r="267" customFormat="false" ht="15" hidden="false" customHeight="true" outlineLevel="0" collapsed="false">
      <c r="A267" s="8" t="s">
        <v>394</v>
      </c>
      <c r="B267" s="8" t="s">
        <v>749</v>
      </c>
      <c r="C267" s="8" t="s">
        <v>754</v>
      </c>
      <c r="D267" s="26" t="n">
        <v>0</v>
      </c>
    </row>
    <row r="268" customFormat="false" ht="15" hidden="false" customHeight="true" outlineLevel="0" collapsed="false">
      <c r="A268" s="8" t="s">
        <v>394</v>
      </c>
      <c r="B268" s="8" t="s">
        <v>693</v>
      </c>
      <c r="C268" s="8" t="s">
        <v>755</v>
      </c>
      <c r="D268" s="26" t="n">
        <v>0</v>
      </c>
    </row>
    <row r="269" customFormat="false" ht="15" hidden="false" customHeight="true" outlineLevel="0" collapsed="false">
      <c r="A269" s="8" t="s">
        <v>394</v>
      </c>
      <c r="B269" s="8" t="s">
        <v>723</v>
      </c>
      <c r="C269" s="8" t="s">
        <v>756</v>
      </c>
      <c r="D269" s="26" t="n">
        <v>0</v>
      </c>
    </row>
    <row r="270" customFormat="false" ht="15" hidden="false" customHeight="true" outlineLevel="0" collapsed="false">
      <c r="A270" s="8" t="s">
        <v>394</v>
      </c>
      <c r="B270" s="8" t="s">
        <v>146</v>
      </c>
      <c r="C270" s="8" t="s">
        <v>757</v>
      </c>
      <c r="D270" s="26" t="n">
        <v>158.1</v>
      </c>
    </row>
    <row r="271" customFormat="false" ht="15" hidden="false" customHeight="true" outlineLevel="0" collapsed="false">
      <c r="A271" s="8" t="s">
        <v>394</v>
      </c>
      <c r="B271" s="8" t="s">
        <v>102</v>
      </c>
      <c r="C271" s="8" t="s">
        <v>758</v>
      </c>
      <c r="D271" s="26" t="n">
        <v>1262</v>
      </c>
    </row>
    <row r="272" customFormat="false" ht="15" hidden="false" customHeight="true" outlineLevel="0" collapsed="false">
      <c r="A272" s="8" t="s">
        <v>394</v>
      </c>
      <c r="B272" s="8" t="s">
        <v>760</v>
      </c>
      <c r="C272" s="8" t="s">
        <v>761</v>
      </c>
      <c r="D272" s="26" t="n">
        <v>0</v>
      </c>
    </row>
    <row r="273" customFormat="false" ht="15" hidden="false" customHeight="true" outlineLevel="0" collapsed="false">
      <c r="A273" s="8" t="s">
        <v>394</v>
      </c>
      <c r="B273" s="8" t="s">
        <v>762</v>
      </c>
      <c r="C273" s="8" t="s">
        <v>763</v>
      </c>
      <c r="D273" s="26" t="n">
        <v>0</v>
      </c>
    </row>
    <row r="274" customFormat="false" ht="15" hidden="false" customHeight="true" outlineLevel="0" collapsed="false">
      <c r="A274" s="8" t="s">
        <v>394</v>
      </c>
      <c r="B274" s="8" t="s">
        <v>764</v>
      </c>
      <c r="C274" s="8" t="s">
        <v>765</v>
      </c>
      <c r="D274" s="26" t="n">
        <v>0</v>
      </c>
    </row>
    <row r="275" customFormat="false" ht="15" hidden="false" customHeight="true" outlineLevel="0" collapsed="false">
      <c r="A275" s="8" t="s">
        <v>394</v>
      </c>
      <c r="B275" s="8" t="s">
        <v>766</v>
      </c>
      <c r="C275" s="8" t="s">
        <v>767</v>
      </c>
      <c r="D275" s="26" t="n">
        <v>0</v>
      </c>
    </row>
    <row r="276" customFormat="false" ht="15" hidden="false" customHeight="true" outlineLevel="0" collapsed="false">
      <c r="A276" s="8" t="s">
        <v>394</v>
      </c>
      <c r="B276" s="8" t="s">
        <v>768</v>
      </c>
      <c r="C276" s="8" t="s">
        <v>769</v>
      </c>
      <c r="D276" s="26" t="n">
        <v>0</v>
      </c>
    </row>
    <row r="277" customFormat="false" ht="15" hidden="false" customHeight="true" outlineLevel="0" collapsed="false">
      <c r="A277" s="8" t="s">
        <v>394</v>
      </c>
      <c r="B277" s="8" t="s">
        <v>55</v>
      </c>
      <c r="C277" s="8" t="s">
        <v>770</v>
      </c>
      <c r="D277" s="26" t="n">
        <v>0</v>
      </c>
    </row>
    <row r="278" customFormat="false" ht="15" hidden="false" customHeight="true" outlineLevel="0" collapsed="false">
      <c r="A278" s="8" t="s">
        <v>394</v>
      </c>
      <c r="B278" s="8" t="s">
        <v>127</v>
      </c>
      <c r="C278" s="8" t="s">
        <v>771</v>
      </c>
      <c r="D278" s="26" t="n">
        <v>619.2</v>
      </c>
    </row>
    <row r="279" customFormat="false" ht="15" hidden="false" customHeight="true" outlineLevel="0" collapsed="false">
      <c r="A279" s="8" t="s">
        <v>394</v>
      </c>
      <c r="B279" s="8" t="s">
        <v>777</v>
      </c>
      <c r="C279" s="8" t="s">
        <v>778</v>
      </c>
      <c r="D279" s="26" t="n">
        <v>0</v>
      </c>
    </row>
    <row r="280" customFormat="false" ht="15" hidden="false" customHeight="true" outlineLevel="0" collapsed="false">
      <c r="A280" s="8" t="s">
        <v>394</v>
      </c>
      <c r="B280" s="8" t="s">
        <v>779</v>
      </c>
      <c r="C280" s="8" t="s">
        <v>780</v>
      </c>
      <c r="D280" s="26" t="n">
        <v>0</v>
      </c>
    </row>
    <row r="281" customFormat="false" ht="15" hidden="false" customHeight="true" outlineLevel="0" collapsed="false">
      <c r="A281" s="8" t="s">
        <v>394</v>
      </c>
      <c r="B281" s="8" t="s">
        <v>779</v>
      </c>
      <c r="C281" s="8" t="s">
        <v>781</v>
      </c>
      <c r="D281" s="26" t="n">
        <v>0</v>
      </c>
    </row>
    <row r="282" customFormat="false" ht="15" hidden="false" customHeight="true" outlineLevel="0" collapsed="false">
      <c r="A282" s="8" t="s">
        <v>394</v>
      </c>
      <c r="B282" s="8" t="s">
        <v>779</v>
      </c>
      <c r="C282" s="8" t="s">
        <v>782</v>
      </c>
      <c r="D282" s="26" t="n">
        <v>0</v>
      </c>
    </row>
    <row r="283" customFormat="false" ht="15" hidden="false" customHeight="true" outlineLevel="0" collapsed="false">
      <c r="A283" s="8" t="s">
        <v>394</v>
      </c>
      <c r="B283" s="8" t="s">
        <v>779</v>
      </c>
      <c r="C283" s="8" t="s">
        <v>783</v>
      </c>
      <c r="D283" s="26" t="n">
        <v>0</v>
      </c>
    </row>
    <row r="284" customFormat="false" ht="15" hidden="false" customHeight="true" outlineLevel="0" collapsed="false">
      <c r="A284" s="8" t="s">
        <v>394</v>
      </c>
      <c r="B284" s="8" t="s">
        <v>779</v>
      </c>
      <c r="C284" s="8" t="s">
        <v>784</v>
      </c>
      <c r="D284" s="26" t="n">
        <v>0</v>
      </c>
    </row>
    <row r="285" customFormat="false" ht="15" hidden="false" customHeight="true" outlineLevel="0" collapsed="false">
      <c r="A285" s="8" t="s">
        <v>394</v>
      </c>
      <c r="B285" s="8" t="s">
        <v>785</v>
      </c>
      <c r="C285" s="8" t="s">
        <v>786</v>
      </c>
      <c r="D285" s="26" t="n">
        <v>0</v>
      </c>
    </row>
    <row r="286" customFormat="false" ht="15" hidden="false" customHeight="true" outlineLevel="0" collapsed="false">
      <c r="A286" s="8" t="s">
        <v>394</v>
      </c>
      <c r="B286" s="8" t="s">
        <v>785</v>
      </c>
      <c r="C286" s="8" t="s">
        <v>787</v>
      </c>
      <c r="D286" s="26" t="n">
        <v>0</v>
      </c>
    </row>
    <row r="287" customFormat="false" ht="15" hidden="false" customHeight="true" outlineLevel="0" collapsed="false">
      <c r="A287" s="8" t="s">
        <v>394</v>
      </c>
      <c r="B287" s="8" t="s">
        <v>785</v>
      </c>
      <c r="C287" s="8" t="s">
        <v>788</v>
      </c>
      <c r="D287" s="26" t="n">
        <v>0</v>
      </c>
    </row>
    <row r="288" customFormat="false" ht="15" hidden="false" customHeight="true" outlineLevel="0" collapsed="false">
      <c r="A288" s="8" t="s">
        <v>394</v>
      </c>
      <c r="B288" s="8" t="s">
        <v>785</v>
      </c>
      <c r="C288" s="8" t="s">
        <v>789</v>
      </c>
      <c r="D288" s="26" t="n">
        <v>0</v>
      </c>
    </row>
    <row r="289" customFormat="false" ht="15" hidden="false" customHeight="true" outlineLevel="0" collapsed="false">
      <c r="A289" s="8" t="s">
        <v>394</v>
      </c>
      <c r="B289" s="8" t="s">
        <v>790</v>
      </c>
      <c r="C289" s="8" t="s">
        <v>1147</v>
      </c>
      <c r="D289" s="26" t="n">
        <v>0</v>
      </c>
    </row>
    <row r="290" customFormat="false" ht="15" hidden="false" customHeight="true" outlineLevel="0" collapsed="false">
      <c r="A290" s="8" t="s">
        <v>394</v>
      </c>
      <c r="B290" s="8" t="s">
        <v>126</v>
      </c>
      <c r="C290" s="8" t="s">
        <v>792</v>
      </c>
      <c r="D290" s="26" t="n">
        <v>632.8</v>
      </c>
    </row>
    <row r="291" customFormat="false" ht="15" hidden="false" customHeight="true" outlineLevel="0" collapsed="false">
      <c r="A291" s="8" t="s">
        <v>394</v>
      </c>
      <c r="B291" s="8" t="s">
        <v>793</v>
      </c>
      <c r="C291" s="8" t="s">
        <v>794</v>
      </c>
      <c r="D291" s="26" t="n">
        <v>0</v>
      </c>
    </row>
    <row r="292" customFormat="false" ht="15" hidden="false" customHeight="true" outlineLevel="0" collapsed="false">
      <c r="A292" s="8" t="s">
        <v>394</v>
      </c>
      <c r="B292" s="8" t="s">
        <v>795</v>
      </c>
      <c r="C292" s="8" t="s">
        <v>796</v>
      </c>
      <c r="D292" s="26" t="n">
        <v>0</v>
      </c>
    </row>
    <row r="293" customFormat="false" ht="15" hidden="false" customHeight="true" outlineLevel="0" collapsed="false">
      <c r="A293" s="8" t="s">
        <v>394</v>
      </c>
      <c r="B293" s="8" t="s">
        <v>797</v>
      </c>
      <c r="C293" s="8" t="s">
        <v>798</v>
      </c>
      <c r="D293" s="26" t="n">
        <v>0</v>
      </c>
    </row>
    <row r="294" customFormat="false" ht="15" hidden="false" customHeight="true" outlineLevel="0" collapsed="false">
      <c r="A294" s="8" t="s">
        <v>394</v>
      </c>
      <c r="B294" s="8" t="s">
        <v>72</v>
      </c>
      <c r="C294" s="8" t="s">
        <v>799</v>
      </c>
      <c r="D294" s="26" t="n">
        <v>3340</v>
      </c>
    </row>
    <row r="295" customFormat="false" ht="15" hidden="false" customHeight="true" outlineLevel="0" collapsed="false">
      <c r="A295" s="8" t="s">
        <v>394</v>
      </c>
      <c r="B295" s="8" t="s">
        <v>800</v>
      </c>
      <c r="C295" s="8" t="s">
        <v>802</v>
      </c>
      <c r="D295" s="26" t="n">
        <v>0</v>
      </c>
    </row>
    <row r="296" customFormat="false" ht="15" hidden="false" customHeight="true" outlineLevel="0" collapsed="false">
      <c r="A296" s="8" t="s">
        <v>394</v>
      </c>
      <c r="B296" s="8" t="s">
        <v>803</v>
      </c>
      <c r="C296" s="8" t="s">
        <v>804</v>
      </c>
      <c r="D296" s="26" t="n">
        <v>0</v>
      </c>
    </row>
    <row r="297" customFormat="false" ht="15" hidden="false" customHeight="true" outlineLevel="0" collapsed="false">
      <c r="A297" s="8" t="s">
        <v>394</v>
      </c>
      <c r="B297" s="8" t="s">
        <v>803</v>
      </c>
      <c r="C297" s="8" t="s">
        <v>805</v>
      </c>
      <c r="D297" s="26" t="n">
        <v>0</v>
      </c>
    </row>
    <row r="298" customFormat="false" ht="15" hidden="false" customHeight="true" outlineLevel="0" collapsed="false">
      <c r="A298" s="8" t="s">
        <v>394</v>
      </c>
      <c r="B298" s="8" t="s">
        <v>803</v>
      </c>
      <c r="C298" s="8" t="s">
        <v>802</v>
      </c>
      <c r="D298" s="26" t="n">
        <v>0</v>
      </c>
    </row>
    <row r="299" customFormat="false" ht="15" hidden="false" customHeight="true" outlineLevel="0" collapsed="false">
      <c r="A299" s="8" t="s">
        <v>394</v>
      </c>
      <c r="B299" s="8" t="s">
        <v>806</v>
      </c>
      <c r="C299" s="8" t="s">
        <v>807</v>
      </c>
      <c r="D299" s="26" t="n">
        <v>0</v>
      </c>
    </row>
    <row r="300" customFormat="false" ht="15" hidden="false" customHeight="true" outlineLevel="0" collapsed="false">
      <c r="A300" s="8" t="s">
        <v>394</v>
      </c>
      <c r="B300" s="8" t="s">
        <v>806</v>
      </c>
      <c r="C300" s="8" t="s">
        <v>808</v>
      </c>
      <c r="D300" s="26" t="n">
        <v>0</v>
      </c>
    </row>
    <row r="301" customFormat="false" ht="15" hidden="false" customHeight="true" outlineLevel="0" collapsed="false">
      <c r="A301" s="8" t="s">
        <v>394</v>
      </c>
      <c r="B301" s="8" t="s">
        <v>809</v>
      </c>
      <c r="C301" s="8" t="s">
        <v>807</v>
      </c>
      <c r="D301" s="26" t="n">
        <v>0</v>
      </c>
    </row>
    <row r="302" customFormat="false" ht="15" hidden="false" customHeight="true" outlineLevel="0" collapsed="false">
      <c r="A302" s="8" t="s">
        <v>394</v>
      </c>
      <c r="B302" s="8" t="s">
        <v>809</v>
      </c>
      <c r="C302" s="8" t="s">
        <v>808</v>
      </c>
      <c r="D302" s="26" t="n">
        <v>0</v>
      </c>
    </row>
    <row r="303" customFormat="false" ht="15" hidden="false" customHeight="true" outlineLevel="0" collapsed="false">
      <c r="A303" s="8" t="s">
        <v>394</v>
      </c>
      <c r="B303" s="8" t="s">
        <v>150</v>
      </c>
      <c r="C303" s="8" t="s">
        <v>810</v>
      </c>
      <c r="D303" s="26" t="n">
        <v>115.6</v>
      </c>
    </row>
    <row r="304" customFormat="false" ht="15" hidden="false" customHeight="true" outlineLevel="0" collapsed="false">
      <c r="A304" s="8" t="s">
        <v>394</v>
      </c>
      <c r="B304" s="8" t="s">
        <v>814</v>
      </c>
      <c r="C304" s="8" t="s">
        <v>1148</v>
      </c>
      <c r="D304" s="26" t="n">
        <v>0</v>
      </c>
    </row>
    <row r="305" customFormat="false" ht="15" hidden="false" customHeight="true" outlineLevel="0" collapsed="false">
      <c r="A305" s="8" t="s">
        <v>394</v>
      </c>
      <c r="B305" s="8" t="s">
        <v>1149</v>
      </c>
      <c r="C305" s="8" t="s">
        <v>1150</v>
      </c>
      <c r="D305" s="26" t="n">
        <v>0</v>
      </c>
    </row>
    <row r="306" customFormat="false" ht="15" hidden="false" customHeight="true" outlineLevel="0" collapsed="false">
      <c r="A306" s="8" t="s">
        <v>394</v>
      </c>
      <c r="B306" s="8" t="s">
        <v>51</v>
      </c>
      <c r="C306" s="8" t="s">
        <v>820</v>
      </c>
      <c r="D306" s="26" t="n">
        <v>5251.4</v>
      </c>
    </row>
    <row r="307" customFormat="false" ht="15" hidden="false" customHeight="true" outlineLevel="0" collapsed="false">
      <c r="A307" s="8" t="s">
        <v>394</v>
      </c>
      <c r="B307" s="8" t="s">
        <v>51</v>
      </c>
      <c r="C307" s="8" t="s">
        <v>821</v>
      </c>
      <c r="D307" s="26" t="n">
        <v>5393.8</v>
      </c>
    </row>
    <row r="308" customFormat="false" ht="15" hidden="false" customHeight="true" outlineLevel="0" collapsed="false">
      <c r="A308" s="8" t="s">
        <v>394</v>
      </c>
      <c r="B308" s="8" t="s">
        <v>51</v>
      </c>
      <c r="C308" s="8" t="s">
        <v>822</v>
      </c>
      <c r="D308" s="26" t="n">
        <v>1455.2</v>
      </c>
    </row>
    <row r="309" customFormat="false" ht="15" hidden="false" customHeight="true" outlineLevel="0" collapsed="false">
      <c r="A309" s="8" t="s">
        <v>394</v>
      </c>
      <c r="B309" s="8" t="s">
        <v>823</v>
      </c>
      <c r="C309" s="8" t="s">
        <v>824</v>
      </c>
      <c r="D309" s="26" t="n">
        <v>0</v>
      </c>
    </row>
    <row r="310" customFormat="false" ht="15" hidden="false" customHeight="true" outlineLevel="0" collapsed="false">
      <c r="A310" s="8" t="s">
        <v>394</v>
      </c>
      <c r="B310" s="8" t="s">
        <v>823</v>
      </c>
      <c r="C310" s="8" t="s">
        <v>825</v>
      </c>
      <c r="D310" s="26" t="n">
        <v>0</v>
      </c>
    </row>
    <row r="311" customFormat="false" ht="15" hidden="false" customHeight="true" outlineLevel="0" collapsed="false">
      <c r="A311" s="8" t="s">
        <v>394</v>
      </c>
      <c r="B311" s="8" t="s">
        <v>823</v>
      </c>
      <c r="C311" s="8" t="s">
        <v>826</v>
      </c>
      <c r="D311" s="26" t="n">
        <v>0</v>
      </c>
    </row>
    <row r="312" customFormat="false" ht="15" hidden="false" customHeight="true" outlineLevel="0" collapsed="false">
      <c r="A312" s="8" t="s">
        <v>394</v>
      </c>
      <c r="B312" s="8" t="s">
        <v>116</v>
      </c>
      <c r="C312" s="8" t="s">
        <v>692</v>
      </c>
      <c r="D312" s="26" t="n">
        <v>821.2</v>
      </c>
    </row>
    <row r="313" customFormat="false" ht="15" hidden="false" customHeight="true" outlineLevel="0" collapsed="false">
      <c r="A313" s="8" t="s">
        <v>394</v>
      </c>
      <c r="B313" s="8" t="s">
        <v>831</v>
      </c>
      <c r="C313" s="8" t="s">
        <v>832</v>
      </c>
      <c r="D313" s="26" t="n">
        <v>0</v>
      </c>
    </row>
    <row r="314" customFormat="false" ht="15" hidden="false" customHeight="true" outlineLevel="0" collapsed="false">
      <c r="A314" s="8" t="s">
        <v>394</v>
      </c>
      <c r="B314" s="8" t="s">
        <v>831</v>
      </c>
      <c r="C314" s="8" t="s">
        <v>833</v>
      </c>
      <c r="D314" s="26" t="n">
        <v>0</v>
      </c>
    </row>
    <row r="315" customFormat="false" ht="15" hidden="false" customHeight="true" outlineLevel="0" collapsed="false">
      <c r="A315" s="8" t="s">
        <v>394</v>
      </c>
      <c r="B315" s="8" t="s">
        <v>831</v>
      </c>
      <c r="C315" s="8" t="s">
        <v>834</v>
      </c>
      <c r="D315" s="26" t="n">
        <v>0</v>
      </c>
    </row>
    <row r="316" customFormat="false" ht="15" hidden="false" customHeight="true" outlineLevel="0" collapsed="false">
      <c r="A316" s="8" t="s">
        <v>394</v>
      </c>
      <c r="B316" s="8" t="s">
        <v>831</v>
      </c>
      <c r="C316" s="8" t="s">
        <v>835</v>
      </c>
      <c r="D316" s="26" t="n">
        <v>0</v>
      </c>
    </row>
    <row r="317" customFormat="false" ht="15" hidden="false" customHeight="true" outlineLevel="0" collapsed="false">
      <c r="A317" s="8" t="s">
        <v>394</v>
      </c>
      <c r="B317" s="8" t="s">
        <v>837</v>
      </c>
      <c r="C317" s="8" t="s">
        <v>838</v>
      </c>
      <c r="D317" s="26" t="n">
        <v>0</v>
      </c>
    </row>
    <row r="318" customFormat="false" ht="15" hidden="false" customHeight="true" outlineLevel="0" collapsed="false">
      <c r="A318" s="8" t="s">
        <v>394</v>
      </c>
      <c r="B318" s="8" t="s">
        <v>74</v>
      </c>
      <c r="C318" s="8" t="s">
        <v>847</v>
      </c>
      <c r="D318" s="26" t="n">
        <v>2925</v>
      </c>
    </row>
    <row r="319" customFormat="false" ht="15" hidden="false" customHeight="true" outlineLevel="0" collapsed="false">
      <c r="A319" s="8" t="s">
        <v>394</v>
      </c>
      <c r="B319" s="8" t="s">
        <v>848</v>
      </c>
      <c r="C319" s="8" t="s">
        <v>849</v>
      </c>
      <c r="D319" s="26" t="n">
        <v>0</v>
      </c>
    </row>
    <row r="320" customFormat="false" ht="15" hidden="false" customHeight="true" outlineLevel="0" collapsed="false">
      <c r="A320" s="8" t="s">
        <v>394</v>
      </c>
      <c r="B320" s="8" t="s">
        <v>123</v>
      </c>
      <c r="C320" s="8" t="s">
        <v>850</v>
      </c>
      <c r="D320" s="26" t="n">
        <v>752.4</v>
      </c>
    </row>
    <row r="321" customFormat="false" ht="15" hidden="false" customHeight="true" outlineLevel="0" collapsed="false">
      <c r="A321" s="8" t="s">
        <v>394</v>
      </c>
      <c r="B321" s="8" t="s">
        <v>851</v>
      </c>
      <c r="C321" s="8" t="s">
        <v>852</v>
      </c>
      <c r="D321" s="26" t="n">
        <v>0</v>
      </c>
    </row>
    <row r="322" customFormat="false" ht="15" hidden="false" customHeight="true" outlineLevel="0" collapsed="false">
      <c r="A322" s="8" t="s">
        <v>394</v>
      </c>
      <c r="B322" s="8" t="s">
        <v>91</v>
      </c>
      <c r="C322" s="8" t="s">
        <v>853</v>
      </c>
      <c r="D322" s="26" t="n">
        <v>1755.3</v>
      </c>
    </row>
    <row r="323" customFormat="false" ht="15" hidden="false" customHeight="true" outlineLevel="0" collapsed="false">
      <c r="A323" s="8" t="s">
        <v>394</v>
      </c>
      <c r="B323" s="8" t="s">
        <v>136</v>
      </c>
      <c r="C323" s="8" t="s">
        <v>854</v>
      </c>
      <c r="D323" s="26" t="n">
        <v>400.2</v>
      </c>
    </row>
    <row r="324" customFormat="false" ht="15" hidden="false" customHeight="true" outlineLevel="0" collapsed="false">
      <c r="A324" s="8" t="s">
        <v>394</v>
      </c>
      <c r="B324" s="8" t="s">
        <v>855</v>
      </c>
      <c r="C324" s="8" t="s">
        <v>856</v>
      </c>
      <c r="D324" s="26" t="n">
        <v>0</v>
      </c>
    </row>
    <row r="325" customFormat="false" ht="15" hidden="false" customHeight="true" outlineLevel="0" collapsed="false">
      <c r="A325" s="8" t="s">
        <v>394</v>
      </c>
      <c r="B325" s="8" t="s">
        <v>855</v>
      </c>
      <c r="C325" s="8" t="s">
        <v>857</v>
      </c>
      <c r="D325" s="26" t="n">
        <v>0</v>
      </c>
    </row>
    <row r="326" customFormat="false" ht="15" hidden="false" customHeight="true" outlineLevel="0" collapsed="false">
      <c r="A326" s="8" t="s">
        <v>394</v>
      </c>
      <c r="B326" s="8" t="s">
        <v>855</v>
      </c>
      <c r="C326" s="8" t="s">
        <v>858</v>
      </c>
      <c r="D326" s="26" t="n">
        <v>0</v>
      </c>
    </row>
    <row r="327" customFormat="false" ht="15" hidden="false" customHeight="true" outlineLevel="0" collapsed="false">
      <c r="A327" s="8" t="s">
        <v>394</v>
      </c>
      <c r="B327" s="8" t="s">
        <v>855</v>
      </c>
      <c r="C327" s="8" t="s">
        <v>860</v>
      </c>
      <c r="D327" s="26" t="n">
        <v>0</v>
      </c>
    </row>
    <row r="328" customFormat="false" ht="15" hidden="false" customHeight="true" outlineLevel="0" collapsed="false">
      <c r="A328" s="8" t="s">
        <v>394</v>
      </c>
      <c r="B328" s="8" t="s">
        <v>855</v>
      </c>
      <c r="C328" s="8" t="s">
        <v>1151</v>
      </c>
      <c r="D328" s="26" t="n">
        <v>0</v>
      </c>
    </row>
    <row r="329" customFormat="false" ht="15" hidden="false" customHeight="true" outlineLevel="0" collapsed="false">
      <c r="A329" s="8" t="s">
        <v>394</v>
      </c>
      <c r="B329" s="8" t="s">
        <v>855</v>
      </c>
      <c r="C329" s="8" t="s">
        <v>861</v>
      </c>
      <c r="D329" s="26" t="n">
        <v>0</v>
      </c>
    </row>
    <row r="330" customFormat="false" ht="15" hidden="false" customHeight="true" outlineLevel="0" collapsed="false">
      <c r="A330" s="8" t="s">
        <v>394</v>
      </c>
      <c r="B330" s="8" t="s">
        <v>855</v>
      </c>
      <c r="C330" s="8" t="s">
        <v>863</v>
      </c>
      <c r="D330" s="26" t="n">
        <v>0</v>
      </c>
    </row>
    <row r="331" customFormat="false" ht="15" hidden="false" customHeight="true" outlineLevel="0" collapsed="false">
      <c r="A331" s="8" t="s">
        <v>394</v>
      </c>
      <c r="B331" s="8" t="s">
        <v>855</v>
      </c>
      <c r="C331" s="8" t="s">
        <v>866</v>
      </c>
      <c r="D331" s="26" t="n">
        <v>0</v>
      </c>
    </row>
    <row r="332" customFormat="false" ht="15" hidden="false" customHeight="true" outlineLevel="0" collapsed="false">
      <c r="A332" s="8" t="s">
        <v>394</v>
      </c>
      <c r="B332" s="8" t="s">
        <v>124</v>
      </c>
      <c r="C332" s="8" t="s">
        <v>867</v>
      </c>
      <c r="D332" s="26" t="n">
        <v>749.1</v>
      </c>
    </row>
    <row r="333" customFormat="false" ht="15" hidden="false" customHeight="true" outlineLevel="0" collapsed="false">
      <c r="A333" s="8" t="s">
        <v>394</v>
      </c>
      <c r="B333" s="8" t="s">
        <v>109</v>
      </c>
      <c r="C333" s="8" t="s">
        <v>868</v>
      </c>
      <c r="D333" s="26" t="n">
        <v>957.1</v>
      </c>
    </row>
    <row r="334" customFormat="false" ht="15" hidden="false" customHeight="true" outlineLevel="0" collapsed="false">
      <c r="A334" s="8" t="s">
        <v>394</v>
      </c>
      <c r="B334" s="8" t="s">
        <v>149</v>
      </c>
      <c r="C334" s="8" t="s">
        <v>869</v>
      </c>
      <c r="D334" s="26" t="n">
        <v>115.9</v>
      </c>
    </row>
    <row r="335" customFormat="false" ht="15" hidden="false" customHeight="true" outlineLevel="0" collapsed="false">
      <c r="A335" s="8" t="s">
        <v>394</v>
      </c>
      <c r="B335" s="8" t="s">
        <v>870</v>
      </c>
      <c r="C335" s="8" t="s">
        <v>871</v>
      </c>
      <c r="D335" s="26" t="n">
        <v>0</v>
      </c>
    </row>
    <row r="336" customFormat="false" ht="15" hidden="false" customHeight="true" outlineLevel="0" collapsed="false">
      <c r="A336" s="8" t="s">
        <v>394</v>
      </c>
      <c r="B336" s="8" t="s">
        <v>873</v>
      </c>
      <c r="C336" s="8" t="s">
        <v>874</v>
      </c>
      <c r="D336" s="26" t="n">
        <v>0</v>
      </c>
    </row>
    <row r="337" customFormat="false" ht="15" hidden="false" customHeight="true" outlineLevel="0" collapsed="false">
      <c r="A337" s="8" t="s">
        <v>394</v>
      </c>
      <c r="B337" s="8" t="s">
        <v>147</v>
      </c>
      <c r="C337" s="8" t="s">
        <v>875</v>
      </c>
      <c r="D337" s="26" t="n">
        <v>135.2</v>
      </c>
    </row>
    <row r="338" customFormat="false" ht="15" hidden="false" customHeight="true" outlineLevel="0" collapsed="false">
      <c r="A338" s="8" t="s">
        <v>394</v>
      </c>
      <c r="B338" s="8" t="s">
        <v>876</v>
      </c>
      <c r="C338" s="8" t="s">
        <v>877</v>
      </c>
      <c r="D338" s="26" t="n">
        <v>0</v>
      </c>
    </row>
    <row r="339" customFormat="false" ht="15" hidden="false" customHeight="true" outlineLevel="0" collapsed="false">
      <c r="A339" s="8" t="s">
        <v>394</v>
      </c>
      <c r="B339" s="8" t="s">
        <v>143</v>
      </c>
      <c r="C339" s="8" t="s">
        <v>878</v>
      </c>
      <c r="D339" s="26" t="n">
        <v>205.9</v>
      </c>
    </row>
    <row r="340" customFormat="false" ht="15" hidden="false" customHeight="true" outlineLevel="0" collapsed="false">
      <c r="A340" s="8" t="s">
        <v>394</v>
      </c>
      <c r="B340" s="8" t="s">
        <v>144</v>
      </c>
      <c r="C340" s="8" t="s">
        <v>879</v>
      </c>
      <c r="D340" s="26" t="n">
        <v>171</v>
      </c>
    </row>
    <row r="341" customFormat="false" ht="15" hidden="false" customHeight="true" outlineLevel="0" collapsed="false">
      <c r="A341" s="8" t="s">
        <v>394</v>
      </c>
      <c r="B341" s="8" t="s">
        <v>71</v>
      </c>
      <c r="C341" s="8" t="s">
        <v>880</v>
      </c>
      <c r="D341" s="26" t="n">
        <v>3483.4</v>
      </c>
    </row>
    <row r="342" customFormat="false" ht="15" hidden="false" customHeight="true" outlineLevel="0" collapsed="false">
      <c r="A342" s="8" t="s">
        <v>394</v>
      </c>
      <c r="B342" s="8" t="s">
        <v>89</v>
      </c>
      <c r="C342" s="8" t="s">
        <v>881</v>
      </c>
      <c r="D342" s="26" t="n">
        <v>1823.1</v>
      </c>
    </row>
    <row r="343" customFormat="false" ht="15" hidden="false" customHeight="true" outlineLevel="0" collapsed="false">
      <c r="A343" s="8" t="s">
        <v>394</v>
      </c>
      <c r="B343" s="8" t="s">
        <v>112</v>
      </c>
      <c r="C343" s="8" t="s">
        <v>882</v>
      </c>
      <c r="D343" s="26" t="n">
        <v>879.9</v>
      </c>
    </row>
    <row r="344" customFormat="false" ht="15" hidden="false" customHeight="true" outlineLevel="0" collapsed="false">
      <c r="A344" s="8" t="s">
        <v>394</v>
      </c>
      <c r="B344" s="8" t="s">
        <v>85</v>
      </c>
      <c r="C344" s="8" t="s">
        <v>885</v>
      </c>
      <c r="D344" s="26" t="n">
        <v>0</v>
      </c>
    </row>
    <row r="345" customFormat="false" ht="15" hidden="false" customHeight="true" outlineLevel="0" collapsed="false">
      <c r="A345" s="8" t="s">
        <v>394</v>
      </c>
      <c r="B345" s="8" t="s">
        <v>85</v>
      </c>
      <c r="C345" s="8" t="s">
        <v>886</v>
      </c>
      <c r="D345" s="26" t="n">
        <v>740.1</v>
      </c>
    </row>
    <row r="346" customFormat="false" ht="15" hidden="false" customHeight="true" outlineLevel="0" collapsed="false">
      <c r="A346" s="8" t="s">
        <v>394</v>
      </c>
      <c r="B346" s="8" t="s">
        <v>85</v>
      </c>
      <c r="C346" s="8" t="s">
        <v>887</v>
      </c>
      <c r="D346" s="26" t="n">
        <v>1029.7</v>
      </c>
    </row>
    <row r="347" customFormat="false" ht="15" hidden="false" customHeight="true" outlineLevel="0" collapsed="false">
      <c r="A347" s="8" t="s">
        <v>394</v>
      </c>
      <c r="B347" s="8" t="s">
        <v>85</v>
      </c>
      <c r="C347" s="8" t="s">
        <v>888</v>
      </c>
      <c r="D347" s="26" t="n">
        <v>257.4</v>
      </c>
    </row>
    <row r="348" customFormat="false" ht="15" hidden="false" customHeight="true" outlineLevel="0" collapsed="false">
      <c r="A348" s="8" t="s">
        <v>394</v>
      </c>
      <c r="B348" s="8" t="s">
        <v>85</v>
      </c>
      <c r="C348" s="8" t="s">
        <v>889</v>
      </c>
      <c r="D348" s="26" t="n">
        <v>0</v>
      </c>
    </row>
    <row r="349" customFormat="false" ht="15" hidden="false" customHeight="true" outlineLevel="0" collapsed="false">
      <c r="A349" s="8" t="s">
        <v>394</v>
      </c>
      <c r="B349" s="8" t="s">
        <v>48</v>
      </c>
      <c r="C349" s="8" t="s">
        <v>890</v>
      </c>
      <c r="D349" s="26" t="n">
        <v>29484</v>
      </c>
    </row>
    <row r="350" customFormat="false" ht="15" hidden="false" customHeight="true" outlineLevel="0" collapsed="false">
      <c r="A350" s="8" t="s">
        <v>394</v>
      </c>
      <c r="B350" s="8" t="s">
        <v>49</v>
      </c>
      <c r="C350" s="8" t="s">
        <v>799</v>
      </c>
      <c r="D350" s="26" t="n">
        <v>21317.2</v>
      </c>
    </row>
    <row r="351" customFormat="false" ht="15" hidden="false" customHeight="true" outlineLevel="0" collapsed="false">
      <c r="A351" s="8" t="s">
        <v>394</v>
      </c>
      <c r="B351" s="8" t="s">
        <v>891</v>
      </c>
      <c r="C351" s="8" t="s">
        <v>892</v>
      </c>
      <c r="D351" s="26" t="n">
        <v>0</v>
      </c>
    </row>
    <row r="352" customFormat="false" ht="15" hidden="false" customHeight="true" outlineLevel="0" collapsed="false">
      <c r="A352" s="8" t="s">
        <v>394</v>
      </c>
      <c r="B352" s="8" t="s">
        <v>891</v>
      </c>
      <c r="C352" s="8" t="s">
        <v>893</v>
      </c>
      <c r="D352" s="26" t="n">
        <v>0</v>
      </c>
    </row>
    <row r="353" customFormat="false" ht="15" hidden="false" customHeight="true" outlineLevel="0" collapsed="false">
      <c r="A353" s="8" t="s">
        <v>394</v>
      </c>
      <c r="B353" s="8" t="s">
        <v>891</v>
      </c>
      <c r="C353" s="8" t="s">
        <v>894</v>
      </c>
      <c r="D353" s="26" t="n">
        <v>0</v>
      </c>
    </row>
    <row r="354" customFormat="false" ht="15" hidden="false" customHeight="true" outlineLevel="0" collapsed="false">
      <c r="A354" s="8" t="s">
        <v>394</v>
      </c>
      <c r="B354" s="8" t="s">
        <v>895</v>
      </c>
      <c r="C354" s="8" t="s">
        <v>896</v>
      </c>
      <c r="D354" s="26" t="n">
        <v>0</v>
      </c>
    </row>
    <row r="355" customFormat="false" ht="15" hidden="false" customHeight="true" outlineLevel="0" collapsed="false">
      <c r="A355" s="8" t="s">
        <v>394</v>
      </c>
      <c r="B355" s="8" t="s">
        <v>138</v>
      </c>
      <c r="C355" s="8" t="s">
        <v>897</v>
      </c>
      <c r="D355" s="26" t="n">
        <v>325</v>
      </c>
    </row>
    <row r="356" customFormat="false" ht="15" hidden="false" customHeight="true" outlineLevel="0" collapsed="false">
      <c r="A356" s="8" t="s">
        <v>394</v>
      </c>
      <c r="B356" s="8" t="s">
        <v>87</v>
      </c>
      <c r="C356" s="8" t="s">
        <v>897</v>
      </c>
      <c r="D356" s="26" t="n">
        <v>1950</v>
      </c>
    </row>
    <row r="357" customFormat="false" ht="15" hidden="false" customHeight="true" outlineLevel="0" collapsed="false">
      <c r="A357" s="8" t="s">
        <v>394</v>
      </c>
      <c r="B357" s="8" t="s">
        <v>61</v>
      </c>
      <c r="C357" s="8" t="s">
        <v>897</v>
      </c>
      <c r="D357" s="26" t="n">
        <v>6630</v>
      </c>
    </row>
    <row r="358" customFormat="false" ht="15" hidden="false" customHeight="true" outlineLevel="0" collapsed="false">
      <c r="A358" s="8" t="s">
        <v>394</v>
      </c>
      <c r="B358" s="8" t="s">
        <v>70</v>
      </c>
      <c r="C358" s="8" t="s">
        <v>898</v>
      </c>
      <c r="D358" s="26" t="n">
        <v>3510</v>
      </c>
    </row>
    <row r="359" customFormat="false" ht="15" hidden="false" customHeight="true" outlineLevel="0" collapsed="false">
      <c r="A359" s="8" t="s">
        <v>394</v>
      </c>
      <c r="B359" s="8" t="s">
        <v>79</v>
      </c>
      <c r="C359" s="8" t="s">
        <v>898</v>
      </c>
      <c r="D359" s="26" t="n">
        <v>2535</v>
      </c>
    </row>
    <row r="360" customFormat="false" ht="15" hidden="false" customHeight="true" outlineLevel="0" collapsed="false">
      <c r="A360" s="8" t="s">
        <v>394</v>
      </c>
      <c r="B360" s="8" t="s">
        <v>899</v>
      </c>
      <c r="C360" s="8" t="s">
        <v>900</v>
      </c>
      <c r="D360" s="26" t="n">
        <v>0</v>
      </c>
    </row>
    <row r="361" customFormat="false" ht="15" hidden="false" customHeight="true" outlineLevel="0" collapsed="false">
      <c r="A361" s="8" t="s">
        <v>394</v>
      </c>
      <c r="B361" s="8" t="s">
        <v>901</v>
      </c>
      <c r="C361" s="8" t="s">
        <v>902</v>
      </c>
      <c r="D361" s="26" t="n">
        <v>0</v>
      </c>
    </row>
    <row r="362" customFormat="false" ht="15" hidden="false" customHeight="true" outlineLevel="0" collapsed="false">
      <c r="A362" s="8" t="s">
        <v>394</v>
      </c>
      <c r="B362" s="8" t="s">
        <v>903</v>
      </c>
      <c r="C362" s="8" t="s">
        <v>902</v>
      </c>
      <c r="D362" s="26" t="n">
        <v>0</v>
      </c>
    </row>
    <row r="363" customFormat="false" ht="15" hidden="false" customHeight="true" outlineLevel="0" collapsed="false">
      <c r="A363" s="8" t="s">
        <v>394</v>
      </c>
      <c r="B363" s="8" t="s">
        <v>904</v>
      </c>
      <c r="C363" s="8" t="s">
        <v>902</v>
      </c>
      <c r="D363" s="26" t="n">
        <v>0</v>
      </c>
    </row>
    <row r="364" customFormat="false" ht="15" hidden="false" customHeight="true" outlineLevel="0" collapsed="false">
      <c r="A364" s="8" t="s">
        <v>394</v>
      </c>
      <c r="B364" s="8" t="s">
        <v>905</v>
      </c>
      <c r="C364" s="8" t="s">
        <v>906</v>
      </c>
      <c r="D364" s="26" t="n">
        <v>0</v>
      </c>
    </row>
    <row r="365" customFormat="false" ht="15" hidden="false" customHeight="true" outlineLevel="0" collapsed="false">
      <c r="A365" s="8" t="s">
        <v>394</v>
      </c>
      <c r="B365" s="8" t="s">
        <v>910</v>
      </c>
      <c r="C365" s="8" t="s">
        <v>908</v>
      </c>
      <c r="D365" s="26" t="n">
        <v>0</v>
      </c>
    </row>
    <row r="366" customFormat="false" ht="15" hidden="false" customHeight="true" outlineLevel="0" collapsed="false">
      <c r="A366" s="8" t="s">
        <v>394</v>
      </c>
      <c r="B366" s="8" t="s">
        <v>911</v>
      </c>
      <c r="C366" s="8" t="s">
        <v>912</v>
      </c>
      <c r="D366" s="26" t="n">
        <v>0</v>
      </c>
    </row>
    <row r="367" customFormat="false" ht="15" hidden="false" customHeight="true" outlineLevel="0" collapsed="false">
      <c r="A367" s="8" t="s">
        <v>394</v>
      </c>
      <c r="B367" s="8" t="s">
        <v>1152</v>
      </c>
      <c r="C367" s="8" t="s">
        <v>1153</v>
      </c>
      <c r="D367" s="26" t="n">
        <v>0</v>
      </c>
    </row>
    <row r="368" customFormat="false" ht="15" hidden="false" customHeight="true" outlineLevel="0" collapsed="false">
      <c r="A368" s="8" t="s">
        <v>394</v>
      </c>
      <c r="B368" s="8" t="s">
        <v>913</v>
      </c>
      <c r="C368" s="8" t="s">
        <v>908</v>
      </c>
      <c r="D368" s="26" t="n">
        <v>0</v>
      </c>
    </row>
    <row r="369" customFormat="false" ht="15" hidden="false" customHeight="true" outlineLevel="0" collapsed="false">
      <c r="A369" s="8" t="s">
        <v>394</v>
      </c>
      <c r="B369" s="8" t="s">
        <v>67</v>
      </c>
      <c r="C369" s="8" t="s">
        <v>914</v>
      </c>
      <c r="D369" s="26" t="n">
        <v>2411.8</v>
      </c>
    </row>
    <row r="370" customFormat="false" ht="15" hidden="false" customHeight="true" outlineLevel="0" collapsed="false">
      <c r="A370" s="8" t="s">
        <v>394</v>
      </c>
      <c r="B370" s="8" t="s">
        <v>67</v>
      </c>
      <c r="C370" s="8" t="s">
        <v>915</v>
      </c>
      <c r="D370" s="26" t="n">
        <v>1322.6</v>
      </c>
    </row>
    <row r="371" customFormat="false" ht="15" hidden="false" customHeight="true" outlineLevel="0" collapsed="false">
      <c r="A371" s="8" t="s">
        <v>394</v>
      </c>
      <c r="B371" s="8" t="s">
        <v>67</v>
      </c>
      <c r="C371" s="8" t="s">
        <v>916</v>
      </c>
      <c r="D371" s="26" t="n">
        <v>155.6</v>
      </c>
    </row>
    <row r="372" customFormat="false" ht="15" hidden="false" customHeight="true" outlineLevel="0" collapsed="false">
      <c r="A372" s="8" t="s">
        <v>394</v>
      </c>
      <c r="B372" s="8" t="s">
        <v>917</v>
      </c>
      <c r="C372" s="8" t="s">
        <v>919</v>
      </c>
      <c r="D372" s="26" t="n">
        <v>0</v>
      </c>
    </row>
    <row r="373" customFormat="false" ht="15" hidden="false" customHeight="true" outlineLevel="0" collapsed="false">
      <c r="A373" s="8" t="s">
        <v>394</v>
      </c>
      <c r="B373" s="8" t="s">
        <v>917</v>
      </c>
      <c r="C373" s="8" t="s">
        <v>920</v>
      </c>
      <c r="D373" s="26" t="n">
        <v>0</v>
      </c>
    </row>
    <row r="374" customFormat="false" ht="15" hidden="false" customHeight="true" outlineLevel="0" collapsed="false">
      <c r="A374" s="8" t="s">
        <v>394</v>
      </c>
      <c r="B374" s="8" t="s">
        <v>917</v>
      </c>
      <c r="C374" s="8" t="s">
        <v>921</v>
      </c>
      <c r="D374" s="26" t="n">
        <v>0</v>
      </c>
    </row>
    <row r="375" customFormat="false" ht="15" hidden="false" customHeight="true" outlineLevel="0" collapsed="false">
      <c r="A375" s="8" t="s">
        <v>394</v>
      </c>
      <c r="B375" s="8" t="s">
        <v>1154</v>
      </c>
      <c r="C375" s="8" t="s">
        <v>1155</v>
      </c>
      <c r="D375" s="26" t="n">
        <v>0</v>
      </c>
    </row>
    <row r="376" customFormat="false" ht="15" hidden="false" customHeight="true" outlineLevel="0" collapsed="false">
      <c r="A376" s="8" t="s">
        <v>394</v>
      </c>
      <c r="B376" s="8" t="s">
        <v>531</v>
      </c>
      <c r="C376" s="8" t="s">
        <v>922</v>
      </c>
      <c r="D376" s="26" t="n">
        <v>0</v>
      </c>
    </row>
    <row r="377" customFormat="false" ht="15" hidden="false" customHeight="true" outlineLevel="0" collapsed="false">
      <c r="A377" s="8" t="s">
        <v>394</v>
      </c>
      <c r="B377" s="8" t="s">
        <v>923</v>
      </c>
      <c r="C377" s="8" t="s">
        <v>924</v>
      </c>
      <c r="D377" s="26" t="n">
        <v>0</v>
      </c>
    </row>
    <row r="378" customFormat="false" ht="15" hidden="false" customHeight="true" outlineLevel="0" collapsed="false">
      <c r="A378" s="8" t="s">
        <v>394</v>
      </c>
      <c r="B378" s="8" t="s">
        <v>925</v>
      </c>
      <c r="C378" s="8" t="s">
        <v>924</v>
      </c>
      <c r="D378" s="26" t="n">
        <v>0</v>
      </c>
    </row>
    <row r="379" customFormat="false" ht="15" hidden="false" customHeight="true" outlineLevel="0" collapsed="false">
      <c r="A379" s="8" t="s">
        <v>394</v>
      </c>
      <c r="B379" s="8" t="s">
        <v>926</v>
      </c>
      <c r="C379" s="8" t="s">
        <v>924</v>
      </c>
      <c r="D379" s="26" t="n">
        <v>0</v>
      </c>
    </row>
    <row r="380" customFormat="false" ht="15" hidden="false" customHeight="true" outlineLevel="0" collapsed="false">
      <c r="A380" s="8" t="s">
        <v>394</v>
      </c>
      <c r="B380" s="8" t="s">
        <v>927</v>
      </c>
      <c r="C380" s="8" t="s">
        <v>924</v>
      </c>
      <c r="D380" s="26" t="n">
        <v>0</v>
      </c>
    </row>
    <row r="381" customFormat="false" ht="15" hidden="false" customHeight="true" outlineLevel="0" collapsed="false">
      <c r="A381" s="8" t="s">
        <v>394</v>
      </c>
      <c r="B381" s="8" t="s">
        <v>120</v>
      </c>
      <c r="C381" s="8" t="s">
        <v>928</v>
      </c>
      <c r="D381" s="26" t="n">
        <v>775</v>
      </c>
    </row>
    <row r="382" customFormat="false" ht="15" hidden="false" customHeight="true" outlineLevel="0" collapsed="false">
      <c r="A382" s="8" t="s">
        <v>394</v>
      </c>
      <c r="B382" s="8" t="s">
        <v>113</v>
      </c>
      <c r="C382" s="8" t="s">
        <v>928</v>
      </c>
      <c r="D382" s="26" t="n">
        <v>875</v>
      </c>
    </row>
    <row r="383" customFormat="false" ht="15" hidden="false" customHeight="true" outlineLevel="0" collapsed="false">
      <c r="A383" s="8" t="s">
        <v>394</v>
      </c>
      <c r="B383" s="8" t="s">
        <v>99</v>
      </c>
      <c r="C383" s="8" t="s">
        <v>928</v>
      </c>
      <c r="D383" s="26" t="n">
        <v>1425</v>
      </c>
    </row>
    <row r="384" customFormat="false" ht="15" hidden="false" customHeight="true" outlineLevel="0" collapsed="false">
      <c r="A384" s="8" t="s">
        <v>394</v>
      </c>
      <c r="B384" s="8" t="s">
        <v>95</v>
      </c>
      <c r="C384" s="8" t="s">
        <v>928</v>
      </c>
      <c r="D384" s="26" t="n">
        <v>1500</v>
      </c>
    </row>
    <row r="385" customFormat="false" ht="15" hidden="false" customHeight="true" outlineLevel="0" collapsed="false">
      <c r="A385" s="8" t="s">
        <v>394</v>
      </c>
      <c r="B385" s="8" t="s">
        <v>51</v>
      </c>
      <c r="C385" s="8" t="s">
        <v>929</v>
      </c>
      <c r="D385" s="26" t="n">
        <v>2404.3</v>
      </c>
    </row>
    <row r="386" customFormat="false" ht="15" hidden="false" customHeight="true" outlineLevel="0" collapsed="false">
      <c r="A386" s="8" t="s">
        <v>394</v>
      </c>
      <c r="B386" s="8" t="s">
        <v>60</v>
      </c>
      <c r="C386" s="8" t="s">
        <v>930</v>
      </c>
      <c r="D386" s="26" t="n">
        <v>3636.7</v>
      </c>
    </row>
    <row r="387" customFormat="false" ht="15" hidden="false" customHeight="true" outlineLevel="0" collapsed="false">
      <c r="A387" s="8" t="s">
        <v>394</v>
      </c>
      <c r="B387" s="8" t="s">
        <v>931</v>
      </c>
      <c r="C387" s="8" t="s">
        <v>932</v>
      </c>
      <c r="D387" s="26" t="n">
        <v>0</v>
      </c>
    </row>
    <row r="388" customFormat="false" ht="15" hidden="false" customHeight="true" outlineLevel="0" collapsed="false">
      <c r="A388" s="8" t="s">
        <v>394</v>
      </c>
      <c r="B388" s="8" t="s">
        <v>931</v>
      </c>
      <c r="C388" s="8" t="s">
        <v>933</v>
      </c>
      <c r="D388" s="26" t="n">
        <v>0</v>
      </c>
    </row>
    <row r="389" customFormat="false" ht="15" hidden="false" customHeight="true" outlineLevel="0" collapsed="false">
      <c r="A389" s="8" t="s">
        <v>394</v>
      </c>
      <c r="B389" s="8" t="s">
        <v>931</v>
      </c>
      <c r="C389" s="8" t="s">
        <v>934</v>
      </c>
      <c r="D389" s="26" t="n">
        <v>0</v>
      </c>
    </row>
    <row r="390" customFormat="false" ht="15" hidden="false" customHeight="true" outlineLevel="0" collapsed="false">
      <c r="A390" s="8" t="s">
        <v>394</v>
      </c>
      <c r="B390" s="8" t="s">
        <v>931</v>
      </c>
      <c r="C390" s="8" t="s">
        <v>935</v>
      </c>
      <c r="D390" s="26" t="n">
        <v>0</v>
      </c>
    </row>
    <row r="391" customFormat="false" ht="15" hidden="false" customHeight="true" outlineLevel="0" collapsed="false">
      <c r="A391" s="8" t="s">
        <v>394</v>
      </c>
      <c r="B391" s="8" t="s">
        <v>931</v>
      </c>
      <c r="C391" s="8" t="s">
        <v>936</v>
      </c>
      <c r="D391" s="26" t="n">
        <v>0</v>
      </c>
    </row>
    <row r="392" customFormat="false" ht="15" hidden="false" customHeight="true" outlineLevel="0" collapsed="false">
      <c r="A392" s="8" t="s">
        <v>394</v>
      </c>
      <c r="B392" s="8" t="s">
        <v>931</v>
      </c>
      <c r="C392" s="8" t="s">
        <v>937</v>
      </c>
      <c r="D392" s="26" t="n">
        <v>0</v>
      </c>
    </row>
    <row r="393" customFormat="false" ht="15" hidden="false" customHeight="true" outlineLevel="0" collapsed="false">
      <c r="A393" s="8" t="s">
        <v>394</v>
      </c>
      <c r="B393" s="8" t="s">
        <v>82</v>
      </c>
      <c r="C393" s="8" t="s">
        <v>938</v>
      </c>
      <c r="D393" s="26" t="n">
        <v>2231.6</v>
      </c>
    </row>
    <row r="394" customFormat="false" ht="15" hidden="false" customHeight="true" outlineLevel="0" collapsed="false">
      <c r="A394" s="8" t="s">
        <v>394</v>
      </c>
      <c r="B394" s="8" t="s">
        <v>115</v>
      </c>
      <c r="C394" s="8" t="s">
        <v>939</v>
      </c>
      <c r="D394" s="26" t="n">
        <v>829.8</v>
      </c>
    </row>
    <row r="395" customFormat="false" ht="15" hidden="false" customHeight="true" outlineLevel="0" collapsed="false">
      <c r="A395" s="8" t="s">
        <v>394</v>
      </c>
      <c r="B395" s="8" t="s">
        <v>60</v>
      </c>
      <c r="C395" s="8" t="s">
        <v>940</v>
      </c>
      <c r="D395" s="26" t="n">
        <v>3070</v>
      </c>
    </row>
    <row r="396" customFormat="false" ht="15" hidden="false" customHeight="true" outlineLevel="0" collapsed="false">
      <c r="A396" s="8" t="s">
        <v>394</v>
      </c>
      <c r="B396" s="8" t="s">
        <v>941</v>
      </c>
      <c r="C396" s="8" t="s">
        <v>942</v>
      </c>
      <c r="D396" s="26" t="n">
        <v>0</v>
      </c>
    </row>
    <row r="397" customFormat="false" ht="15" hidden="false" customHeight="true" outlineLevel="0" collapsed="false">
      <c r="A397" s="8" t="s">
        <v>394</v>
      </c>
      <c r="B397" s="8" t="s">
        <v>941</v>
      </c>
      <c r="C397" s="8" t="s">
        <v>943</v>
      </c>
      <c r="D397" s="26" t="n">
        <v>0</v>
      </c>
    </row>
    <row r="398" customFormat="false" ht="15" hidden="false" customHeight="true" outlineLevel="0" collapsed="false">
      <c r="A398" s="8" t="s">
        <v>394</v>
      </c>
      <c r="B398" s="8" t="s">
        <v>941</v>
      </c>
      <c r="C398" s="8" t="s">
        <v>944</v>
      </c>
      <c r="D398" s="26" t="n">
        <v>0</v>
      </c>
    </row>
    <row r="399" customFormat="false" ht="15" hidden="false" customHeight="true" outlineLevel="0" collapsed="false">
      <c r="A399" s="8" t="s">
        <v>394</v>
      </c>
      <c r="B399" s="8" t="s">
        <v>941</v>
      </c>
      <c r="C399" s="8" t="s">
        <v>945</v>
      </c>
      <c r="D399" s="26" t="n">
        <v>0</v>
      </c>
    </row>
    <row r="400" customFormat="false" ht="15" hidden="false" customHeight="true" outlineLevel="0" collapsed="false">
      <c r="A400" s="8" t="s">
        <v>394</v>
      </c>
      <c r="B400" s="8" t="s">
        <v>941</v>
      </c>
      <c r="C400" s="8" t="s">
        <v>946</v>
      </c>
      <c r="D400" s="26" t="n">
        <v>0</v>
      </c>
    </row>
    <row r="401" customFormat="false" ht="15" hidden="false" customHeight="true" outlineLevel="0" collapsed="false">
      <c r="A401" s="8" t="s">
        <v>394</v>
      </c>
      <c r="B401" s="8" t="s">
        <v>56</v>
      </c>
      <c r="C401" s="8" t="s">
        <v>947</v>
      </c>
      <c r="D401" s="26" t="n">
        <v>0</v>
      </c>
    </row>
    <row r="402" customFormat="false" ht="15" hidden="false" customHeight="true" outlineLevel="0" collapsed="false">
      <c r="A402" s="8" t="s">
        <v>394</v>
      </c>
      <c r="B402" s="8" t="s">
        <v>948</v>
      </c>
      <c r="C402" s="8" t="s">
        <v>949</v>
      </c>
      <c r="D402" s="26" t="n">
        <v>0</v>
      </c>
    </row>
    <row r="403" customFormat="false" ht="15" hidden="false" customHeight="true" outlineLevel="0" collapsed="false">
      <c r="A403" s="8" t="s">
        <v>394</v>
      </c>
      <c r="B403" s="8" t="s">
        <v>950</v>
      </c>
      <c r="C403" s="8" t="s">
        <v>951</v>
      </c>
      <c r="D403" s="26" t="n">
        <v>0</v>
      </c>
    </row>
    <row r="404" customFormat="false" ht="15" hidden="false" customHeight="true" outlineLevel="0" collapsed="false">
      <c r="A404" s="8" t="s">
        <v>394</v>
      </c>
      <c r="B404" s="8" t="s">
        <v>952</v>
      </c>
      <c r="C404" s="8" t="s">
        <v>951</v>
      </c>
      <c r="D404" s="26" t="n">
        <v>0</v>
      </c>
    </row>
    <row r="405" customFormat="false" ht="15" hidden="false" customHeight="true" outlineLevel="0" collapsed="false">
      <c r="A405" s="8" t="s">
        <v>394</v>
      </c>
      <c r="B405" s="8" t="s">
        <v>953</v>
      </c>
      <c r="C405" s="8" t="s">
        <v>951</v>
      </c>
      <c r="D405" s="26" t="n">
        <v>0</v>
      </c>
    </row>
    <row r="406" customFormat="false" ht="15" hidden="false" customHeight="true" outlineLevel="0" collapsed="false">
      <c r="A406" s="8" t="s">
        <v>394</v>
      </c>
      <c r="B406" s="8" t="s">
        <v>954</v>
      </c>
      <c r="C406" s="8" t="s">
        <v>951</v>
      </c>
      <c r="D406" s="26" t="n">
        <v>0</v>
      </c>
    </row>
    <row r="407" customFormat="false" ht="15" hidden="false" customHeight="true" outlineLevel="0" collapsed="false">
      <c r="A407" s="8" t="s">
        <v>394</v>
      </c>
      <c r="B407" s="8" t="s">
        <v>955</v>
      </c>
      <c r="C407" s="8" t="s">
        <v>956</v>
      </c>
      <c r="D407" s="26" t="n">
        <v>0</v>
      </c>
    </row>
    <row r="408" customFormat="false" ht="15" hidden="false" customHeight="true" outlineLevel="0" collapsed="false">
      <c r="A408" s="8" t="s">
        <v>394</v>
      </c>
      <c r="B408" s="8" t="s">
        <v>957</v>
      </c>
      <c r="C408" s="8" t="s">
        <v>958</v>
      </c>
      <c r="D408" s="26" t="n">
        <v>0</v>
      </c>
    </row>
    <row r="409" customFormat="false" ht="15" hidden="false" customHeight="true" outlineLevel="0" collapsed="false">
      <c r="A409" s="8" t="s">
        <v>394</v>
      </c>
      <c r="B409" s="8" t="s">
        <v>959</v>
      </c>
      <c r="C409" s="8" t="s">
        <v>960</v>
      </c>
      <c r="D409" s="26" t="n">
        <v>0</v>
      </c>
    </row>
    <row r="410" customFormat="false" ht="15" hidden="false" customHeight="true" outlineLevel="0" collapsed="false">
      <c r="A410" s="8" t="s">
        <v>394</v>
      </c>
      <c r="B410" s="8" t="s">
        <v>961</v>
      </c>
      <c r="C410" s="8" t="s">
        <v>960</v>
      </c>
      <c r="D410" s="26" t="n">
        <v>0</v>
      </c>
    </row>
    <row r="411" customFormat="false" ht="15" hidden="false" customHeight="true" outlineLevel="0" collapsed="false">
      <c r="A411" s="8" t="s">
        <v>394</v>
      </c>
      <c r="B411" s="8" t="s">
        <v>1156</v>
      </c>
      <c r="C411" s="8" t="s">
        <v>960</v>
      </c>
      <c r="D411" s="26" t="n">
        <v>0</v>
      </c>
    </row>
    <row r="412" customFormat="false" ht="15" hidden="false" customHeight="true" outlineLevel="0" collapsed="false">
      <c r="A412" s="8" t="s">
        <v>394</v>
      </c>
      <c r="B412" s="8" t="s">
        <v>962</v>
      </c>
      <c r="C412" s="8" t="s">
        <v>960</v>
      </c>
      <c r="D412" s="26" t="n">
        <v>0</v>
      </c>
    </row>
    <row r="413" customFormat="false" ht="15" hidden="false" customHeight="true" outlineLevel="0" collapsed="false">
      <c r="A413" s="8" t="s">
        <v>394</v>
      </c>
      <c r="B413" s="8" t="s">
        <v>963</v>
      </c>
      <c r="C413" s="8" t="s">
        <v>964</v>
      </c>
      <c r="D413" s="26" t="n">
        <v>0</v>
      </c>
    </row>
    <row r="414" customFormat="false" ht="15" hidden="false" customHeight="true" outlineLevel="0" collapsed="false">
      <c r="A414" s="8" t="s">
        <v>394</v>
      </c>
      <c r="B414" s="8" t="s">
        <v>965</v>
      </c>
      <c r="C414" s="8" t="s">
        <v>966</v>
      </c>
      <c r="D414" s="26" t="n">
        <v>0</v>
      </c>
    </row>
    <row r="415" customFormat="false" ht="15" hidden="false" customHeight="true" outlineLevel="0" collapsed="false">
      <c r="A415" s="8" t="s">
        <v>394</v>
      </c>
      <c r="B415" s="8" t="s">
        <v>967</v>
      </c>
      <c r="C415" s="8" t="s">
        <v>966</v>
      </c>
      <c r="D415" s="26" t="n">
        <v>0</v>
      </c>
    </row>
    <row r="416" customFormat="false" ht="15" hidden="false" customHeight="true" outlineLevel="0" collapsed="false">
      <c r="A416" s="8" t="s">
        <v>394</v>
      </c>
      <c r="B416" s="8" t="s">
        <v>968</v>
      </c>
      <c r="C416" s="8" t="s">
        <v>966</v>
      </c>
      <c r="D416" s="26" t="n">
        <v>0</v>
      </c>
    </row>
    <row r="417" customFormat="false" ht="15" hidden="false" customHeight="true" outlineLevel="0" collapsed="false">
      <c r="A417" s="8" t="s">
        <v>394</v>
      </c>
      <c r="B417" s="8" t="s">
        <v>969</v>
      </c>
      <c r="C417" s="8" t="s">
        <v>966</v>
      </c>
      <c r="D417" s="26" t="n">
        <v>0</v>
      </c>
    </row>
    <row r="418" customFormat="false" ht="15" hidden="false" customHeight="true" outlineLevel="0" collapsed="false">
      <c r="A418" s="8" t="s">
        <v>394</v>
      </c>
      <c r="B418" s="8" t="s">
        <v>970</v>
      </c>
      <c r="C418" s="8" t="s">
        <v>971</v>
      </c>
      <c r="D418" s="26" t="n">
        <v>0</v>
      </c>
    </row>
    <row r="419" customFormat="false" ht="15" hidden="false" customHeight="true" outlineLevel="0" collapsed="false">
      <c r="A419" s="8" t="s">
        <v>394</v>
      </c>
      <c r="B419" s="8" t="s">
        <v>970</v>
      </c>
      <c r="C419" s="8" t="s">
        <v>972</v>
      </c>
      <c r="D419" s="26" t="n">
        <v>0</v>
      </c>
    </row>
    <row r="420" customFormat="false" ht="15" hidden="false" customHeight="true" outlineLevel="0" collapsed="false">
      <c r="A420" s="8" t="s">
        <v>394</v>
      </c>
      <c r="B420" s="8" t="s">
        <v>970</v>
      </c>
      <c r="C420" s="8" t="s">
        <v>973</v>
      </c>
      <c r="D420" s="26" t="n">
        <v>0</v>
      </c>
    </row>
    <row r="421" customFormat="false" ht="15" hidden="false" customHeight="true" outlineLevel="0" collapsed="false">
      <c r="A421" s="8" t="s">
        <v>394</v>
      </c>
      <c r="B421" s="8" t="s">
        <v>970</v>
      </c>
      <c r="C421" s="8" t="s">
        <v>974</v>
      </c>
      <c r="D421" s="26" t="n">
        <v>0</v>
      </c>
    </row>
    <row r="422" customFormat="false" ht="15" hidden="false" customHeight="true" outlineLevel="0" collapsed="false">
      <c r="A422" s="8" t="s">
        <v>394</v>
      </c>
      <c r="B422" s="8" t="s">
        <v>975</v>
      </c>
      <c r="C422" s="8" t="s">
        <v>976</v>
      </c>
      <c r="D422" s="26" t="n">
        <v>0</v>
      </c>
    </row>
    <row r="423" customFormat="false" ht="15" hidden="false" customHeight="true" outlineLevel="0" collapsed="false">
      <c r="A423" s="8" t="s">
        <v>394</v>
      </c>
      <c r="B423" s="8" t="s">
        <v>975</v>
      </c>
      <c r="C423" s="8" t="s">
        <v>977</v>
      </c>
      <c r="D423" s="26" t="n">
        <v>0</v>
      </c>
    </row>
    <row r="424" customFormat="false" ht="15" hidden="false" customHeight="true" outlineLevel="0" collapsed="false">
      <c r="A424" s="8" t="s">
        <v>394</v>
      </c>
      <c r="B424" s="8" t="s">
        <v>975</v>
      </c>
      <c r="C424" s="8" t="s">
        <v>978</v>
      </c>
      <c r="D424" s="26" t="n">
        <v>0</v>
      </c>
    </row>
    <row r="425" customFormat="false" ht="15" hidden="false" customHeight="true" outlineLevel="0" collapsed="false">
      <c r="A425" s="8" t="s">
        <v>394</v>
      </c>
      <c r="B425" s="8" t="s">
        <v>975</v>
      </c>
      <c r="C425" s="8" t="s">
        <v>979</v>
      </c>
      <c r="D425" s="26" t="n">
        <v>0</v>
      </c>
    </row>
    <row r="426" customFormat="false" ht="15" hidden="false" customHeight="true" outlineLevel="0" collapsed="false">
      <c r="A426" s="8" t="s">
        <v>394</v>
      </c>
      <c r="B426" s="8" t="s">
        <v>980</v>
      </c>
      <c r="C426" s="8" t="s">
        <v>721</v>
      </c>
      <c r="D426" s="26" t="n">
        <v>0</v>
      </c>
    </row>
    <row r="427" customFormat="false" ht="15" hidden="false" customHeight="true" outlineLevel="0" collapsed="false">
      <c r="A427" s="8" t="s">
        <v>394</v>
      </c>
      <c r="B427" s="8" t="s">
        <v>980</v>
      </c>
      <c r="C427" s="8" t="s">
        <v>720</v>
      </c>
      <c r="D427" s="26" t="n">
        <v>0</v>
      </c>
    </row>
    <row r="428" customFormat="false" ht="15" hidden="false" customHeight="true" outlineLevel="0" collapsed="false">
      <c r="A428" s="8" t="s">
        <v>394</v>
      </c>
      <c r="B428" s="8" t="s">
        <v>980</v>
      </c>
      <c r="C428" s="8" t="s">
        <v>722</v>
      </c>
      <c r="D428" s="26" t="n">
        <v>0</v>
      </c>
    </row>
    <row r="429" customFormat="false" ht="15" hidden="false" customHeight="true" outlineLevel="0" collapsed="false">
      <c r="A429" s="8" t="s">
        <v>394</v>
      </c>
      <c r="B429" s="8" t="s">
        <v>980</v>
      </c>
      <c r="C429" s="8" t="s">
        <v>719</v>
      </c>
      <c r="D429" s="26" t="n">
        <v>0</v>
      </c>
    </row>
    <row r="430" customFormat="false" ht="15" hidden="false" customHeight="true" outlineLevel="0" collapsed="false">
      <c r="A430" s="8" t="s">
        <v>394</v>
      </c>
      <c r="B430" s="8" t="s">
        <v>980</v>
      </c>
      <c r="C430" s="8" t="s">
        <v>981</v>
      </c>
      <c r="D430" s="26" t="n">
        <v>0</v>
      </c>
    </row>
    <row r="431" customFormat="false" ht="15" hidden="false" customHeight="true" outlineLevel="0" collapsed="false">
      <c r="A431" s="8" t="s">
        <v>394</v>
      </c>
      <c r="B431" s="8" t="s">
        <v>982</v>
      </c>
      <c r="C431" s="8" t="s">
        <v>983</v>
      </c>
      <c r="D431" s="26" t="n">
        <v>0</v>
      </c>
    </row>
    <row r="432" customFormat="false" ht="15" hidden="false" customHeight="true" outlineLevel="0" collapsed="false">
      <c r="A432" s="8" t="s">
        <v>394</v>
      </c>
      <c r="B432" s="8" t="s">
        <v>982</v>
      </c>
      <c r="C432" s="8" t="s">
        <v>984</v>
      </c>
      <c r="D432" s="26" t="n">
        <v>0</v>
      </c>
    </row>
    <row r="433" customFormat="false" ht="15" hidden="false" customHeight="true" outlineLevel="0" collapsed="false">
      <c r="A433" s="8" t="s">
        <v>394</v>
      </c>
      <c r="B433" s="8" t="s">
        <v>982</v>
      </c>
      <c r="C433" s="8" t="s">
        <v>985</v>
      </c>
      <c r="D433" s="26" t="n">
        <v>0</v>
      </c>
    </row>
    <row r="434" customFormat="false" ht="15" hidden="false" customHeight="true" outlineLevel="0" collapsed="false">
      <c r="A434" s="8" t="s">
        <v>394</v>
      </c>
      <c r="B434" s="8" t="s">
        <v>982</v>
      </c>
      <c r="C434" s="8" t="s">
        <v>986</v>
      </c>
      <c r="D434" s="26" t="n">
        <v>0</v>
      </c>
    </row>
    <row r="435" customFormat="false" ht="15" hidden="false" customHeight="true" outlineLevel="0" collapsed="false">
      <c r="A435" s="8" t="s">
        <v>394</v>
      </c>
      <c r="B435" s="8" t="s">
        <v>987</v>
      </c>
      <c r="C435" s="8" t="s">
        <v>988</v>
      </c>
      <c r="D435" s="26" t="n">
        <v>0</v>
      </c>
    </row>
    <row r="436" customFormat="false" ht="15" hidden="false" customHeight="true" outlineLevel="0" collapsed="false">
      <c r="A436" s="8" t="s">
        <v>394</v>
      </c>
      <c r="B436" s="8" t="s">
        <v>987</v>
      </c>
      <c r="C436" s="8" t="s">
        <v>989</v>
      </c>
      <c r="D436" s="26" t="n">
        <v>0</v>
      </c>
    </row>
    <row r="437" customFormat="false" ht="15" hidden="false" customHeight="true" outlineLevel="0" collapsed="false">
      <c r="A437" s="8" t="s">
        <v>394</v>
      </c>
      <c r="B437" s="8" t="s">
        <v>987</v>
      </c>
      <c r="C437" s="8" t="s">
        <v>990</v>
      </c>
      <c r="D437" s="26" t="n">
        <v>0</v>
      </c>
    </row>
    <row r="438" customFormat="false" ht="15" hidden="false" customHeight="true" outlineLevel="0" collapsed="false">
      <c r="A438" s="8" t="s">
        <v>394</v>
      </c>
      <c r="B438" s="8" t="s">
        <v>987</v>
      </c>
      <c r="C438" s="8" t="s">
        <v>991</v>
      </c>
      <c r="D438" s="26" t="n">
        <v>0</v>
      </c>
    </row>
    <row r="439" customFormat="false" ht="15" hidden="false" customHeight="true" outlineLevel="0" collapsed="false">
      <c r="A439" s="8" t="s">
        <v>394</v>
      </c>
      <c r="B439" s="8" t="s">
        <v>997</v>
      </c>
      <c r="C439" s="8" t="s">
        <v>998</v>
      </c>
      <c r="D439" s="26" t="n">
        <v>0</v>
      </c>
    </row>
    <row r="440" customFormat="false" ht="15" hidden="false" customHeight="true" outlineLevel="0" collapsed="false">
      <c r="A440" s="8" t="s">
        <v>394</v>
      </c>
      <c r="B440" s="8" t="s">
        <v>997</v>
      </c>
      <c r="C440" s="8" t="s">
        <v>999</v>
      </c>
      <c r="D440" s="26" t="n">
        <v>0</v>
      </c>
    </row>
    <row r="441" customFormat="false" ht="15" hidden="false" customHeight="true" outlineLevel="0" collapsed="false">
      <c r="A441" s="8" t="s">
        <v>394</v>
      </c>
      <c r="B441" s="8" t="s">
        <v>997</v>
      </c>
      <c r="C441" s="8" t="s">
        <v>1000</v>
      </c>
      <c r="D441" s="26" t="n">
        <v>0</v>
      </c>
    </row>
    <row r="442" customFormat="false" ht="15" hidden="false" customHeight="true" outlineLevel="0" collapsed="false">
      <c r="A442" s="8" t="s">
        <v>394</v>
      </c>
      <c r="B442" s="8" t="s">
        <v>997</v>
      </c>
      <c r="C442" s="8" t="s">
        <v>1001</v>
      </c>
      <c r="D442" s="26" t="n">
        <v>0</v>
      </c>
    </row>
    <row r="443" customFormat="false" ht="15" hidden="false" customHeight="true" outlineLevel="0" collapsed="false">
      <c r="A443" s="8" t="s">
        <v>394</v>
      </c>
      <c r="B443" s="8" t="s">
        <v>997</v>
      </c>
      <c r="C443" s="8" t="s">
        <v>1002</v>
      </c>
      <c r="D443" s="26" t="n">
        <v>0</v>
      </c>
    </row>
    <row r="444" customFormat="false" ht="15" hidden="false" customHeight="true" outlineLevel="0" collapsed="false">
      <c r="A444" s="8" t="s">
        <v>394</v>
      </c>
      <c r="B444" s="8" t="s">
        <v>1004</v>
      </c>
      <c r="C444" s="8" t="s">
        <v>1005</v>
      </c>
      <c r="D444" s="26" t="n">
        <v>0</v>
      </c>
    </row>
    <row r="445" customFormat="false" ht="15" hidden="false" customHeight="true" outlineLevel="0" collapsed="false">
      <c r="A445" s="8" t="s">
        <v>394</v>
      </c>
      <c r="B445" s="8" t="s">
        <v>1157</v>
      </c>
      <c r="C445" s="8" t="s">
        <v>1158</v>
      </c>
      <c r="D445" s="26" t="n">
        <v>0</v>
      </c>
    </row>
    <row r="446" customFormat="false" ht="15" hidden="false" customHeight="true" outlineLevel="0" collapsed="false">
      <c r="A446" s="8" t="s">
        <v>394</v>
      </c>
      <c r="B446" s="8" t="s">
        <v>1159</v>
      </c>
      <c r="C446" s="8" t="s">
        <v>1158</v>
      </c>
      <c r="D446" s="26" t="n">
        <v>0</v>
      </c>
    </row>
    <row r="447" customFormat="false" ht="15" hidden="false" customHeight="true" outlineLevel="0" collapsed="false">
      <c r="A447" s="8" t="s">
        <v>394</v>
      </c>
      <c r="B447" s="8" t="s">
        <v>1020</v>
      </c>
      <c r="C447" s="8" t="s">
        <v>1021</v>
      </c>
      <c r="D447" s="26" t="n">
        <v>0</v>
      </c>
    </row>
    <row r="448" customFormat="false" ht="15" hidden="false" customHeight="true" outlineLevel="0" collapsed="false">
      <c r="A448" s="8" t="s">
        <v>394</v>
      </c>
      <c r="B448" s="8" t="s">
        <v>1022</v>
      </c>
      <c r="C448" s="8" t="s">
        <v>1021</v>
      </c>
      <c r="D448" s="26" t="n">
        <v>0</v>
      </c>
    </row>
    <row r="449" customFormat="false" ht="15" hidden="false" customHeight="true" outlineLevel="0" collapsed="false">
      <c r="A449" s="8" t="s">
        <v>394</v>
      </c>
      <c r="B449" s="8" t="s">
        <v>1023</v>
      </c>
      <c r="C449" s="8" t="s">
        <v>1021</v>
      </c>
      <c r="D449" s="26" t="n">
        <v>0</v>
      </c>
    </row>
    <row r="450" customFormat="false" ht="15" hidden="false" customHeight="true" outlineLevel="0" collapsed="false">
      <c r="A450" s="8" t="s">
        <v>394</v>
      </c>
      <c r="B450" s="8" t="s">
        <v>1024</v>
      </c>
      <c r="C450" s="8" t="s">
        <v>1021</v>
      </c>
      <c r="D450" s="26" t="n">
        <v>0</v>
      </c>
    </row>
    <row r="451" customFormat="false" ht="15" hidden="false" customHeight="true" outlineLevel="0" collapsed="false">
      <c r="A451" s="8" t="s">
        <v>394</v>
      </c>
      <c r="B451" s="8" t="s">
        <v>1025</v>
      </c>
      <c r="C451" s="8" t="s">
        <v>1026</v>
      </c>
      <c r="D451" s="26" t="n">
        <v>0</v>
      </c>
    </row>
    <row r="452" customFormat="false" ht="15" hidden="false" customHeight="true" outlineLevel="0" collapsed="false">
      <c r="A452" s="8" t="s">
        <v>394</v>
      </c>
      <c r="B452" s="8" t="s">
        <v>1027</v>
      </c>
      <c r="C452" s="8" t="s">
        <v>1026</v>
      </c>
      <c r="D452" s="26" t="n">
        <v>0</v>
      </c>
    </row>
    <row r="453" customFormat="false" ht="15" hidden="false" customHeight="true" outlineLevel="0" collapsed="false">
      <c r="A453" s="8" t="s">
        <v>394</v>
      </c>
      <c r="B453" s="8" t="s">
        <v>1028</v>
      </c>
      <c r="C453" s="8" t="s">
        <v>1026</v>
      </c>
      <c r="D453" s="26" t="n">
        <v>0</v>
      </c>
    </row>
    <row r="454" customFormat="false" ht="15" hidden="false" customHeight="true" outlineLevel="0" collapsed="false">
      <c r="A454" s="8" t="s">
        <v>394</v>
      </c>
      <c r="B454" s="8" t="s">
        <v>1029</v>
      </c>
      <c r="C454" s="8" t="s">
        <v>1026</v>
      </c>
      <c r="D454" s="26" t="n">
        <v>0</v>
      </c>
    </row>
    <row r="455" customFormat="false" ht="15" hidden="false" customHeight="true" outlineLevel="0" collapsed="false">
      <c r="A455" s="8" t="s">
        <v>394</v>
      </c>
      <c r="B455" s="8" t="s">
        <v>1030</v>
      </c>
      <c r="C455" s="8" t="s">
        <v>1031</v>
      </c>
      <c r="D455" s="26" t="n">
        <v>0</v>
      </c>
    </row>
    <row r="456" customFormat="false" ht="15" hidden="false" customHeight="true" outlineLevel="0" collapsed="false">
      <c r="A456" s="8" t="s">
        <v>394</v>
      </c>
      <c r="B456" s="8" t="s">
        <v>1030</v>
      </c>
      <c r="C456" s="8" t="s">
        <v>1032</v>
      </c>
      <c r="D456" s="26" t="n">
        <v>0</v>
      </c>
    </row>
    <row r="457" customFormat="false" ht="15" hidden="false" customHeight="true" outlineLevel="0" collapsed="false">
      <c r="A457" s="8" t="s">
        <v>394</v>
      </c>
      <c r="B457" s="8" t="s">
        <v>1160</v>
      </c>
      <c r="C457" s="8" t="s">
        <v>1161</v>
      </c>
      <c r="D457" s="26" t="n">
        <v>0</v>
      </c>
    </row>
    <row r="458" customFormat="false" ht="15" hidden="false" customHeight="true" outlineLevel="0" collapsed="false">
      <c r="A458" s="8" t="s">
        <v>394</v>
      </c>
      <c r="B458" s="8" t="s">
        <v>1160</v>
      </c>
      <c r="C458" s="8" t="s">
        <v>1162</v>
      </c>
      <c r="D458" s="26" t="n">
        <v>0</v>
      </c>
    </row>
    <row r="459" customFormat="false" ht="15" hidden="false" customHeight="true" outlineLevel="0" collapsed="false">
      <c r="A459" s="8" t="s">
        <v>394</v>
      </c>
      <c r="B459" s="8" t="s">
        <v>1160</v>
      </c>
      <c r="C459" s="8" t="s">
        <v>1163</v>
      </c>
      <c r="D459" s="26" t="n">
        <v>0</v>
      </c>
    </row>
    <row r="460" customFormat="false" ht="15" hidden="false" customHeight="true" outlineLevel="0" collapsed="false">
      <c r="A460" s="8" t="s">
        <v>394</v>
      </c>
      <c r="B460" s="8" t="s">
        <v>1033</v>
      </c>
      <c r="C460" s="8" t="s">
        <v>1034</v>
      </c>
      <c r="D460" s="26" t="n">
        <v>0</v>
      </c>
    </row>
    <row r="461" customFormat="false" ht="15" hidden="false" customHeight="true" outlineLevel="0" collapsed="false">
      <c r="A461" s="8" t="s">
        <v>394</v>
      </c>
      <c r="B461" s="8" t="s">
        <v>1035</v>
      </c>
      <c r="C461" s="8" t="s">
        <v>1036</v>
      </c>
      <c r="D461" s="26" t="n">
        <v>0</v>
      </c>
    </row>
    <row r="462" customFormat="false" ht="15" hidden="false" customHeight="true" outlineLevel="0" collapsed="false">
      <c r="A462" s="8" t="s">
        <v>394</v>
      </c>
      <c r="B462" s="8" t="s">
        <v>1037</v>
      </c>
      <c r="C462" s="8" t="s">
        <v>1038</v>
      </c>
      <c r="D462" s="26" t="n">
        <v>0</v>
      </c>
    </row>
    <row r="463" customFormat="false" ht="15" hidden="false" customHeight="true" outlineLevel="0" collapsed="false">
      <c r="A463" s="8" t="s">
        <v>394</v>
      </c>
      <c r="B463" s="8" t="s">
        <v>1035</v>
      </c>
      <c r="C463" s="8" t="s">
        <v>1039</v>
      </c>
      <c r="D463" s="26" t="n">
        <v>0</v>
      </c>
    </row>
    <row r="464" customFormat="false" ht="15" hidden="false" customHeight="true" outlineLevel="0" collapsed="false">
      <c r="A464" s="8" t="s">
        <v>394</v>
      </c>
      <c r="B464" s="8" t="s">
        <v>1042</v>
      </c>
      <c r="C464" s="8" t="s">
        <v>1043</v>
      </c>
      <c r="D464" s="26" t="n">
        <v>0</v>
      </c>
    </row>
    <row r="465" customFormat="false" ht="15" hidden="false" customHeight="true" outlineLevel="0" collapsed="false">
      <c r="A465" s="8" t="s">
        <v>394</v>
      </c>
      <c r="B465" s="8" t="s">
        <v>1042</v>
      </c>
      <c r="C465" s="8" t="s">
        <v>1044</v>
      </c>
      <c r="D465" s="26" t="n">
        <v>0</v>
      </c>
    </row>
    <row r="466" customFormat="false" ht="15" hidden="false" customHeight="true" outlineLevel="0" collapsed="false">
      <c r="A466" s="8" t="s">
        <v>394</v>
      </c>
      <c r="B466" s="8" t="s">
        <v>1042</v>
      </c>
      <c r="C466" s="8" t="s">
        <v>1045</v>
      </c>
      <c r="D466" s="26" t="n">
        <v>0</v>
      </c>
    </row>
    <row r="467" customFormat="false" ht="15" hidden="false" customHeight="true" outlineLevel="0" collapsed="false">
      <c r="A467" s="8" t="s">
        <v>394</v>
      </c>
      <c r="B467" s="8" t="s">
        <v>1042</v>
      </c>
      <c r="C467" s="8" t="s">
        <v>1046</v>
      </c>
      <c r="D467" s="26" t="n">
        <v>0</v>
      </c>
    </row>
    <row r="468" customFormat="false" ht="15" hidden="false" customHeight="true" outlineLevel="0" collapsed="false">
      <c r="A468" s="8" t="s">
        <v>394</v>
      </c>
      <c r="B468" s="8" t="s">
        <v>1042</v>
      </c>
      <c r="C468" s="8" t="s">
        <v>1047</v>
      </c>
      <c r="D468" s="26" t="n">
        <v>0</v>
      </c>
    </row>
    <row r="469" customFormat="false" ht="15" hidden="false" customHeight="true" outlineLevel="0" collapsed="false">
      <c r="A469" s="8" t="s">
        <v>394</v>
      </c>
      <c r="B469" s="8" t="s">
        <v>1048</v>
      </c>
      <c r="C469" s="8" t="s">
        <v>1049</v>
      </c>
      <c r="D469" s="26" t="n">
        <v>0</v>
      </c>
    </row>
    <row r="470" customFormat="false" ht="15" hidden="false" customHeight="true" outlineLevel="0" collapsed="false">
      <c r="A470" s="8" t="s">
        <v>394</v>
      </c>
      <c r="B470" s="8" t="s">
        <v>1048</v>
      </c>
      <c r="C470" s="8" t="s">
        <v>1050</v>
      </c>
      <c r="D470" s="26" t="n">
        <v>0</v>
      </c>
    </row>
    <row r="471" customFormat="false" ht="15" hidden="false" customHeight="true" outlineLevel="0" collapsed="false">
      <c r="A471" s="8" t="s">
        <v>394</v>
      </c>
      <c r="B471" s="8" t="s">
        <v>1048</v>
      </c>
      <c r="C471" s="8" t="s">
        <v>1051</v>
      </c>
      <c r="D471" s="26" t="n">
        <v>0</v>
      </c>
    </row>
    <row r="472" customFormat="false" ht="15" hidden="false" customHeight="true" outlineLevel="0" collapsed="false">
      <c r="A472" s="8" t="s">
        <v>394</v>
      </c>
      <c r="B472" s="8" t="s">
        <v>1048</v>
      </c>
      <c r="C472" s="8" t="s">
        <v>1052</v>
      </c>
      <c r="D472" s="26" t="n">
        <v>0</v>
      </c>
    </row>
    <row r="473" customFormat="false" ht="15" hidden="false" customHeight="true" outlineLevel="0" collapsed="false">
      <c r="A473" s="8" t="s">
        <v>394</v>
      </c>
      <c r="B473" s="8" t="s">
        <v>1048</v>
      </c>
      <c r="C473" s="8" t="s">
        <v>1053</v>
      </c>
      <c r="D473" s="26" t="n">
        <v>0</v>
      </c>
    </row>
    <row r="474" customFormat="false" ht="15" hidden="false" customHeight="true" outlineLevel="0" collapsed="false">
      <c r="A474" s="8" t="s">
        <v>394</v>
      </c>
      <c r="B474" s="8" t="s">
        <v>1054</v>
      </c>
      <c r="C474" s="8" t="s">
        <v>1055</v>
      </c>
      <c r="D474" s="26" t="n">
        <v>0</v>
      </c>
    </row>
    <row r="475" customFormat="false" ht="15" hidden="false" customHeight="true" outlineLevel="0" collapsed="false">
      <c r="A475" s="8" t="s">
        <v>394</v>
      </c>
      <c r="B475" s="8" t="s">
        <v>1054</v>
      </c>
      <c r="C475" s="8" t="s">
        <v>1056</v>
      </c>
      <c r="D475" s="26" t="n">
        <v>0</v>
      </c>
    </row>
    <row r="476" customFormat="false" ht="15" hidden="false" customHeight="true" outlineLevel="0" collapsed="false">
      <c r="A476" s="8" t="s">
        <v>394</v>
      </c>
      <c r="B476" s="8" t="s">
        <v>1054</v>
      </c>
      <c r="C476" s="8" t="s">
        <v>1057</v>
      </c>
      <c r="D476" s="26" t="n">
        <v>0</v>
      </c>
    </row>
    <row r="477" customFormat="false" ht="15" hidden="false" customHeight="true" outlineLevel="0" collapsed="false">
      <c r="A477" s="8" t="s">
        <v>394</v>
      </c>
      <c r="B477" s="8" t="s">
        <v>1054</v>
      </c>
      <c r="C477" s="8" t="s">
        <v>1058</v>
      </c>
      <c r="D477" s="26" t="n">
        <v>0</v>
      </c>
    </row>
    <row r="478" customFormat="false" ht="15" hidden="false" customHeight="true" outlineLevel="0" collapsed="false">
      <c r="A478" s="8" t="s">
        <v>394</v>
      </c>
      <c r="B478" s="8" t="s">
        <v>1054</v>
      </c>
      <c r="C478" s="8" t="s">
        <v>1059</v>
      </c>
      <c r="D478" s="26" t="n">
        <v>0</v>
      </c>
    </row>
    <row r="479" customFormat="false" ht="15" hidden="false" customHeight="true" outlineLevel="0" collapsed="false">
      <c r="A479" s="8" t="s">
        <v>394</v>
      </c>
      <c r="B479" s="8" t="s">
        <v>1060</v>
      </c>
      <c r="C479" s="8" t="s">
        <v>1061</v>
      </c>
      <c r="D479" s="26" t="n">
        <v>0</v>
      </c>
    </row>
    <row r="480" customFormat="false" ht="15" hidden="false" customHeight="true" outlineLevel="0" collapsed="false">
      <c r="A480" s="8" t="s">
        <v>394</v>
      </c>
      <c r="B480" s="8" t="s">
        <v>1062</v>
      </c>
      <c r="C480" s="8" t="s">
        <v>1063</v>
      </c>
      <c r="D480" s="26" t="n">
        <v>0</v>
      </c>
    </row>
    <row r="481" customFormat="false" ht="15" hidden="false" customHeight="true" outlineLevel="0" collapsed="false">
      <c r="A481" s="8" t="s">
        <v>394</v>
      </c>
      <c r="B481" s="8" t="s">
        <v>1064</v>
      </c>
      <c r="C481" s="8" t="s">
        <v>1065</v>
      </c>
      <c r="D481" s="26" t="n">
        <v>0</v>
      </c>
    </row>
    <row r="482" customFormat="false" ht="15" hidden="false" customHeight="true" outlineLevel="0" collapsed="false">
      <c r="A482" s="8" t="s">
        <v>394</v>
      </c>
      <c r="B482" s="8" t="s">
        <v>1066</v>
      </c>
      <c r="C482" s="8" t="s">
        <v>1067</v>
      </c>
      <c r="D482" s="26" t="n">
        <v>0</v>
      </c>
    </row>
    <row r="483" customFormat="false" ht="15" hidden="false" customHeight="true" outlineLevel="0" collapsed="false">
      <c r="A483" s="8" t="s">
        <v>394</v>
      </c>
      <c r="B483" s="8" t="s">
        <v>1068</v>
      </c>
      <c r="C483" s="8" t="s">
        <v>1069</v>
      </c>
      <c r="D483" s="26" t="n">
        <v>0</v>
      </c>
    </row>
    <row r="484" customFormat="false" ht="15" hidden="false" customHeight="true" outlineLevel="0" collapsed="false">
      <c r="A484" s="8" t="s">
        <v>394</v>
      </c>
      <c r="B484" s="8" t="s">
        <v>1070</v>
      </c>
      <c r="C484" s="8" t="s">
        <v>1071</v>
      </c>
      <c r="D484" s="26" t="n">
        <v>0</v>
      </c>
    </row>
    <row r="485" customFormat="false" ht="15" hidden="false" customHeight="true" outlineLevel="0" collapsed="false">
      <c r="A485" s="8" t="s">
        <v>394</v>
      </c>
      <c r="B485" s="8" t="s">
        <v>1070</v>
      </c>
      <c r="C485" s="8" t="s">
        <v>1072</v>
      </c>
      <c r="D485" s="26" t="n">
        <v>0</v>
      </c>
    </row>
    <row r="486" customFormat="false" ht="15" hidden="false" customHeight="true" outlineLevel="0" collapsed="false">
      <c r="A486" s="8" t="s">
        <v>394</v>
      </c>
      <c r="B486" s="8" t="s">
        <v>1070</v>
      </c>
      <c r="C486" s="8" t="s">
        <v>1073</v>
      </c>
      <c r="D486" s="26" t="n">
        <v>0</v>
      </c>
    </row>
    <row r="487" customFormat="false" ht="15" hidden="false" customHeight="true" outlineLevel="0" collapsed="false">
      <c r="A487" s="8" t="s">
        <v>394</v>
      </c>
      <c r="B487" s="8" t="s">
        <v>1070</v>
      </c>
      <c r="C487" s="8" t="s">
        <v>1074</v>
      </c>
      <c r="D487" s="26" t="n">
        <v>0</v>
      </c>
    </row>
    <row r="488" customFormat="false" ht="15" hidden="false" customHeight="true" outlineLevel="0" collapsed="false">
      <c r="A488" s="8" t="s">
        <v>394</v>
      </c>
      <c r="B488" s="8" t="s">
        <v>1075</v>
      </c>
      <c r="C488" s="8" t="s">
        <v>1076</v>
      </c>
      <c r="D488" s="26" t="n">
        <v>0</v>
      </c>
    </row>
    <row r="489" customFormat="false" ht="15" hidden="false" customHeight="true" outlineLevel="0" collapsed="false">
      <c r="A489" s="8" t="s">
        <v>394</v>
      </c>
      <c r="B489" s="8" t="s">
        <v>1077</v>
      </c>
      <c r="C489" s="8" t="s">
        <v>1078</v>
      </c>
      <c r="D489" s="26" t="n">
        <v>0</v>
      </c>
    </row>
    <row r="490" customFormat="false" ht="15" hidden="false" customHeight="true" outlineLevel="0" collapsed="false">
      <c r="A490" s="8" t="s">
        <v>394</v>
      </c>
      <c r="B490" s="8" t="s">
        <v>1079</v>
      </c>
      <c r="C490" s="8" t="s">
        <v>1080</v>
      </c>
      <c r="D490" s="26" t="n">
        <v>0</v>
      </c>
    </row>
    <row r="491" customFormat="false" ht="15" hidden="false" customHeight="true" outlineLevel="0" collapsed="false">
      <c r="A491" s="8" t="s">
        <v>394</v>
      </c>
      <c r="B491" s="8" t="s">
        <v>1081</v>
      </c>
      <c r="C491" s="8" t="s">
        <v>1082</v>
      </c>
      <c r="D491" s="26" t="n">
        <v>0</v>
      </c>
    </row>
    <row r="492" customFormat="false" ht="15" hidden="false" customHeight="true" outlineLevel="0" collapsed="false">
      <c r="A492" s="8" t="s">
        <v>394</v>
      </c>
      <c r="B492" s="8" t="s">
        <v>1083</v>
      </c>
      <c r="C492" s="8" t="s">
        <v>1084</v>
      </c>
      <c r="D492" s="26" t="n">
        <v>0</v>
      </c>
    </row>
    <row r="493" customFormat="false" ht="15" hidden="false" customHeight="true" outlineLevel="0" collapsed="false">
      <c r="A493" s="8" t="s">
        <v>394</v>
      </c>
      <c r="B493" s="8" t="s">
        <v>1164</v>
      </c>
      <c r="C493" s="8" t="s">
        <v>1165</v>
      </c>
      <c r="D493" s="26" t="n">
        <v>0</v>
      </c>
    </row>
    <row r="494" customFormat="false" ht="15" hidden="false" customHeight="true" outlineLevel="0" collapsed="false">
      <c r="A494" s="8" t="s">
        <v>394</v>
      </c>
      <c r="B494" s="8" t="s">
        <v>107</v>
      </c>
      <c r="C494" s="8" t="s">
        <v>1166</v>
      </c>
      <c r="D494" s="26" t="n">
        <v>227.2</v>
      </c>
    </row>
    <row r="495" customFormat="false" ht="15" hidden="false" customHeight="true" outlineLevel="0" collapsed="false">
      <c r="A495" s="8" t="s">
        <v>394</v>
      </c>
      <c r="B495" s="8" t="s">
        <v>107</v>
      </c>
      <c r="C495" s="8" t="s">
        <v>1085</v>
      </c>
      <c r="D495" s="26" t="n">
        <v>113.6</v>
      </c>
    </row>
    <row r="496" customFormat="false" ht="15" hidden="false" customHeight="true" outlineLevel="0" collapsed="false">
      <c r="A496" s="8" t="s">
        <v>394</v>
      </c>
      <c r="B496" s="8" t="s">
        <v>107</v>
      </c>
      <c r="C496" s="8" t="s">
        <v>1167</v>
      </c>
      <c r="D496" s="26" t="n">
        <v>113.6</v>
      </c>
    </row>
    <row r="497" customFormat="false" ht="15" hidden="false" customHeight="true" outlineLevel="0" collapsed="false">
      <c r="A497" s="8" t="s">
        <v>394</v>
      </c>
      <c r="B497" s="8" t="s">
        <v>107</v>
      </c>
      <c r="C497" s="8" t="s">
        <v>1168</v>
      </c>
      <c r="D497" s="26" t="n">
        <v>454.3</v>
      </c>
    </row>
    <row r="498" customFormat="false" ht="15" hidden="false" customHeight="true" outlineLevel="0" collapsed="false">
      <c r="A498" s="8" t="s">
        <v>394</v>
      </c>
      <c r="B498" s="8" t="s">
        <v>107</v>
      </c>
      <c r="C498" s="8" t="s">
        <v>1169</v>
      </c>
      <c r="D498" s="26" t="n">
        <v>113.6</v>
      </c>
    </row>
    <row r="499" customFormat="false" ht="15" hidden="false" customHeight="true" outlineLevel="0" collapsed="false">
      <c r="A499" s="8" t="s">
        <v>394</v>
      </c>
      <c r="B499" s="8" t="s">
        <v>1088</v>
      </c>
      <c r="C499" s="8" t="s">
        <v>1089</v>
      </c>
      <c r="D499" s="26" t="n">
        <v>0</v>
      </c>
    </row>
    <row r="500" customFormat="false" ht="15" hidden="false" customHeight="true" outlineLevel="0" collapsed="false">
      <c r="A500" s="8" t="s">
        <v>394</v>
      </c>
      <c r="B500" s="8" t="s">
        <v>1088</v>
      </c>
      <c r="C500" s="8" t="s">
        <v>1090</v>
      </c>
      <c r="D500" s="26" t="n">
        <v>0</v>
      </c>
    </row>
    <row r="501" customFormat="false" ht="15" hidden="false" customHeight="true" outlineLevel="0" collapsed="false">
      <c r="A501" s="8" t="s">
        <v>394</v>
      </c>
      <c r="B501" s="8" t="s">
        <v>1088</v>
      </c>
      <c r="C501" s="8" t="s">
        <v>1091</v>
      </c>
      <c r="D501" s="26" t="n">
        <v>0</v>
      </c>
    </row>
    <row r="502" customFormat="false" ht="15" hidden="false" customHeight="true" outlineLevel="0" collapsed="false">
      <c r="A502" s="8" t="s">
        <v>394</v>
      </c>
      <c r="B502" s="8" t="s">
        <v>1088</v>
      </c>
      <c r="C502" s="8" t="s">
        <v>1092</v>
      </c>
      <c r="D502" s="26" t="n">
        <v>0</v>
      </c>
    </row>
    <row r="503" customFormat="false" ht="15" hidden="false" customHeight="true" outlineLevel="0" collapsed="false">
      <c r="A503" s="8" t="s">
        <v>394</v>
      </c>
      <c r="B503" s="8" t="s">
        <v>1093</v>
      </c>
      <c r="C503" s="8" t="s">
        <v>1094</v>
      </c>
      <c r="D503" s="26" t="n">
        <v>0</v>
      </c>
    </row>
    <row r="504" customFormat="false" ht="15" hidden="false" customHeight="true" outlineLevel="0" collapsed="false">
      <c r="A504" s="8" t="s">
        <v>394</v>
      </c>
      <c r="B504" s="8" t="s">
        <v>1095</v>
      </c>
      <c r="C504" s="8" t="s">
        <v>1094</v>
      </c>
      <c r="D504" s="26" t="n">
        <v>0</v>
      </c>
    </row>
    <row r="505" customFormat="false" ht="15" hidden="false" customHeight="true" outlineLevel="0" collapsed="false">
      <c r="A505" s="8" t="s">
        <v>394</v>
      </c>
      <c r="B505" s="8" t="s">
        <v>1093</v>
      </c>
      <c r="C505" s="8" t="s">
        <v>1096</v>
      </c>
      <c r="D505" s="26" t="n">
        <v>0</v>
      </c>
    </row>
    <row r="506" customFormat="false" ht="15" hidden="false" customHeight="true" outlineLevel="0" collapsed="false">
      <c r="A506" s="8" t="s">
        <v>394</v>
      </c>
      <c r="B506" s="8" t="s">
        <v>151</v>
      </c>
      <c r="C506" s="8" t="s">
        <v>1096</v>
      </c>
      <c r="D506" s="26" t="n">
        <v>66</v>
      </c>
    </row>
    <row r="507" customFormat="false" ht="15" hidden="false" customHeight="true" outlineLevel="0" collapsed="false">
      <c r="A507" s="8" t="s">
        <v>394</v>
      </c>
      <c r="B507" s="8" t="s">
        <v>81</v>
      </c>
      <c r="C507" s="8" t="s">
        <v>1097</v>
      </c>
      <c r="D507" s="26" t="n">
        <v>2308.8</v>
      </c>
    </row>
    <row r="508" customFormat="false" ht="15" hidden="false" customHeight="true" outlineLevel="0" collapsed="false">
      <c r="A508" s="8" t="s">
        <v>394</v>
      </c>
      <c r="B508" s="8" t="s">
        <v>1098</v>
      </c>
      <c r="C508" s="8" t="s">
        <v>1099</v>
      </c>
      <c r="D508" s="26" t="n">
        <v>0</v>
      </c>
    </row>
    <row r="509" customFormat="false" ht="15" hidden="false" customHeight="true" outlineLevel="0" collapsed="false">
      <c r="A509" s="8" t="s">
        <v>394</v>
      </c>
      <c r="B509" s="8" t="s">
        <v>50</v>
      </c>
      <c r="C509" s="8" t="s">
        <v>1170</v>
      </c>
      <c r="D509" s="26" t="n">
        <v>4264.6</v>
      </c>
    </row>
    <row r="510" customFormat="false" ht="15" hidden="false" customHeight="true" outlineLevel="0" collapsed="false">
      <c r="A510" s="8" t="s">
        <v>394</v>
      </c>
      <c r="B510" s="8" t="s">
        <v>50</v>
      </c>
      <c r="C510" s="8" t="s">
        <v>1171</v>
      </c>
      <c r="D510" s="26" t="n">
        <v>6146.1</v>
      </c>
    </row>
    <row r="511" customFormat="false" ht="15" hidden="false" customHeight="true" outlineLevel="0" collapsed="false">
      <c r="A511" s="8" t="s">
        <v>394</v>
      </c>
      <c r="B511" s="8" t="s">
        <v>50</v>
      </c>
      <c r="C511" s="8" t="s">
        <v>1172</v>
      </c>
      <c r="D511" s="26" t="n">
        <v>6605.9</v>
      </c>
    </row>
    <row r="512" customFormat="false" ht="15" hidden="false" customHeight="true" outlineLevel="0" collapsed="false">
      <c r="A512" s="8" t="s">
        <v>394</v>
      </c>
      <c r="B512" s="8" t="s">
        <v>1173</v>
      </c>
      <c r="C512" s="8" t="s">
        <v>1174</v>
      </c>
      <c r="D512" s="26" t="n">
        <v>0</v>
      </c>
    </row>
    <row r="513" customFormat="false" ht="15" hidden="false" customHeight="true" outlineLevel="0" collapsed="false">
      <c r="A513" s="8" t="s">
        <v>394</v>
      </c>
      <c r="B513" s="8" t="s">
        <v>1173</v>
      </c>
      <c r="C513" s="8" t="s">
        <v>1175</v>
      </c>
      <c r="D513" s="26" t="n">
        <v>0</v>
      </c>
    </row>
    <row r="514" customFormat="false" ht="15" hidden="false" customHeight="true" outlineLevel="0" collapsed="false">
      <c r="A514" s="8" t="s">
        <v>394</v>
      </c>
      <c r="B514" s="8" t="s">
        <v>1100</v>
      </c>
      <c r="C514" s="8" t="s">
        <v>1101</v>
      </c>
      <c r="D514" s="26" t="n">
        <v>0</v>
      </c>
    </row>
    <row r="515" customFormat="false" ht="15" hidden="false" customHeight="true" outlineLevel="0" collapsed="false">
      <c r="A515" s="8" t="s">
        <v>394</v>
      </c>
      <c r="B515" s="8" t="s">
        <v>1102</v>
      </c>
      <c r="C515" s="8" t="s">
        <v>556</v>
      </c>
      <c r="D515" s="26" t="n">
        <v>0</v>
      </c>
    </row>
    <row r="516" customFormat="false" ht="15" hidden="false" customHeight="true" outlineLevel="0" collapsed="false">
      <c r="A516" s="8" t="s">
        <v>394</v>
      </c>
      <c r="B516" s="8" t="s">
        <v>1103</v>
      </c>
      <c r="C516" s="8" t="s">
        <v>1104</v>
      </c>
      <c r="D516" s="26" t="n">
        <v>0</v>
      </c>
    </row>
    <row r="517" customFormat="false" ht="15" hidden="false" customHeight="true" outlineLevel="0" collapsed="false">
      <c r="A517" s="8" t="s">
        <v>394</v>
      </c>
      <c r="B517" s="8" t="s">
        <v>62</v>
      </c>
      <c r="C517" s="8" t="s">
        <v>1176</v>
      </c>
      <c r="D517" s="26" t="n">
        <v>5739.6</v>
      </c>
    </row>
    <row r="518" customFormat="false" ht="15" hidden="false" customHeight="true" outlineLevel="0" collapsed="false">
      <c r="A518" s="8" t="s">
        <v>394</v>
      </c>
      <c r="B518" s="8" t="s">
        <v>105</v>
      </c>
      <c r="C518" s="8" t="s">
        <v>1177</v>
      </c>
      <c r="D518" s="26" t="n">
        <v>1133</v>
      </c>
    </row>
    <row r="519" customFormat="false" ht="15" hidden="false" customHeight="true" outlineLevel="0" collapsed="false">
      <c r="A519" s="8" t="s">
        <v>394</v>
      </c>
      <c r="B519" s="8" t="s">
        <v>86</v>
      </c>
      <c r="C519" s="8" t="s">
        <v>1178</v>
      </c>
      <c r="D519" s="26" t="n">
        <v>1989.8</v>
      </c>
    </row>
    <row r="520" customFormat="false" ht="15" hidden="false" customHeight="true" outlineLevel="0" collapsed="false">
      <c r="A520" s="8" t="s">
        <v>394</v>
      </c>
      <c r="B520" s="8" t="s">
        <v>145</v>
      </c>
      <c r="C520" s="8" t="s">
        <v>1179</v>
      </c>
      <c r="D520" s="26" t="n">
        <v>171</v>
      </c>
    </row>
    <row r="521" customFormat="false" ht="15" hidden="false" customHeight="true" outlineLevel="0" collapsed="false">
      <c r="A521" s="8" t="s">
        <v>394</v>
      </c>
      <c r="B521" s="8" t="s">
        <v>78</v>
      </c>
      <c r="C521" s="8" t="s">
        <v>1180</v>
      </c>
      <c r="D521" s="26" t="n">
        <v>1672</v>
      </c>
    </row>
    <row r="522" customFormat="false" ht="15" hidden="false" customHeight="true" outlineLevel="0" collapsed="false">
      <c r="A522" s="8" t="s">
        <v>394</v>
      </c>
      <c r="B522" s="8" t="s">
        <v>78</v>
      </c>
      <c r="C522" s="8" t="s">
        <v>1181</v>
      </c>
      <c r="D522" s="26" t="n">
        <v>431</v>
      </c>
    </row>
    <row r="523" customFormat="false" ht="15" hidden="false" customHeight="true" outlineLevel="0" collapsed="false">
      <c r="A523" s="8" t="s">
        <v>394</v>
      </c>
      <c r="B523" s="8" t="s">
        <v>78</v>
      </c>
      <c r="C523" s="8" t="s">
        <v>1182</v>
      </c>
      <c r="D523" s="26" t="n">
        <v>222</v>
      </c>
    </row>
    <row r="524" customFormat="false" ht="15" hidden="false" customHeight="true" outlineLevel="0" collapsed="false">
      <c r="A524" s="8" t="s">
        <v>394</v>
      </c>
      <c r="B524" s="8" t="s">
        <v>78</v>
      </c>
      <c r="C524" s="8" t="s">
        <v>1183</v>
      </c>
      <c r="D524" s="26" t="n">
        <v>222</v>
      </c>
    </row>
    <row r="525" customFormat="false" ht="15" hidden="false" customHeight="true" outlineLevel="0" collapsed="false">
      <c r="A525" s="8" t="s">
        <v>394</v>
      </c>
      <c r="B525" s="8" t="s">
        <v>1184</v>
      </c>
      <c r="C525" s="8" t="s">
        <v>1185</v>
      </c>
      <c r="D525" s="26" t="n">
        <v>0</v>
      </c>
    </row>
    <row r="526" customFormat="false" ht="15" hidden="false" customHeight="true" outlineLevel="0" collapsed="false">
      <c r="A526" s="8" t="s">
        <v>394</v>
      </c>
      <c r="B526" s="8" t="s">
        <v>94</v>
      </c>
      <c r="C526" s="8" t="s">
        <v>1186</v>
      </c>
      <c r="D526" s="26" t="n">
        <v>426</v>
      </c>
    </row>
    <row r="527" customFormat="false" ht="15" hidden="false" customHeight="true" outlineLevel="0" collapsed="false">
      <c r="A527" s="8" t="s">
        <v>394</v>
      </c>
      <c r="B527" s="8" t="s">
        <v>94</v>
      </c>
      <c r="C527" s="8" t="s">
        <v>1187</v>
      </c>
      <c r="D527" s="26" t="n">
        <v>781</v>
      </c>
    </row>
    <row r="528" customFormat="false" ht="15" hidden="false" customHeight="true" outlineLevel="0" collapsed="false">
      <c r="A528" s="8" t="s">
        <v>394</v>
      </c>
      <c r="B528" s="8" t="s">
        <v>94</v>
      </c>
      <c r="C528" s="8" t="s">
        <v>1188</v>
      </c>
      <c r="D528" s="26" t="n">
        <v>355</v>
      </c>
    </row>
    <row r="529" customFormat="false" ht="15" hidden="false" customHeight="true" outlineLevel="0" collapsed="false">
      <c r="A529" s="8" t="s">
        <v>394</v>
      </c>
      <c r="B529" s="8" t="s">
        <v>92</v>
      </c>
      <c r="C529" s="8" t="s">
        <v>1189</v>
      </c>
      <c r="D529" s="26" t="n">
        <v>639</v>
      </c>
    </row>
    <row r="530" customFormat="false" ht="15" hidden="false" customHeight="true" outlineLevel="0" collapsed="false">
      <c r="A530" s="8" t="s">
        <v>394</v>
      </c>
      <c r="B530" s="8" t="s">
        <v>92</v>
      </c>
      <c r="C530" s="8" t="s">
        <v>1190</v>
      </c>
      <c r="D530" s="26" t="n">
        <v>994</v>
      </c>
    </row>
    <row r="531" customFormat="false" ht="15" hidden="false" customHeight="true" outlineLevel="0" collapsed="false">
      <c r="A531" s="8" t="s">
        <v>394</v>
      </c>
      <c r="B531" s="8" t="s">
        <v>130</v>
      </c>
      <c r="C531" s="8" t="s">
        <v>1191</v>
      </c>
      <c r="D531" s="26" t="n">
        <v>568</v>
      </c>
    </row>
    <row r="532" customFormat="false" ht="15" hidden="false" customHeight="true" outlineLevel="0" collapsed="false">
      <c r="A532" s="8" t="s">
        <v>394</v>
      </c>
      <c r="B532" s="8" t="s">
        <v>1105</v>
      </c>
      <c r="C532" s="8" t="s">
        <v>1106</v>
      </c>
      <c r="D532" s="26" t="n">
        <v>0</v>
      </c>
    </row>
    <row r="533" customFormat="false" ht="15" hidden="false" customHeight="true" outlineLevel="0" collapsed="false">
      <c r="A533" s="8" t="s">
        <v>394</v>
      </c>
      <c r="B533" s="8" t="s">
        <v>1105</v>
      </c>
      <c r="C533" s="8" t="s">
        <v>1107</v>
      </c>
      <c r="D533" s="26" t="n">
        <v>0</v>
      </c>
    </row>
    <row r="534" customFormat="false" ht="15" hidden="false" customHeight="true" outlineLevel="0" collapsed="false">
      <c r="A534" s="8" t="s">
        <v>394</v>
      </c>
      <c r="B534" s="8" t="s">
        <v>1105</v>
      </c>
      <c r="C534" s="8" t="s">
        <v>1108</v>
      </c>
      <c r="D534" s="26" t="n">
        <v>0</v>
      </c>
    </row>
    <row r="535" customFormat="false" ht="15" hidden="false" customHeight="true" outlineLevel="0" collapsed="false">
      <c r="A535" s="8" t="s">
        <v>394</v>
      </c>
      <c r="B535" s="8" t="s">
        <v>1109</v>
      </c>
      <c r="C535" s="8" t="s">
        <v>1110</v>
      </c>
      <c r="D535" s="26" t="n">
        <v>0</v>
      </c>
    </row>
    <row r="536" customFormat="false" ht="15" hidden="false" customHeight="true" outlineLevel="0" collapsed="false">
      <c r="A536" s="8" t="s">
        <v>394</v>
      </c>
      <c r="B536" s="8" t="s">
        <v>1111</v>
      </c>
      <c r="C536" s="8" t="s">
        <v>1110</v>
      </c>
      <c r="D536" s="26" t="n">
        <v>0</v>
      </c>
    </row>
    <row r="537" customFormat="false" ht="15" hidden="false" customHeight="true" outlineLevel="0" collapsed="false">
      <c r="A537" s="8" t="s">
        <v>394</v>
      </c>
      <c r="B537" s="8" t="s">
        <v>1112</v>
      </c>
      <c r="C537" s="8" t="s">
        <v>1110</v>
      </c>
      <c r="D537" s="26" t="n">
        <v>0</v>
      </c>
    </row>
    <row r="538" customFormat="false" ht="15" hidden="false" customHeight="true" outlineLevel="0" collapsed="false">
      <c r="A538" s="8" t="s">
        <v>394</v>
      </c>
      <c r="B538" s="8" t="s">
        <v>1109</v>
      </c>
      <c r="C538" s="8" t="s">
        <v>1113</v>
      </c>
      <c r="D538" s="26" t="n">
        <v>0</v>
      </c>
    </row>
    <row r="539" customFormat="false" ht="15" hidden="false" customHeight="true" outlineLevel="0" collapsed="false">
      <c r="A539" s="8" t="s">
        <v>394</v>
      </c>
      <c r="B539" s="8" t="s">
        <v>1111</v>
      </c>
      <c r="C539" s="8" t="s">
        <v>1113</v>
      </c>
      <c r="D539" s="26" t="n">
        <v>0</v>
      </c>
    </row>
    <row r="540" customFormat="false" ht="15" hidden="false" customHeight="true" outlineLevel="0" collapsed="false">
      <c r="A540" s="8" t="s">
        <v>394</v>
      </c>
      <c r="B540" s="8" t="s">
        <v>1112</v>
      </c>
      <c r="C540" s="8" t="s">
        <v>1113</v>
      </c>
      <c r="D540" s="26" t="n">
        <v>0</v>
      </c>
    </row>
    <row r="541" customFormat="false" ht="15" hidden="false" customHeight="true" outlineLevel="0" collapsed="false">
      <c r="A541" s="8" t="s">
        <v>394</v>
      </c>
      <c r="B541" s="8" t="s">
        <v>77</v>
      </c>
      <c r="C541" s="8" t="s">
        <v>1192</v>
      </c>
      <c r="D541" s="26" t="n">
        <v>2563.6</v>
      </c>
    </row>
    <row r="542" customFormat="false" ht="15" hidden="false" customHeight="true" outlineLevel="0" collapsed="false">
      <c r="A542" s="8" t="s">
        <v>394</v>
      </c>
      <c r="B542" s="8" t="s">
        <v>96</v>
      </c>
      <c r="C542" s="8" t="s">
        <v>1193</v>
      </c>
      <c r="D542" s="26" t="n">
        <v>1496</v>
      </c>
    </row>
    <row r="543" customFormat="false" ht="15" hidden="false" customHeight="true" outlineLevel="0" collapsed="false">
      <c r="A543" s="8" t="s">
        <v>394</v>
      </c>
      <c r="B543" s="8" t="s">
        <v>152</v>
      </c>
      <c r="C543" s="8" t="s">
        <v>767</v>
      </c>
      <c r="D543" s="26" t="n">
        <v>61.5</v>
      </c>
    </row>
    <row r="544" customFormat="false" ht="15" hidden="false" customHeight="true" outlineLevel="0" collapsed="false">
      <c r="A544" s="8" t="s">
        <v>394</v>
      </c>
      <c r="B544" s="8" t="s">
        <v>88</v>
      </c>
      <c r="C544" s="8" t="s">
        <v>1194</v>
      </c>
      <c r="D544" s="26" t="n">
        <v>1932</v>
      </c>
    </row>
    <row r="545" customFormat="false" ht="15" hidden="false" customHeight="true" outlineLevel="0" collapsed="false">
      <c r="A545" s="8" t="s">
        <v>394</v>
      </c>
      <c r="B545" s="8" t="s">
        <v>118</v>
      </c>
      <c r="C545" s="8" t="s">
        <v>1195</v>
      </c>
      <c r="D545" s="26" t="n">
        <v>800</v>
      </c>
    </row>
    <row r="546" customFormat="false" ht="15" hidden="false" customHeight="true" outlineLevel="0" collapsed="false">
      <c r="A546" s="8" t="s">
        <v>394</v>
      </c>
      <c r="B546" s="8" t="s">
        <v>90</v>
      </c>
      <c r="C546" s="8" t="s">
        <v>1115</v>
      </c>
      <c r="D546" s="26" t="n">
        <v>672</v>
      </c>
    </row>
    <row r="547" customFormat="false" ht="15" hidden="false" customHeight="true" outlineLevel="0" collapsed="false">
      <c r="A547" s="8" t="s">
        <v>394</v>
      </c>
      <c r="B547" s="8" t="s">
        <v>90</v>
      </c>
      <c r="C547" s="8" t="s">
        <v>1116</v>
      </c>
      <c r="D547" s="26" t="n">
        <v>1134</v>
      </c>
    </row>
    <row r="548" customFormat="false" ht="15" hidden="false" customHeight="true" outlineLevel="0" collapsed="false">
      <c r="A548" s="8" t="s">
        <v>394</v>
      </c>
      <c r="B548" s="8" t="s">
        <v>1196</v>
      </c>
      <c r="C548" s="8" t="s">
        <v>1197</v>
      </c>
      <c r="D548" s="26" t="n">
        <v>0</v>
      </c>
    </row>
    <row r="549" customFormat="false" ht="15" hidden="false" customHeight="true" outlineLevel="0" collapsed="false">
      <c r="A549" s="8" t="s">
        <v>394</v>
      </c>
      <c r="B549" s="8" t="s">
        <v>134</v>
      </c>
      <c r="C549" s="8" t="s">
        <v>1117</v>
      </c>
      <c r="D549" s="26" t="n">
        <v>429.2</v>
      </c>
    </row>
    <row r="550" customFormat="false" ht="15" hidden="false" customHeight="true" outlineLevel="0" collapsed="false">
      <c r="A550" s="8" t="s">
        <v>394</v>
      </c>
      <c r="B550" s="8" t="s">
        <v>52</v>
      </c>
      <c r="C550" s="8" t="s">
        <v>1118</v>
      </c>
      <c r="D550" s="26" t="n">
        <v>1500</v>
      </c>
    </row>
    <row r="551" customFormat="false" ht="15" hidden="false" customHeight="true" outlineLevel="0" collapsed="false">
      <c r="A551" s="8" t="s">
        <v>394</v>
      </c>
      <c r="B551" s="8" t="s">
        <v>52</v>
      </c>
      <c r="C551" s="8" t="s">
        <v>1119</v>
      </c>
      <c r="D551" s="26" t="n">
        <v>0</v>
      </c>
    </row>
    <row r="552" customFormat="false" ht="15" hidden="false" customHeight="true" outlineLevel="0" collapsed="false">
      <c r="A552" s="8" t="s">
        <v>394</v>
      </c>
      <c r="B552" s="8" t="s">
        <v>52</v>
      </c>
      <c r="C552" s="8" t="s">
        <v>1120</v>
      </c>
      <c r="D552" s="26" t="n">
        <v>2125</v>
      </c>
    </row>
    <row r="553" customFormat="false" ht="15" hidden="false" customHeight="true" outlineLevel="0" collapsed="false">
      <c r="A553" s="8" t="s">
        <v>394</v>
      </c>
      <c r="B553" s="8" t="s">
        <v>52</v>
      </c>
      <c r="C553" s="8" t="s">
        <v>1121</v>
      </c>
      <c r="D553" s="26" t="n">
        <v>3125</v>
      </c>
    </row>
    <row r="554" customFormat="false" ht="15" hidden="false" customHeight="true" outlineLevel="0" collapsed="false">
      <c r="A554" s="8" t="s">
        <v>394</v>
      </c>
      <c r="B554" s="8" t="s">
        <v>52</v>
      </c>
      <c r="C554" s="8" t="s">
        <v>1122</v>
      </c>
      <c r="D554" s="26" t="n">
        <v>3250</v>
      </c>
    </row>
    <row r="555" customFormat="false" ht="15" hidden="false" customHeight="true" outlineLevel="0" collapsed="false">
      <c r="A555" s="8" t="s">
        <v>394</v>
      </c>
      <c r="B555" s="8" t="s">
        <v>52</v>
      </c>
      <c r="C555" s="8" t="s">
        <v>1198</v>
      </c>
      <c r="D555" s="26" t="n">
        <v>2125</v>
      </c>
    </row>
    <row r="556" customFormat="false" ht="15" hidden="false" customHeight="true" outlineLevel="0" collapsed="false">
      <c r="A556" s="8" t="s">
        <v>1123</v>
      </c>
      <c r="B556" s="8" t="s">
        <v>80</v>
      </c>
      <c r="C556" s="8" t="s">
        <v>395</v>
      </c>
      <c r="D556" s="26" t="n">
        <v>61</v>
      </c>
    </row>
    <row r="557" customFormat="false" ht="15" hidden="false" customHeight="true" outlineLevel="0" collapsed="false">
      <c r="A557" s="8" t="s">
        <v>1123</v>
      </c>
      <c r="B557" s="8" t="s">
        <v>80</v>
      </c>
      <c r="C557" s="8" t="s">
        <v>396</v>
      </c>
      <c r="D557" s="26" t="n">
        <v>86</v>
      </c>
    </row>
    <row r="558" customFormat="false" ht="15" hidden="false" customHeight="true" outlineLevel="0" collapsed="false">
      <c r="A558" s="8" t="s">
        <v>1123</v>
      </c>
      <c r="B558" s="8" t="s">
        <v>121</v>
      </c>
      <c r="C558" s="8" t="s">
        <v>397</v>
      </c>
      <c r="D558" s="26" t="n">
        <v>138</v>
      </c>
    </row>
    <row r="559" customFormat="false" ht="15" hidden="false" customHeight="true" outlineLevel="0" collapsed="false">
      <c r="A559" s="8" t="s">
        <v>1123</v>
      </c>
      <c r="B559" s="8" t="s">
        <v>398</v>
      </c>
      <c r="C559" s="8" t="s">
        <v>399</v>
      </c>
      <c r="D559" s="26" t="n">
        <v>0</v>
      </c>
    </row>
    <row r="560" customFormat="false" ht="15" hidden="false" customHeight="true" outlineLevel="0" collapsed="false">
      <c r="A560" s="8" t="s">
        <v>1123</v>
      </c>
      <c r="B560" s="8" t="s">
        <v>400</v>
      </c>
      <c r="C560" s="8" t="s">
        <v>401</v>
      </c>
      <c r="D560" s="26" t="n">
        <v>0</v>
      </c>
    </row>
    <row r="561" customFormat="false" ht="15" hidden="false" customHeight="true" outlineLevel="0" collapsed="false">
      <c r="A561" s="8" t="s">
        <v>1123</v>
      </c>
      <c r="B561" s="8" t="s">
        <v>402</v>
      </c>
      <c r="C561" s="8" t="s">
        <v>403</v>
      </c>
      <c r="D561" s="26" t="n">
        <v>0</v>
      </c>
    </row>
    <row r="562" customFormat="false" ht="15" hidden="false" customHeight="true" outlineLevel="0" collapsed="false">
      <c r="A562" s="8" t="s">
        <v>1123</v>
      </c>
      <c r="B562" s="8" t="s">
        <v>404</v>
      </c>
      <c r="C562" s="8" t="s">
        <v>405</v>
      </c>
      <c r="D562" s="26" t="n">
        <v>0</v>
      </c>
    </row>
    <row r="563" customFormat="false" ht="15" hidden="false" customHeight="true" outlineLevel="0" collapsed="false">
      <c r="A563" s="8" t="s">
        <v>1123</v>
      </c>
      <c r="B563" s="8" t="s">
        <v>125</v>
      </c>
      <c r="C563" s="8" t="s">
        <v>406</v>
      </c>
      <c r="D563" s="26" t="n">
        <v>41</v>
      </c>
    </row>
    <row r="564" customFormat="false" ht="15" hidden="false" customHeight="true" outlineLevel="0" collapsed="false">
      <c r="A564" s="8" t="s">
        <v>1123</v>
      </c>
      <c r="B564" s="8" t="s">
        <v>110</v>
      </c>
      <c r="C564" s="8" t="s">
        <v>407</v>
      </c>
      <c r="D564" s="26" t="n">
        <v>78</v>
      </c>
    </row>
    <row r="565" customFormat="false" ht="15" hidden="false" customHeight="true" outlineLevel="0" collapsed="false">
      <c r="A565" s="8" t="s">
        <v>1123</v>
      </c>
      <c r="B565" s="8" t="s">
        <v>75</v>
      </c>
      <c r="C565" s="8" t="s">
        <v>1128</v>
      </c>
      <c r="D565" s="26" t="n">
        <v>56</v>
      </c>
    </row>
    <row r="566" customFormat="false" ht="15" hidden="false" customHeight="true" outlineLevel="0" collapsed="false">
      <c r="A566" s="8" t="s">
        <v>1123</v>
      </c>
      <c r="B566" s="8" t="s">
        <v>129</v>
      </c>
      <c r="C566" s="8" t="s">
        <v>408</v>
      </c>
      <c r="D566" s="26" t="n">
        <v>2</v>
      </c>
    </row>
    <row r="567" customFormat="false" ht="15" hidden="false" customHeight="true" outlineLevel="0" collapsed="false">
      <c r="A567" s="8" t="s">
        <v>1123</v>
      </c>
      <c r="B567" s="8" t="s">
        <v>129</v>
      </c>
      <c r="C567" s="8" t="s">
        <v>409</v>
      </c>
      <c r="D567" s="26" t="n">
        <v>6</v>
      </c>
    </row>
    <row r="568" customFormat="false" ht="15" hidden="false" customHeight="true" outlineLevel="0" collapsed="false">
      <c r="A568" s="8" t="s">
        <v>1123</v>
      </c>
      <c r="B568" s="8" t="s">
        <v>129</v>
      </c>
      <c r="C568" s="8" t="s">
        <v>410</v>
      </c>
      <c r="D568" s="26" t="n">
        <v>18</v>
      </c>
    </row>
    <row r="569" customFormat="false" ht="15" hidden="false" customHeight="true" outlineLevel="0" collapsed="false">
      <c r="A569" s="8" t="s">
        <v>1123</v>
      </c>
      <c r="B569" s="8" t="s">
        <v>148</v>
      </c>
      <c r="C569" s="8" t="s">
        <v>411</v>
      </c>
      <c r="D569" s="26" t="n">
        <v>5</v>
      </c>
    </row>
    <row r="570" customFormat="false" ht="15" hidden="false" customHeight="true" outlineLevel="0" collapsed="false">
      <c r="A570" s="8" t="s">
        <v>1123</v>
      </c>
      <c r="B570" s="8" t="s">
        <v>148</v>
      </c>
      <c r="C570" s="8" t="s">
        <v>412</v>
      </c>
      <c r="D570" s="26" t="n">
        <v>0</v>
      </c>
    </row>
    <row r="571" customFormat="false" ht="15" hidden="false" customHeight="true" outlineLevel="0" collapsed="false">
      <c r="A571" s="8" t="s">
        <v>1123</v>
      </c>
      <c r="B571" s="8" t="s">
        <v>153</v>
      </c>
      <c r="C571" s="8" t="s">
        <v>413</v>
      </c>
      <c r="D571" s="26" t="n">
        <v>3</v>
      </c>
    </row>
    <row r="572" customFormat="false" ht="15" hidden="false" customHeight="true" outlineLevel="0" collapsed="false">
      <c r="A572" s="8" t="s">
        <v>1123</v>
      </c>
      <c r="B572" s="8" t="s">
        <v>414</v>
      </c>
      <c r="C572" s="8" t="s">
        <v>415</v>
      </c>
      <c r="D572" s="26" t="n">
        <v>0</v>
      </c>
    </row>
    <row r="573" customFormat="false" ht="15" hidden="false" customHeight="true" outlineLevel="0" collapsed="false">
      <c r="A573" s="8" t="s">
        <v>1123</v>
      </c>
      <c r="B573" s="8" t="s">
        <v>414</v>
      </c>
      <c r="C573" s="8" t="s">
        <v>416</v>
      </c>
      <c r="D573" s="26" t="n">
        <v>0</v>
      </c>
    </row>
    <row r="574" customFormat="false" ht="15" hidden="false" customHeight="true" outlineLevel="0" collapsed="false">
      <c r="A574" s="8" t="s">
        <v>1123</v>
      </c>
      <c r="B574" s="8" t="s">
        <v>414</v>
      </c>
      <c r="C574" s="8" t="s">
        <v>417</v>
      </c>
      <c r="D574" s="26" t="n">
        <v>0</v>
      </c>
    </row>
    <row r="575" customFormat="false" ht="15" hidden="false" customHeight="true" outlineLevel="0" collapsed="false">
      <c r="A575" s="8" t="s">
        <v>1123</v>
      </c>
      <c r="B575" s="8" t="s">
        <v>418</v>
      </c>
      <c r="C575" s="8" t="s">
        <v>419</v>
      </c>
      <c r="D575" s="26" t="n">
        <v>0</v>
      </c>
    </row>
    <row r="576" customFormat="false" ht="15" hidden="false" customHeight="true" outlineLevel="0" collapsed="false">
      <c r="A576" s="8" t="s">
        <v>1123</v>
      </c>
      <c r="B576" s="8" t="s">
        <v>133</v>
      </c>
      <c r="C576" s="8" t="s">
        <v>408</v>
      </c>
      <c r="D576" s="26" t="n">
        <v>7</v>
      </c>
    </row>
    <row r="577" customFormat="false" ht="15" hidden="false" customHeight="true" outlineLevel="0" collapsed="false">
      <c r="A577" s="8" t="s">
        <v>1123</v>
      </c>
      <c r="B577" s="8" t="s">
        <v>133</v>
      </c>
      <c r="C577" s="8" t="s">
        <v>420</v>
      </c>
      <c r="D577" s="26" t="n">
        <v>0</v>
      </c>
    </row>
    <row r="578" customFormat="false" ht="15" hidden="false" customHeight="true" outlineLevel="0" collapsed="false">
      <c r="A578" s="8" t="s">
        <v>1123</v>
      </c>
      <c r="B578" s="8" t="s">
        <v>133</v>
      </c>
      <c r="C578" s="8" t="s">
        <v>421</v>
      </c>
      <c r="D578" s="26" t="n">
        <v>18</v>
      </c>
    </row>
    <row r="579" customFormat="false" ht="15" hidden="false" customHeight="true" outlineLevel="0" collapsed="false">
      <c r="A579" s="8" t="s">
        <v>1123</v>
      </c>
      <c r="B579" s="8" t="s">
        <v>422</v>
      </c>
      <c r="C579" s="8" t="s">
        <v>423</v>
      </c>
      <c r="D579" s="26" t="n">
        <v>0</v>
      </c>
    </row>
    <row r="580" customFormat="false" ht="15" hidden="false" customHeight="true" outlineLevel="0" collapsed="false">
      <c r="A580" s="8" t="s">
        <v>1123</v>
      </c>
      <c r="B580" s="8" t="s">
        <v>422</v>
      </c>
      <c r="C580" s="8" t="s">
        <v>424</v>
      </c>
      <c r="D580" s="26" t="n">
        <v>0</v>
      </c>
    </row>
    <row r="581" customFormat="false" ht="15" hidden="false" customHeight="true" outlineLevel="0" collapsed="false">
      <c r="A581" s="8" t="s">
        <v>1123</v>
      </c>
      <c r="B581" s="8" t="s">
        <v>422</v>
      </c>
      <c r="C581" s="8" t="s">
        <v>425</v>
      </c>
      <c r="D581" s="26" t="n">
        <v>0</v>
      </c>
    </row>
    <row r="582" customFormat="false" ht="15" hidden="false" customHeight="true" outlineLevel="0" collapsed="false">
      <c r="A582" s="8" t="s">
        <v>1123</v>
      </c>
      <c r="B582" s="8" t="s">
        <v>122</v>
      </c>
      <c r="C582" s="8" t="s">
        <v>426</v>
      </c>
      <c r="D582" s="26" t="n">
        <v>7</v>
      </c>
    </row>
    <row r="583" customFormat="false" ht="15" hidden="false" customHeight="true" outlineLevel="0" collapsed="false">
      <c r="A583" s="8" t="s">
        <v>1123</v>
      </c>
      <c r="B583" s="8" t="s">
        <v>122</v>
      </c>
      <c r="C583" s="8" t="s">
        <v>427</v>
      </c>
      <c r="D583" s="26" t="n">
        <v>15</v>
      </c>
    </row>
    <row r="584" customFormat="false" ht="15" hidden="false" customHeight="true" outlineLevel="0" collapsed="false">
      <c r="A584" s="8" t="s">
        <v>1123</v>
      </c>
      <c r="B584" s="8" t="s">
        <v>122</v>
      </c>
      <c r="C584" s="8" t="s">
        <v>428</v>
      </c>
      <c r="D584" s="26" t="n">
        <v>19</v>
      </c>
    </row>
    <row r="585" customFormat="false" ht="15" hidden="false" customHeight="true" outlineLevel="0" collapsed="false">
      <c r="A585" s="8" t="s">
        <v>1123</v>
      </c>
      <c r="B585" s="8" t="s">
        <v>436</v>
      </c>
      <c r="C585" s="8" t="s">
        <v>437</v>
      </c>
      <c r="D585" s="26" t="n">
        <v>0</v>
      </c>
    </row>
    <row r="586" customFormat="false" ht="15" hidden="false" customHeight="true" outlineLevel="0" collapsed="false">
      <c r="A586" s="8" t="s">
        <v>1123</v>
      </c>
      <c r="B586" s="8" t="s">
        <v>436</v>
      </c>
      <c r="C586" s="8" t="s">
        <v>438</v>
      </c>
      <c r="D586" s="26" t="n">
        <v>0</v>
      </c>
    </row>
    <row r="587" customFormat="false" ht="15" hidden="false" customHeight="true" outlineLevel="0" collapsed="false">
      <c r="A587" s="8" t="s">
        <v>1123</v>
      </c>
      <c r="B587" s="8" t="s">
        <v>436</v>
      </c>
      <c r="C587" s="8" t="s">
        <v>439</v>
      </c>
      <c r="D587" s="26" t="n">
        <v>0</v>
      </c>
    </row>
    <row r="588" customFormat="false" ht="15" hidden="false" customHeight="true" outlineLevel="0" collapsed="false">
      <c r="A588" s="8" t="s">
        <v>1123</v>
      </c>
      <c r="B588" s="8" t="s">
        <v>436</v>
      </c>
      <c r="C588" s="8" t="s">
        <v>440</v>
      </c>
      <c r="D588" s="26" t="n">
        <v>0</v>
      </c>
    </row>
    <row r="589" customFormat="false" ht="15" hidden="false" customHeight="true" outlineLevel="0" collapsed="false">
      <c r="A589" s="8" t="s">
        <v>1123</v>
      </c>
      <c r="B589" s="8" t="s">
        <v>73</v>
      </c>
      <c r="C589" s="8" t="s">
        <v>442</v>
      </c>
      <c r="D589" s="26" t="n">
        <v>0</v>
      </c>
    </row>
    <row r="590" customFormat="false" ht="15" hidden="false" customHeight="true" outlineLevel="0" collapsed="false">
      <c r="A590" s="8" t="s">
        <v>1123</v>
      </c>
      <c r="B590" s="8" t="s">
        <v>73</v>
      </c>
      <c r="C590" s="8" t="s">
        <v>443</v>
      </c>
      <c r="D590" s="26" t="n">
        <v>7</v>
      </c>
    </row>
    <row r="591" customFormat="false" ht="15" hidden="false" customHeight="true" outlineLevel="0" collapsed="false">
      <c r="A591" s="8" t="s">
        <v>1123</v>
      </c>
      <c r="B591" s="8" t="s">
        <v>73</v>
      </c>
      <c r="C591" s="8" t="s">
        <v>444</v>
      </c>
      <c r="D591" s="26" t="n">
        <v>2</v>
      </c>
    </row>
    <row r="592" customFormat="false" ht="15" hidden="false" customHeight="true" outlineLevel="0" collapsed="false">
      <c r="A592" s="8" t="s">
        <v>1123</v>
      </c>
      <c r="B592" s="8" t="s">
        <v>73</v>
      </c>
      <c r="C592" s="8" t="s">
        <v>445</v>
      </c>
      <c r="D592" s="26" t="n">
        <v>5</v>
      </c>
    </row>
    <row r="593" customFormat="false" ht="15" hidden="false" customHeight="true" outlineLevel="0" collapsed="false">
      <c r="A593" s="8" t="s">
        <v>1123</v>
      </c>
      <c r="B593" s="8" t="s">
        <v>73</v>
      </c>
      <c r="C593" s="8" t="s">
        <v>446</v>
      </c>
      <c r="D593" s="26" t="n">
        <v>7</v>
      </c>
    </row>
    <row r="594" customFormat="false" ht="15" hidden="false" customHeight="true" outlineLevel="0" collapsed="false">
      <c r="A594" s="8" t="s">
        <v>1123</v>
      </c>
      <c r="B594" s="8" t="s">
        <v>449</v>
      </c>
      <c r="C594" s="8" t="s">
        <v>450</v>
      </c>
      <c r="D594" s="26" t="n">
        <v>0</v>
      </c>
    </row>
    <row r="595" customFormat="false" ht="15" hidden="false" customHeight="true" outlineLevel="0" collapsed="false">
      <c r="A595" s="8" t="s">
        <v>1123</v>
      </c>
      <c r="B595" s="8" t="s">
        <v>449</v>
      </c>
      <c r="C595" s="8" t="s">
        <v>451</v>
      </c>
      <c r="D595" s="26" t="n">
        <v>0</v>
      </c>
    </row>
    <row r="596" customFormat="false" ht="15" hidden="false" customHeight="true" outlineLevel="0" collapsed="false">
      <c r="A596" s="8" t="s">
        <v>1123</v>
      </c>
      <c r="B596" s="8" t="s">
        <v>449</v>
      </c>
      <c r="C596" s="8" t="s">
        <v>452</v>
      </c>
      <c r="D596" s="26" t="n">
        <v>0</v>
      </c>
    </row>
    <row r="597" customFormat="false" ht="15" hidden="false" customHeight="true" outlineLevel="0" collapsed="false">
      <c r="A597" s="8" t="s">
        <v>1123</v>
      </c>
      <c r="B597" s="8" t="s">
        <v>449</v>
      </c>
      <c r="C597" s="8" t="s">
        <v>453</v>
      </c>
      <c r="D597" s="26" t="n">
        <v>0</v>
      </c>
    </row>
    <row r="598" customFormat="false" ht="15" hidden="false" customHeight="true" outlineLevel="0" collapsed="false">
      <c r="A598" s="8" t="s">
        <v>1123</v>
      </c>
      <c r="B598" s="8" t="s">
        <v>449</v>
      </c>
      <c r="C598" s="8" t="s">
        <v>454</v>
      </c>
      <c r="D598" s="26" t="n">
        <v>0</v>
      </c>
    </row>
    <row r="599" customFormat="false" ht="15" hidden="false" customHeight="true" outlineLevel="0" collapsed="false">
      <c r="A599" s="8" t="s">
        <v>1123</v>
      </c>
      <c r="B599" s="8" t="s">
        <v>59</v>
      </c>
      <c r="C599" s="8" t="s">
        <v>455</v>
      </c>
      <c r="D599" s="26" t="n">
        <v>2</v>
      </c>
    </row>
    <row r="600" customFormat="false" ht="15" hidden="false" customHeight="true" outlineLevel="0" collapsed="false">
      <c r="A600" s="8" t="s">
        <v>1123</v>
      </c>
      <c r="B600" s="8" t="s">
        <v>59</v>
      </c>
      <c r="C600" s="8" t="s">
        <v>456</v>
      </c>
      <c r="D600" s="26" t="n">
        <v>29</v>
      </c>
    </row>
    <row r="601" customFormat="false" ht="15" hidden="false" customHeight="true" outlineLevel="0" collapsed="false">
      <c r="A601" s="8" t="s">
        <v>1123</v>
      </c>
      <c r="B601" s="8" t="s">
        <v>59</v>
      </c>
      <c r="C601" s="8" t="s">
        <v>457</v>
      </c>
      <c r="D601" s="26" t="n">
        <v>20</v>
      </c>
    </row>
    <row r="602" customFormat="false" ht="15" hidden="false" customHeight="true" outlineLevel="0" collapsed="false">
      <c r="A602" s="8" t="s">
        <v>1123</v>
      </c>
      <c r="B602" s="8" t="s">
        <v>59</v>
      </c>
      <c r="C602" s="8" t="s">
        <v>458</v>
      </c>
      <c r="D602" s="26" t="n">
        <v>36</v>
      </c>
    </row>
    <row r="603" customFormat="false" ht="15" hidden="false" customHeight="true" outlineLevel="0" collapsed="false">
      <c r="A603" s="8" t="s">
        <v>1123</v>
      </c>
      <c r="B603" s="8" t="s">
        <v>59</v>
      </c>
      <c r="C603" s="8" t="s">
        <v>459</v>
      </c>
      <c r="D603" s="26" t="n">
        <v>20</v>
      </c>
    </row>
    <row r="604" customFormat="false" ht="15" hidden="false" customHeight="true" outlineLevel="0" collapsed="false">
      <c r="A604" s="8" t="s">
        <v>1123</v>
      </c>
      <c r="B604" s="8" t="s">
        <v>460</v>
      </c>
      <c r="C604" s="8" t="s">
        <v>1129</v>
      </c>
      <c r="D604" s="26" t="n">
        <v>0</v>
      </c>
    </row>
    <row r="605" customFormat="false" ht="15" hidden="false" customHeight="true" outlineLevel="0" collapsed="false">
      <c r="A605" s="8" t="s">
        <v>1123</v>
      </c>
      <c r="B605" s="8" t="s">
        <v>462</v>
      </c>
      <c r="C605" s="8" t="s">
        <v>1130</v>
      </c>
      <c r="D605" s="26" t="n">
        <v>0</v>
      </c>
    </row>
    <row r="606" customFormat="false" ht="15" hidden="false" customHeight="true" outlineLevel="0" collapsed="false">
      <c r="A606" s="8" t="s">
        <v>1123</v>
      </c>
      <c r="B606" s="8" t="s">
        <v>462</v>
      </c>
      <c r="C606" s="8" t="s">
        <v>463</v>
      </c>
      <c r="D606" s="26" t="n">
        <v>0</v>
      </c>
    </row>
    <row r="607" customFormat="false" ht="15" hidden="false" customHeight="true" outlineLevel="0" collapsed="false">
      <c r="A607" s="8" t="s">
        <v>1123</v>
      </c>
      <c r="B607" s="8" t="s">
        <v>462</v>
      </c>
      <c r="C607" s="8" t="s">
        <v>1131</v>
      </c>
      <c r="D607" s="26" t="n">
        <v>0</v>
      </c>
    </row>
    <row r="608" customFormat="false" ht="15" hidden="false" customHeight="true" outlineLevel="0" collapsed="false">
      <c r="A608" s="8" t="s">
        <v>1123</v>
      </c>
      <c r="B608" s="8" t="s">
        <v>462</v>
      </c>
      <c r="C608" s="8" t="s">
        <v>464</v>
      </c>
      <c r="D608" s="26" t="n">
        <v>0</v>
      </c>
    </row>
    <row r="609" customFormat="false" ht="15" hidden="false" customHeight="true" outlineLevel="0" collapsed="false">
      <c r="A609" s="8" t="s">
        <v>1123</v>
      </c>
      <c r="B609" s="8" t="s">
        <v>465</v>
      </c>
      <c r="C609" s="8" t="s">
        <v>466</v>
      </c>
      <c r="D609" s="26" t="n">
        <v>0</v>
      </c>
    </row>
    <row r="610" customFormat="false" ht="15" hidden="false" customHeight="true" outlineLevel="0" collapsed="false">
      <c r="A610" s="8" t="s">
        <v>1123</v>
      </c>
      <c r="B610" s="8" t="s">
        <v>465</v>
      </c>
      <c r="C610" s="8" t="s">
        <v>467</v>
      </c>
      <c r="D610" s="26" t="n">
        <v>0</v>
      </c>
    </row>
    <row r="611" customFormat="false" ht="15" hidden="false" customHeight="true" outlineLevel="0" collapsed="false">
      <c r="A611" s="8" t="s">
        <v>1123</v>
      </c>
      <c r="B611" s="8" t="s">
        <v>465</v>
      </c>
      <c r="C611" s="8" t="s">
        <v>468</v>
      </c>
      <c r="D611" s="26" t="n">
        <v>0</v>
      </c>
    </row>
    <row r="612" customFormat="false" ht="15" hidden="false" customHeight="true" outlineLevel="0" collapsed="false">
      <c r="A612" s="8" t="s">
        <v>1123</v>
      </c>
      <c r="B612" s="8" t="s">
        <v>465</v>
      </c>
      <c r="C612" s="8" t="s">
        <v>469</v>
      </c>
      <c r="D612" s="26" t="n">
        <v>0</v>
      </c>
    </row>
    <row r="613" customFormat="false" ht="15" hidden="false" customHeight="true" outlineLevel="0" collapsed="false">
      <c r="A613" s="8" t="s">
        <v>1123</v>
      </c>
      <c r="B613" s="8" t="s">
        <v>465</v>
      </c>
      <c r="C613" s="8" t="s">
        <v>470</v>
      </c>
      <c r="D613" s="26" t="n">
        <v>0</v>
      </c>
    </row>
    <row r="614" customFormat="false" ht="15" hidden="false" customHeight="true" outlineLevel="0" collapsed="false">
      <c r="A614" s="8" t="s">
        <v>1123</v>
      </c>
      <c r="B614" s="8" t="s">
        <v>56</v>
      </c>
      <c r="C614" s="8" t="s">
        <v>471</v>
      </c>
      <c r="D614" s="26" t="n">
        <v>62</v>
      </c>
    </row>
    <row r="615" customFormat="false" ht="15" hidden="false" customHeight="true" outlineLevel="0" collapsed="false">
      <c r="A615" s="8" t="s">
        <v>1123</v>
      </c>
      <c r="B615" s="8" t="s">
        <v>56</v>
      </c>
      <c r="C615" s="8" t="s">
        <v>472</v>
      </c>
      <c r="D615" s="26" t="n">
        <v>120</v>
      </c>
    </row>
    <row r="616" customFormat="false" ht="15" hidden="false" customHeight="true" outlineLevel="0" collapsed="false">
      <c r="A616" s="8" t="s">
        <v>1123</v>
      </c>
      <c r="B616" s="8" t="s">
        <v>56</v>
      </c>
      <c r="C616" s="8" t="s">
        <v>473</v>
      </c>
      <c r="D616" s="26" t="n">
        <v>154</v>
      </c>
    </row>
    <row r="617" customFormat="false" ht="15" hidden="false" customHeight="true" outlineLevel="0" collapsed="false">
      <c r="A617" s="8" t="s">
        <v>1123</v>
      </c>
      <c r="B617" s="8" t="s">
        <v>56</v>
      </c>
      <c r="C617" s="8" t="s">
        <v>474</v>
      </c>
      <c r="D617" s="26" t="n">
        <v>46</v>
      </c>
    </row>
    <row r="618" customFormat="false" ht="15" hidden="false" customHeight="true" outlineLevel="0" collapsed="false">
      <c r="A618" s="8" t="s">
        <v>1123</v>
      </c>
      <c r="B618" s="8" t="s">
        <v>475</v>
      </c>
      <c r="C618" s="8" t="s">
        <v>477</v>
      </c>
      <c r="D618" s="26" t="n">
        <v>0</v>
      </c>
    </row>
    <row r="619" customFormat="false" ht="15" hidden="false" customHeight="true" outlineLevel="0" collapsed="false">
      <c r="A619" s="8" t="s">
        <v>1123</v>
      </c>
      <c r="B619" s="8" t="s">
        <v>475</v>
      </c>
      <c r="C619" s="8" t="s">
        <v>479</v>
      </c>
      <c r="D619" s="26" t="n">
        <v>0</v>
      </c>
    </row>
    <row r="620" customFormat="false" ht="15" hidden="false" customHeight="true" outlineLevel="0" collapsed="false">
      <c r="A620" s="8" t="s">
        <v>1123</v>
      </c>
      <c r="B620" s="8" t="s">
        <v>480</v>
      </c>
      <c r="C620" s="8" t="s">
        <v>481</v>
      </c>
      <c r="D620" s="26" t="n">
        <v>0</v>
      </c>
    </row>
    <row r="621" customFormat="false" ht="15" hidden="false" customHeight="true" outlineLevel="0" collapsed="false">
      <c r="A621" s="8" t="s">
        <v>1123</v>
      </c>
      <c r="B621" s="8" t="s">
        <v>101</v>
      </c>
      <c r="C621" s="8" t="s">
        <v>482</v>
      </c>
      <c r="D621" s="26" t="n">
        <v>0</v>
      </c>
    </row>
    <row r="622" customFormat="false" ht="15" hidden="false" customHeight="true" outlineLevel="0" collapsed="false">
      <c r="A622" s="8" t="s">
        <v>1123</v>
      </c>
      <c r="B622" s="8" t="s">
        <v>101</v>
      </c>
      <c r="C622" s="8" t="s">
        <v>483</v>
      </c>
      <c r="D622" s="26" t="n">
        <v>2</v>
      </c>
    </row>
    <row r="623" customFormat="false" ht="15" hidden="false" customHeight="true" outlineLevel="0" collapsed="false">
      <c r="A623" s="8" t="s">
        <v>1123</v>
      </c>
      <c r="B623" s="8" t="s">
        <v>101</v>
      </c>
      <c r="C623" s="8" t="s">
        <v>484</v>
      </c>
      <c r="D623" s="26" t="n">
        <v>3</v>
      </c>
    </row>
    <row r="624" customFormat="false" ht="15" hidden="false" customHeight="true" outlineLevel="0" collapsed="false">
      <c r="A624" s="8" t="s">
        <v>1123</v>
      </c>
      <c r="B624" s="8" t="s">
        <v>101</v>
      </c>
      <c r="C624" s="8" t="s">
        <v>485</v>
      </c>
      <c r="D624" s="26" t="n">
        <v>2</v>
      </c>
    </row>
    <row r="625" customFormat="false" ht="15" hidden="false" customHeight="true" outlineLevel="0" collapsed="false">
      <c r="A625" s="8" t="s">
        <v>1123</v>
      </c>
      <c r="B625" s="8" t="s">
        <v>103</v>
      </c>
      <c r="C625" s="8" t="s">
        <v>1132</v>
      </c>
      <c r="D625" s="26" t="n">
        <v>2</v>
      </c>
    </row>
    <row r="626" customFormat="false" ht="15" hidden="false" customHeight="true" outlineLevel="0" collapsed="false">
      <c r="A626" s="8" t="s">
        <v>1123</v>
      </c>
      <c r="B626" s="8" t="s">
        <v>103</v>
      </c>
      <c r="C626" s="8" t="s">
        <v>486</v>
      </c>
      <c r="D626" s="26" t="n">
        <v>7</v>
      </c>
    </row>
    <row r="627" customFormat="false" ht="15" hidden="false" customHeight="true" outlineLevel="0" collapsed="false">
      <c r="A627" s="8" t="s">
        <v>1123</v>
      </c>
      <c r="B627" s="8" t="s">
        <v>103</v>
      </c>
      <c r="C627" s="8" t="s">
        <v>487</v>
      </c>
      <c r="D627" s="26" t="n">
        <v>1</v>
      </c>
    </row>
    <row r="628" customFormat="false" ht="15" hidden="false" customHeight="true" outlineLevel="0" collapsed="false">
      <c r="A628" s="8" t="s">
        <v>1123</v>
      </c>
      <c r="B628" s="8" t="s">
        <v>103</v>
      </c>
      <c r="C628" s="8" t="s">
        <v>1133</v>
      </c>
      <c r="D628" s="26" t="n">
        <v>0</v>
      </c>
    </row>
    <row r="629" customFormat="false" ht="15" hidden="false" customHeight="true" outlineLevel="0" collapsed="false">
      <c r="A629" s="8" t="s">
        <v>1123</v>
      </c>
      <c r="B629" s="8" t="s">
        <v>97</v>
      </c>
      <c r="C629" s="8" t="s">
        <v>489</v>
      </c>
      <c r="D629" s="26" t="n">
        <v>3</v>
      </c>
    </row>
    <row r="630" customFormat="false" ht="15" hidden="false" customHeight="true" outlineLevel="0" collapsed="false">
      <c r="A630" s="8" t="s">
        <v>1123</v>
      </c>
      <c r="B630" s="8" t="s">
        <v>97</v>
      </c>
      <c r="C630" s="8" t="s">
        <v>490</v>
      </c>
      <c r="D630" s="26" t="n">
        <v>10</v>
      </c>
    </row>
    <row r="631" customFormat="false" ht="15" hidden="false" customHeight="true" outlineLevel="0" collapsed="false">
      <c r="A631" s="8" t="s">
        <v>1123</v>
      </c>
      <c r="B631" s="8" t="s">
        <v>97</v>
      </c>
      <c r="C631" s="8" t="s">
        <v>491</v>
      </c>
      <c r="D631" s="26" t="n">
        <v>0</v>
      </c>
    </row>
    <row r="632" customFormat="false" ht="15" hidden="false" customHeight="true" outlineLevel="0" collapsed="false">
      <c r="A632" s="8" t="s">
        <v>1123</v>
      </c>
      <c r="B632" s="8" t="s">
        <v>492</v>
      </c>
      <c r="C632" s="8" t="s">
        <v>493</v>
      </c>
      <c r="D632" s="26" t="n">
        <v>0</v>
      </c>
    </row>
    <row r="633" customFormat="false" ht="15" hidden="false" customHeight="true" outlineLevel="0" collapsed="false">
      <c r="A633" s="8" t="s">
        <v>1123</v>
      </c>
      <c r="B633" s="8" t="s">
        <v>1124</v>
      </c>
      <c r="C633" s="8" t="s">
        <v>493</v>
      </c>
      <c r="D633" s="26" t="n">
        <v>0</v>
      </c>
    </row>
    <row r="634" customFormat="false" ht="15" hidden="false" customHeight="true" outlineLevel="0" collapsed="false">
      <c r="A634" s="8" t="s">
        <v>1123</v>
      </c>
      <c r="B634" s="8" t="s">
        <v>1134</v>
      </c>
      <c r="C634" s="8" t="s">
        <v>493</v>
      </c>
      <c r="D634" s="26" t="n">
        <v>0</v>
      </c>
    </row>
    <row r="635" customFormat="false" ht="15" hidden="false" customHeight="true" outlineLevel="0" collapsed="false">
      <c r="A635" s="8" t="s">
        <v>1123</v>
      </c>
      <c r="B635" s="8" t="s">
        <v>496</v>
      </c>
      <c r="C635" s="8" t="s">
        <v>497</v>
      </c>
      <c r="D635" s="26" t="n">
        <v>0</v>
      </c>
    </row>
    <row r="636" customFormat="false" ht="15" hidden="false" customHeight="true" outlineLevel="0" collapsed="false">
      <c r="A636" s="8" t="s">
        <v>1123</v>
      </c>
      <c r="B636" s="8" t="s">
        <v>498</v>
      </c>
      <c r="C636" s="8" t="s">
        <v>499</v>
      </c>
      <c r="D636" s="26" t="n">
        <v>0</v>
      </c>
    </row>
    <row r="637" customFormat="false" ht="15" hidden="false" customHeight="true" outlineLevel="0" collapsed="false">
      <c r="A637" s="8" t="s">
        <v>1123</v>
      </c>
      <c r="B637" s="8" t="s">
        <v>498</v>
      </c>
      <c r="C637" s="8" t="s">
        <v>500</v>
      </c>
      <c r="D637" s="26" t="n">
        <v>0</v>
      </c>
    </row>
    <row r="638" customFormat="false" ht="15" hidden="false" customHeight="true" outlineLevel="0" collapsed="false">
      <c r="A638" s="8" t="s">
        <v>1123</v>
      </c>
      <c r="B638" s="8" t="s">
        <v>498</v>
      </c>
      <c r="C638" s="8" t="s">
        <v>501</v>
      </c>
      <c r="D638" s="26" t="n">
        <v>0</v>
      </c>
    </row>
    <row r="639" customFormat="false" ht="15" hidden="false" customHeight="true" outlineLevel="0" collapsed="false">
      <c r="A639" s="8" t="s">
        <v>1123</v>
      </c>
      <c r="B639" s="8" t="s">
        <v>498</v>
      </c>
      <c r="C639" s="8" t="s">
        <v>502</v>
      </c>
      <c r="D639" s="26" t="n">
        <v>0</v>
      </c>
    </row>
    <row r="640" customFormat="false" ht="15" hidden="false" customHeight="true" outlineLevel="0" collapsed="false">
      <c r="A640" s="8" t="s">
        <v>1123</v>
      </c>
      <c r="B640" s="8" t="s">
        <v>498</v>
      </c>
      <c r="C640" s="8" t="s">
        <v>503</v>
      </c>
      <c r="D640" s="26" t="n">
        <v>0</v>
      </c>
    </row>
    <row r="641" customFormat="false" ht="15" hidden="false" customHeight="true" outlineLevel="0" collapsed="false">
      <c r="A641" s="8" t="s">
        <v>1123</v>
      </c>
      <c r="B641" s="8" t="s">
        <v>504</v>
      </c>
      <c r="C641" s="8" t="s">
        <v>505</v>
      </c>
      <c r="D641" s="26" t="n">
        <v>0</v>
      </c>
    </row>
    <row r="642" customFormat="false" ht="15" hidden="false" customHeight="true" outlineLevel="0" collapsed="false">
      <c r="A642" s="8" t="s">
        <v>1123</v>
      </c>
      <c r="B642" s="8" t="s">
        <v>504</v>
      </c>
      <c r="C642" s="8" t="s">
        <v>506</v>
      </c>
      <c r="D642" s="26" t="n">
        <v>0</v>
      </c>
    </row>
    <row r="643" customFormat="false" ht="15" hidden="false" customHeight="true" outlineLevel="0" collapsed="false">
      <c r="A643" s="8" t="s">
        <v>1123</v>
      </c>
      <c r="B643" s="8" t="s">
        <v>507</v>
      </c>
      <c r="C643" s="8" t="s">
        <v>508</v>
      </c>
      <c r="D643" s="26" t="n">
        <v>0</v>
      </c>
    </row>
    <row r="644" customFormat="false" ht="15" hidden="false" customHeight="true" outlineLevel="0" collapsed="false">
      <c r="A644" s="8" t="s">
        <v>1123</v>
      </c>
      <c r="B644" s="8" t="s">
        <v>507</v>
      </c>
      <c r="C644" s="8" t="s">
        <v>509</v>
      </c>
      <c r="D644" s="26" t="n">
        <v>0</v>
      </c>
    </row>
    <row r="645" customFormat="false" ht="15" hidden="false" customHeight="true" outlineLevel="0" collapsed="false">
      <c r="A645" s="8" t="s">
        <v>1123</v>
      </c>
      <c r="B645" s="8" t="s">
        <v>510</v>
      </c>
      <c r="C645" s="8" t="s">
        <v>511</v>
      </c>
      <c r="D645" s="26" t="n">
        <v>0</v>
      </c>
    </row>
    <row r="646" customFormat="false" ht="15" hidden="false" customHeight="true" outlineLevel="0" collapsed="false">
      <c r="A646" s="8" t="s">
        <v>1123</v>
      </c>
      <c r="B646" s="8" t="s">
        <v>512</v>
      </c>
      <c r="C646" s="8" t="s">
        <v>511</v>
      </c>
      <c r="D646" s="26" t="n">
        <v>0</v>
      </c>
    </row>
    <row r="647" customFormat="false" ht="15" hidden="false" customHeight="true" outlineLevel="0" collapsed="false">
      <c r="A647" s="8" t="s">
        <v>1123</v>
      </c>
      <c r="B647" s="8" t="s">
        <v>515</v>
      </c>
      <c r="C647" s="8" t="s">
        <v>1135</v>
      </c>
      <c r="D647" s="26" t="n">
        <v>0</v>
      </c>
    </row>
    <row r="648" customFormat="false" ht="15" hidden="false" customHeight="true" outlineLevel="0" collapsed="false">
      <c r="A648" s="8" t="s">
        <v>1123</v>
      </c>
      <c r="B648" s="8" t="s">
        <v>517</v>
      </c>
      <c r="C648" s="8" t="s">
        <v>518</v>
      </c>
      <c r="D648" s="26" t="n">
        <v>0</v>
      </c>
    </row>
    <row r="649" customFormat="false" ht="15" hidden="false" customHeight="true" outlineLevel="0" collapsed="false">
      <c r="A649" s="8" t="s">
        <v>1123</v>
      </c>
      <c r="B649" s="8" t="s">
        <v>517</v>
      </c>
      <c r="C649" s="8" t="s">
        <v>519</v>
      </c>
      <c r="D649" s="26" t="n">
        <v>0</v>
      </c>
    </row>
    <row r="650" customFormat="false" ht="15" hidden="false" customHeight="true" outlineLevel="0" collapsed="false">
      <c r="A650" s="8" t="s">
        <v>1123</v>
      </c>
      <c r="B650" s="8" t="s">
        <v>517</v>
      </c>
      <c r="C650" s="8" t="s">
        <v>520</v>
      </c>
      <c r="D650" s="26" t="n">
        <v>0</v>
      </c>
    </row>
    <row r="651" customFormat="false" ht="15" hidden="false" customHeight="true" outlineLevel="0" collapsed="false">
      <c r="A651" s="8" t="s">
        <v>1123</v>
      </c>
      <c r="B651" s="8" t="s">
        <v>517</v>
      </c>
      <c r="C651" s="8" t="s">
        <v>521</v>
      </c>
      <c r="D651" s="26" t="n">
        <v>0</v>
      </c>
    </row>
    <row r="652" customFormat="false" ht="15" hidden="false" customHeight="true" outlineLevel="0" collapsed="false">
      <c r="A652" s="8" t="s">
        <v>1123</v>
      </c>
      <c r="B652" s="8" t="s">
        <v>522</v>
      </c>
      <c r="C652" s="8" t="s">
        <v>523</v>
      </c>
      <c r="D652" s="26" t="n">
        <v>0</v>
      </c>
    </row>
    <row r="653" customFormat="false" ht="15" hidden="false" customHeight="true" outlineLevel="0" collapsed="false">
      <c r="A653" s="8" t="s">
        <v>1123</v>
      </c>
      <c r="B653" s="8" t="s">
        <v>522</v>
      </c>
      <c r="C653" s="8" t="s">
        <v>524</v>
      </c>
      <c r="D653" s="26" t="n">
        <v>0</v>
      </c>
    </row>
    <row r="654" customFormat="false" ht="15" hidden="false" customHeight="true" outlineLevel="0" collapsed="false">
      <c r="A654" s="8" t="s">
        <v>1123</v>
      </c>
      <c r="B654" s="8" t="s">
        <v>527</v>
      </c>
      <c r="C654" s="8" t="s">
        <v>1136</v>
      </c>
      <c r="D654" s="26" t="n">
        <v>0</v>
      </c>
    </row>
    <row r="655" customFormat="false" ht="15" hidden="false" customHeight="true" outlineLevel="0" collapsed="false">
      <c r="A655" s="8" t="s">
        <v>1123</v>
      </c>
      <c r="B655" s="8" t="s">
        <v>527</v>
      </c>
      <c r="C655" s="8" t="s">
        <v>1137</v>
      </c>
      <c r="D655" s="26" t="n">
        <v>0</v>
      </c>
    </row>
    <row r="656" customFormat="false" ht="15" hidden="false" customHeight="true" outlineLevel="0" collapsed="false">
      <c r="A656" s="8" t="s">
        <v>1123</v>
      </c>
      <c r="B656" s="8" t="s">
        <v>517</v>
      </c>
      <c r="C656" s="8" t="s">
        <v>530</v>
      </c>
      <c r="D656" s="26" t="n">
        <v>0</v>
      </c>
    </row>
    <row r="657" customFormat="false" ht="15" hidden="false" customHeight="true" outlineLevel="0" collapsed="false">
      <c r="A657" s="8" t="s">
        <v>1123</v>
      </c>
      <c r="B657" s="8" t="s">
        <v>531</v>
      </c>
      <c r="C657" s="8" t="s">
        <v>532</v>
      </c>
      <c r="D657" s="26" t="n">
        <v>0</v>
      </c>
    </row>
    <row r="658" customFormat="false" ht="15" hidden="false" customHeight="true" outlineLevel="0" collapsed="false">
      <c r="A658" s="8" t="s">
        <v>1123</v>
      </c>
      <c r="B658" s="8" t="s">
        <v>531</v>
      </c>
      <c r="C658" s="8" t="s">
        <v>533</v>
      </c>
      <c r="D658" s="26" t="n">
        <v>0</v>
      </c>
    </row>
    <row r="659" customFormat="false" ht="15" hidden="false" customHeight="true" outlineLevel="0" collapsed="false">
      <c r="A659" s="8" t="s">
        <v>1123</v>
      </c>
      <c r="B659" s="8" t="s">
        <v>539</v>
      </c>
      <c r="C659" s="8" t="s">
        <v>540</v>
      </c>
      <c r="D659" s="26" t="n">
        <v>0</v>
      </c>
    </row>
    <row r="660" customFormat="false" ht="15" hidden="false" customHeight="true" outlineLevel="0" collapsed="false">
      <c r="A660" s="8" t="s">
        <v>1123</v>
      </c>
      <c r="B660" s="8" t="s">
        <v>539</v>
      </c>
      <c r="C660" s="8" t="s">
        <v>542</v>
      </c>
      <c r="D660" s="26" t="n">
        <v>0</v>
      </c>
    </row>
    <row r="661" customFormat="false" ht="15" hidden="false" customHeight="true" outlineLevel="0" collapsed="false">
      <c r="A661" s="8" t="s">
        <v>1123</v>
      </c>
      <c r="B661" s="8" t="s">
        <v>539</v>
      </c>
      <c r="C661" s="8" t="s">
        <v>544</v>
      </c>
      <c r="D661" s="26" t="n">
        <v>0</v>
      </c>
    </row>
    <row r="662" customFormat="false" ht="15" hidden="false" customHeight="true" outlineLevel="0" collapsed="false">
      <c r="A662" s="8" t="s">
        <v>1123</v>
      </c>
      <c r="B662" s="8" t="s">
        <v>84</v>
      </c>
      <c r="C662" s="8" t="s">
        <v>545</v>
      </c>
      <c r="D662" s="26" t="n">
        <v>0</v>
      </c>
    </row>
    <row r="663" customFormat="false" ht="15" hidden="false" customHeight="true" outlineLevel="0" collapsed="false">
      <c r="A663" s="8" t="s">
        <v>1123</v>
      </c>
      <c r="B663" s="8" t="s">
        <v>84</v>
      </c>
      <c r="C663" s="8" t="s">
        <v>546</v>
      </c>
      <c r="D663" s="26" t="n">
        <v>1</v>
      </c>
    </row>
    <row r="664" customFormat="false" ht="15" hidden="false" customHeight="true" outlineLevel="0" collapsed="false">
      <c r="A664" s="8" t="s">
        <v>1123</v>
      </c>
      <c r="B664" s="8" t="s">
        <v>84</v>
      </c>
      <c r="C664" s="8" t="s">
        <v>547</v>
      </c>
      <c r="D664" s="26" t="n">
        <v>10</v>
      </c>
    </row>
    <row r="665" customFormat="false" ht="15" hidden="false" customHeight="true" outlineLevel="0" collapsed="false">
      <c r="A665" s="8" t="s">
        <v>1123</v>
      </c>
      <c r="B665" s="8" t="s">
        <v>84</v>
      </c>
      <c r="C665" s="8" t="s">
        <v>548</v>
      </c>
      <c r="D665" s="26" t="n">
        <v>4</v>
      </c>
    </row>
    <row r="666" customFormat="false" ht="15" hidden="false" customHeight="true" outlineLevel="0" collapsed="false">
      <c r="A666" s="8" t="s">
        <v>1123</v>
      </c>
      <c r="B666" s="8" t="s">
        <v>84</v>
      </c>
      <c r="C666" s="8" t="s">
        <v>549</v>
      </c>
      <c r="D666" s="26" t="n">
        <v>7</v>
      </c>
    </row>
    <row r="667" customFormat="false" ht="15" hidden="false" customHeight="true" outlineLevel="0" collapsed="false">
      <c r="A667" s="8" t="s">
        <v>1123</v>
      </c>
      <c r="B667" s="8" t="s">
        <v>551</v>
      </c>
      <c r="C667" s="8" t="s">
        <v>553</v>
      </c>
      <c r="D667" s="26" t="n">
        <v>0</v>
      </c>
    </row>
    <row r="668" customFormat="false" ht="15" hidden="false" customHeight="true" outlineLevel="0" collapsed="false">
      <c r="A668" s="8" t="s">
        <v>1123</v>
      </c>
      <c r="B668" s="8" t="s">
        <v>551</v>
      </c>
      <c r="C668" s="8" t="s">
        <v>554</v>
      </c>
      <c r="D668" s="26" t="n">
        <v>0</v>
      </c>
    </row>
    <row r="669" customFormat="false" ht="15" hidden="false" customHeight="true" outlineLevel="0" collapsed="false">
      <c r="A669" s="8" t="s">
        <v>1123</v>
      </c>
      <c r="B669" s="8" t="s">
        <v>551</v>
      </c>
      <c r="C669" s="8" t="s">
        <v>555</v>
      </c>
      <c r="D669" s="26" t="n">
        <v>0</v>
      </c>
    </row>
    <row r="670" customFormat="false" ht="15" hidden="false" customHeight="true" outlineLevel="0" collapsed="false">
      <c r="A670" s="8" t="s">
        <v>1123</v>
      </c>
      <c r="B670" s="8" t="s">
        <v>83</v>
      </c>
      <c r="C670" s="8" t="s">
        <v>556</v>
      </c>
      <c r="D670" s="26" t="n">
        <v>35</v>
      </c>
    </row>
    <row r="671" customFormat="false" ht="15" hidden="false" customHeight="true" outlineLevel="0" collapsed="false">
      <c r="A671" s="8" t="s">
        <v>1123</v>
      </c>
      <c r="B671" s="8" t="s">
        <v>66</v>
      </c>
      <c r="C671" s="8" t="s">
        <v>557</v>
      </c>
      <c r="D671" s="26" t="n">
        <v>69</v>
      </c>
    </row>
    <row r="672" customFormat="false" ht="15" hidden="false" customHeight="true" outlineLevel="0" collapsed="false">
      <c r="A672" s="8" t="s">
        <v>1123</v>
      </c>
      <c r="B672" s="8" t="s">
        <v>132</v>
      </c>
      <c r="C672" s="8" t="s">
        <v>558</v>
      </c>
      <c r="D672" s="26" t="n">
        <v>3</v>
      </c>
    </row>
    <row r="673" customFormat="false" ht="15" hidden="false" customHeight="true" outlineLevel="0" collapsed="false">
      <c r="A673" s="8" t="s">
        <v>1123</v>
      </c>
      <c r="B673" s="8" t="s">
        <v>559</v>
      </c>
      <c r="C673" s="8" t="s">
        <v>560</v>
      </c>
      <c r="D673" s="26" t="n">
        <v>0</v>
      </c>
    </row>
    <row r="674" customFormat="false" ht="15" hidden="false" customHeight="true" outlineLevel="0" collapsed="false">
      <c r="A674" s="8" t="s">
        <v>1123</v>
      </c>
      <c r="B674" s="8" t="s">
        <v>561</v>
      </c>
      <c r="C674" s="8" t="s">
        <v>562</v>
      </c>
      <c r="D674" s="26" t="n">
        <v>0</v>
      </c>
    </row>
    <row r="675" customFormat="false" ht="15" hidden="false" customHeight="true" outlineLevel="0" collapsed="false">
      <c r="A675" s="8" t="s">
        <v>1123</v>
      </c>
      <c r="B675" s="8" t="s">
        <v>563</v>
      </c>
      <c r="C675" s="8" t="s">
        <v>564</v>
      </c>
      <c r="D675" s="26" t="n">
        <v>0</v>
      </c>
    </row>
    <row r="676" customFormat="false" ht="15" hidden="false" customHeight="true" outlineLevel="0" collapsed="false">
      <c r="A676" s="8" t="s">
        <v>1123</v>
      </c>
      <c r="B676" s="8" t="s">
        <v>565</v>
      </c>
      <c r="C676" s="8" t="s">
        <v>566</v>
      </c>
      <c r="D676" s="26" t="n">
        <v>0</v>
      </c>
    </row>
    <row r="677" customFormat="false" ht="15" hidden="false" customHeight="true" outlineLevel="0" collapsed="false">
      <c r="A677" s="8" t="s">
        <v>1123</v>
      </c>
      <c r="B677" s="8" t="s">
        <v>142</v>
      </c>
      <c r="C677" s="8" t="s">
        <v>556</v>
      </c>
      <c r="D677" s="26" t="n">
        <v>4</v>
      </c>
    </row>
    <row r="678" customFormat="false" ht="15" hidden="false" customHeight="true" outlineLevel="0" collapsed="false">
      <c r="A678" s="8" t="s">
        <v>1123</v>
      </c>
      <c r="B678" s="8" t="s">
        <v>69</v>
      </c>
      <c r="C678" s="8" t="s">
        <v>556</v>
      </c>
      <c r="D678" s="26" t="n">
        <v>54</v>
      </c>
    </row>
    <row r="679" customFormat="false" ht="15" hidden="false" customHeight="true" outlineLevel="0" collapsed="false">
      <c r="A679" s="8" t="s">
        <v>1123</v>
      </c>
      <c r="B679" s="8" t="s">
        <v>98</v>
      </c>
      <c r="C679" s="8" t="s">
        <v>567</v>
      </c>
      <c r="D679" s="26" t="n">
        <v>138</v>
      </c>
    </row>
    <row r="680" customFormat="false" ht="15" hidden="false" customHeight="true" outlineLevel="0" collapsed="false">
      <c r="A680" s="8" t="s">
        <v>1123</v>
      </c>
      <c r="B680" s="8" t="s">
        <v>98</v>
      </c>
      <c r="C680" s="8" t="s">
        <v>568</v>
      </c>
      <c r="D680" s="26" t="n">
        <v>26</v>
      </c>
    </row>
    <row r="681" customFormat="false" ht="15" hidden="false" customHeight="true" outlineLevel="0" collapsed="false">
      <c r="A681" s="8" t="s">
        <v>1123</v>
      </c>
      <c r="B681" s="8" t="s">
        <v>569</v>
      </c>
      <c r="C681" s="8" t="s">
        <v>570</v>
      </c>
      <c r="D681" s="26" t="n">
        <v>0</v>
      </c>
    </row>
    <row r="682" customFormat="false" ht="15" hidden="false" customHeight="true" outlineLevel="0" collapsed="false">
      <c r="A682" s="8" t="s">
        <v>1123</v>
      </c>
      <c r="B682" s="8" t="s">
        <v>68</v>
      </c>
      <c r="C682" s="8" t="s">
        <v>573</v>
      </c>
      <c r="D682" s="26" t="n">
        <v>276</v>
      </c>
    </row>
    <row r="683" customFormat="false" ht="15" hidden="false" customHeight="true" outlineLevel="0" collapsed="false">
      <c r="A683" s="8" t="s">
        <v>1123</v>
      </c>
      <c r="B683" s="8" t="s">
        <v>100</v>
      </c>
      <c r="C683" s="8" t="s">
        <v>574</v>
      </c>
      <c r="D683" s="26" t="n">
        <v>76</v>
      </c>
    </row>
    <row r="684" customFormat="false" ht="15" hidden="false" customHeight="true" outlineLevel="0" collapsed="false">
      <c r="A684" s="8" t="s">
        <v>1123</v>
      </c>
      <c r="B684" s="8" t="s">
        <v>106</v>
      </c>
      <c r="C684" s="8" t="s">
        <v>575</v>
      </c>
      <c r="D684" s="26" t="n">
        <v>57</v>
      </c>
    </row>
    <row r="685" customFormat="false" ht="15" hidden="false" customHeight="true" outlineLevel="0" collapsed="false">
      <c r="A685" s="8" t="s">
        <v>1123</v>
      </c>
      <c r="B685" s="8" t="s">
        <v>128</v>
      </c>
      <c r="C685" s="8" t="s">
        <v>578</v>
      </c>
      <c r="D685" s="26" t="n">
        <v>18</v>
      </c>
    </row>
    <row r="686" customFormat="false" ht="15" hidden="false" customHeight="true" outlineLevel="0" collapsed="false">
      <c r="A686" s="8" t="s">
        <v>1123</v>
      </c>
      <c r="B686" s="8" t="s">
        <v>579</v>
      </c>
      <c r="C686" s="8" t="s">
        <v>580</v>
      </c>
      <c r="D686" s="26" t="n">
        <v>0</v>
      </c>
    </row>
    <row r="687" customFormat="false" ht="15" hidden="false" customHeight="true" outlineLevel="0" collapsed="false">
      <c r="A687" s="8" t="s">
        <v>1123</v>
      </c>
      <c r="B687" s="8" t="s">
        <v>579</v>
      </c>
      <c r="C687" s="8" t="s">
        <v>581</v>
      </c>
      <c r="D687" s="26" t="n">
        <v>0</v>
      </c>
    </row>
    <row r="688" customFormat="false" ht="15" hidden="false" customHeight="true" outlineLevel="0" collapsed="false">
      <c r="A688" s="8" t="s">
        <v>1123</v>
      </c>
      <c r="B688" s="8" t="s">
        <v>579</v>
      </c>
      <c r="C688" s="8" t="s">
        <v>582</v>
      </c>
      <c r="D688" s="26" t="n">
        <v>0</v>
      </c>
    </row>
    <row r="689" customFormat="false" ht="15" hidden="false" customHeight="true" outlineLevel="0" collapsed="false">
      <c r="A689" s="8" t="s">
        <v>1123</v>
      </c>
      <c r="B689" s="8" t="s">
        <v>579</v>
      </c>
      <c r="C689" s="8" t="s">
        <v>583</v>
      </c>
      <c r="D689" s="26" t="n">
        <v>0</v>
      </c>
    </row>
    <row r="690" customFormat="false" ht="15" hidden="false" customHeight="true" outlineLevel="0" collapsed="false">
      <c r="A690" s="8" t="s">
        <v>1123</v>
      </c>
      <c r="B690" s="8" t="s">
        <v>579</v>
      </c>
      <c r="C690" s="8" t="s">
        <v>584</v>
      </c>
      <c r="D690" s="26" t="n">
        <v>0</v>
      </c>
    </row>
    <row r="691" customFormat="false" ht="15" hidden="false" customHeight="true" outlineLevel="0" collapsed="false">
      <c r="A691" s="8" t="s">
        <v>1123</v>
      </c>
      <c r="B691" s="8" t="s">
        <v>585</v>
      </c>
      <c r="C691" s="8" t="s">
        <v>586</v>
      </c>
      <c r="D691" s="26" t="n">
        <v>0</v>
      </c>
    </row>
    <row r="692" customFormat="false" ht="15" hidden="false" customHeight="true" outlineLevel="0" collapsed="false">
      <c r="A692" s="8" t="s">
        <v>1123</v>
      </c>
      <c r="B692" s="8" t="s">
        <v>588</v>
      </c>
      <c r="C692" s="8" t="s">
        <v>589</v>
      </c>
      <c r="D692" s="26" t="n">
        <v>0</v>
      </c>
    </row>
    <row r="693" customFormat="false" ht="15" hidden="false" customHeight="true" outlineLevel="0" collapsed="false">
      <c r="A693" s="8" t="s">
        <v>1123</v>
      </c>
      <c r="B693" s="8" t="s">
        <v>588</v>
      </c>
      <c r="C693" s="8" t="s">
        <v>590</v>
      </c>
      <c r="D693" s="26" t="n">
        <v>0</v>
      </c>
    </row>
    <row r="694" customFormat="false" ht="15" hidden="false" customHeight="true" outlineLevel="0" collapsed="false">
      <c r="A694" s="8" t="s">
        <v>1123</v>
      </c>
      <c r="B694" s="8" t="s">
        <v>588</v>
      </c>
      <c r="C694" s="8" t="s">
        <v>591</v>
      </c>
      <c r="D694" s="26" t="n">
        <v>0</v>
      </c>
    </row>
    <row r="695" customFormat="false" ht="15" hidden="false" customHeight="true" outlineLevel="0" collapsed="false">
      <c r="A695" s="8" t="s">
        <v>1123</v>
      </c>
      <c r="B695" s="8" t="s">
        <v>588</v>
      </c>
      <c r="C695" s="8" t="s">
        <v>592</v>
      </c>
      <c r="D695" s="26" t="n">
        <v>0</v>
      </c>
    </row>
    <row r="696" customFormat="false" ht="15" hidden="false" customHeight="true" outlineLevel="0" collapsed="false">
      <c r="A696" s="8" t="s">
        <v>1123</v>
      </c>
      <c r="B696" s="8" t="s">
        <v>588</v>
      </c>
      <c r="C696" s="8" t="s">
        <v>593</v>
      </c>
      <c r="D696" s="26" t="n">
        <v>0</v>
      </c>
    </row>
    <row r="697" customFormat="false" ht="15" hidden="false" customHeight="true" outlineLevel="0" collapsed="false">
      <c r="A697" s="8" t="s">
        <v>1123</v>
      </c>
      <c r="B697" s="8" t="s">
        <v>114</v>
      </c>
      <c r="C697" s="8" t="s">
        <v>594</v>
      </c>
      <c r="D697" s="26" t="n">
        <v>90</v>
      </c>
    </row>
    <row r="698" customFormat="false" ht="15" hidden="false" customHeight="true" outlineLevel="0" collapsed="false">
      <c r="A698" s="8" t="s">
        <v>1123</v>
      </c>
      <c r="B698" s="8" t="s">
        <v>131</v>
      </c>
      <c r="C698" s="8" t="s">
        <v>595</v>
      </c>
      <c r="D698" s="26" t="n">
        <v>43</v>
      </c>
    </row>
    <row r="699" customFormat="false" ht="15" hidden="false" customHeight="true" outlineLevel="0" collapsed="false">
      <c r="A699" s="8" t="s">
        <v>1123</v>
      </c>
      <c r="B699" s="8" t="s">
        <v>53</v>
      </c>
      <c r="C699" s="8" t="s">
        <v>596</v>
      </c>
      <c r="D699" s="26" t="n">
        <v>124</v>
      </c>
    </row>
    <row r="700" customFormat="false" ht="15" hidden="false" customHeight="true" outlineLevel="0" collapsed="false">
      <c r="A700" s="8" t="s">
        <v>1123</v>
      </c>
      <c r="B700" s="8" t="s">
        <v>53</v>
      </c>
      <c r="C700" s="8" t="s">
        <v>597</v>
      </c>
      <c r="D700" s="26" t="n">
        <v>47</v>
      </c>
    </row>
    <row r="701" customFormat="false" ht="15" hidden="false" customHeight="true" outlineLevel="0" collapsed="false">
      <c r="A701" s="8" t="s">
        <v>1123</v>
      </c>
      <c r="B701" s="8" t="s">
        <v>53</v>
      </c>
      <c r="C701" s="8" t="s">
        <v>598</v>
      </c>
      <c r="D701" s="26" t="n">
        <v>106</v>
      </c>
    </row>
    <row r="702" customFormat="false" ht="15" hidden="false" customHeight="true" outlineLevel="0" collapsed="false">
      <c r="A702" s="8" t="s">
        <v>1123</v>
      </c>
      <c r="B702" s="8" t="s">
        <v>53</v>
      </c>
      <c r="C702" s="8" t="s">
        <v>599</v>
      </c>
      <c r="D702" s="26" t="n">
        <v>87</v>
      </c>
    </row>
    <row r="703" customFormat="false" ht="15" hidden="false" customHeight="true" outlineLevel="0" collapsed="false">
      <c r="A703" s="8" t="s">
        <v>1123</v>
      </c>
      <c r="B703" s="8" t="s">
        <v>53</v>
      </c>
      <c r="C703" s="8" t="s">
        <v>601</v>
      </c>
      <c r="D703" s="26" t="n">
        <v>27</v>
      </c>
    </row>
    <row r="704" customFormat="false" ht="15" hidden="false" customHeight="true" outlineLevel="0" collapsed="false">
      <c r="A704" s="8" t="s">
        <v>1123</v>
      </c>
      <c r="B704" s="8" t="s">
        <v>63</v>
      </c>
      <c r="C704" s="8" t="s">
        <v>602</v>
      </c>
      <c r="D704" s="26" t="n">
        <v>36</v>
      </c>
    </row>
    <row r="705" customFormat="false" ht="15" hidden="false" customHeight="true" outlineLevel="0" collapsed="false">
      <c r="A705" s="8" t="s">
        <v>1123</v>
      </c>
      <c r="B705" s="8" t="s">
        <v>63</v>
      </c>
      <c r="C705" s="8" t="s">
        <v>603</v>
      </c>
      <c r="D705" s="26" t="n">
        <v>89</v>
      </c>
    </row>
    <row r="706" customFormat="false" ht="15" hidden="false" customHeight="true" outlineLevel="0" collapsed="false">
      <c r="A706" s="8" t="s">
        <v>1123</v>
      </c>
      <c r="B706" s="8" t="s">
        <v>63</v>
      </c>
      <c r="C706" s="8" t="s">
        <v>604</v>
      </c>
      <c r="D706" s="26" t="n">
        <v>92</v>
      </c>
    </row>
    <row r="707" customFormat="false" ht="15" hidden="false" customHeight="true" outlineLevel="0" collapsed="false">
      <c r="A707" s="8" t="s">
        <v>1123</v>
      </c>
      <c r="B707" s="8" t="s">
        <v>63</v>
      </c>
      <c r="C707" s="8" t="s">
        <v>605</v>
      </c>
      <c r="D707" s="26" t="n">
        <v>93</v>
      </c>
    </row>
    <row r="708" customFormat="false" ht="15" hidden="false" customHeight="true" outlineLevel="0" collapsed="false">
      <c r="A708" s="8" t="s">
        <v>1123</v>
      </c>
      <c r="B708" s="8" t="s">
        <v>63</v>
      </c>
      <c r="C708" s="8" t="s">
        <v>606</v>
      </c>
      <c r="D708" s="26" t="n">
        <v>11</v>
      </c>
    </row>
    <row r="709" customFormat="false" ht="15" hidden="false" customHeight="true" outlineLevel="0" collapsed="false">
      <c r="A709" s="8" t="s">
        <v>1123</v>
      </c>
      <c r="B709" s="8" t="s">
        <v>607</v>
      </c>
      <c r="C709" s="8" t="s">
        <v>608</v>
      </c>
      <c r="D709" s="26" t="n">
        <v>0</v>
      </c>
    </row>
    <row r="710" customFormat="false" ht="15" hidden="false" customHeight="true" outlineLevel="0" collapsed="false">
      <c r="A710" s="8" t="s">
        <v>1123</v>
      </c>
      <c r="B710" s="8" t="s">
        <v>607</v>
      </c>
      <c r="C710" s="8" t="s">
        <v>609</v>
      </c>
      <c r="D710" s="26" t="n">
        <v>0</v>
      </c>
    </row>
    <row r="711" customFormat="false" ht="15" hidden="false" customHeight="true" outlineLevel="0" collapsed="false">
      <c r="A711" s="8" t="s">
        <v>1123</v>
      </c>
      <c r="B711" s="8" t="s">
        <v>607</v>
      </c>
      <c r="C711" s="8" t="s">
        <v>610</v>
      </c>
      <c r="D711" s="26" t="n">
        <v>0</v>
      </c>
    </row>
    <row r="712" customFormat="false" ht="15" hidden="false" customHeight="true" outlineLevel="0" collapsed="false">
      <c r="A712" s="8" t="s">
        <v>1123</v>
      </c>
      <c r="B712" s="8" t="s">
        <v>607</v>
      </c>
      <c r="C712" s="8" t="s">
        <v>611</v>
      </c>
      <c r="D712" s="26" t="n">
        <v>0</v>
      </c>
    </row>
    <row r="713" customFormat="false" ht="15" hidden="false" customHeight="true" outlineLevel="0" collapsed="false">
      <c r="A713" s="8" t="s">
        <v>1123</v>
      </c>
      <c r="B713" s="8" t="s">
        <v>140</v>
      </c>
      <c r="C713" s="8" t="s">
        <v>612</v>
      </c>
      <c r="D713" s="26" t="n">
        <v>17</v>
      </c>
    </row>
    <row r="714" customFormat="false" ht="15" hidden="false" customHeight="true" outlineLevel="0" collapsed="false">
      <c r="A714" s="8" t="s">
        <v>1123</v>
      </c>
      <c r="B714" s="8" t="s">
        <v>119</v>
      </c>
      <c r="C714" s="8" t="s">
        <v>613</v>
      </c>
      <c r="D714" s="26" t="n">
        <v>36</v>
      </c>
    </row>
    <row r="715" customFormat="false" ht="15" hidden="false" customHeight="true" outlineLevel="0" collapsed="false">
      <c r="A715" s="8" t="s">
        <v>1123</v>
      </c>
      <c r="B715" s="8" t="s">
        <v>93</v>
      </c>
      <c r="C715" s="8" t="s">
        <v>614</v>
      </c>
      <c r="D715" s="26" t="n">
        <v>183</v>
      </c>
    </row>
    <row r="716" customFormat="false" ht="15" hidden="false" customHeight="true" outlineLevel="0" collapsed="false">
      <c r="A716" s="8" t="s">
        <v>1123</v>
      </c>
      <c r="B716" s="8" t="s">
        <v>104</v>
      </c>
      <c r="C716" s="8" t="s">
        <v>615</v>
      </c>
      <c r="D716" s="26" t="n">
        <v>136</v>
      </c>
    </row>
    <row r="717" customFormat="false" ht="15" hidden="false" customHeight="true" outlineLevel="0" collapsed="false">
      <c r="A717" s="8" t="s">
        <v>1123</v>
      </c>
      <c r="B717" s="8" t="s">
        <v>616</v>
      </c>
      <c r="C717" s="8" t="s">
        <v>617</v>
      </c>
      <c r="D717" s="26" t="n">
        <v>0</v>
      </c>
    </row>
    <row r="718" customFormat="false" ht="15" hidden="false" customHeight="true" outlineLevel="0" collapsed="false">
      <c r="A718" s="8" t="s">
        <v>1123</v>
      </c>
      <c r="B718" s="8" t="s">
        <v>117</v>
      </c>
      <c r="C718" s="8" t="s">
        <v>618</v>
      </c>
      <c r="D718" s="26" t="n">
        <v>75</v>
      </c>
    </row>
    <row r="719" customFormat="false" ht="15" hidden="false" customHeight="true" outlineLevel="0" collapsed="false">
      <c r="A719" s="8" t="s">
        <v>1123</v>
      </c>
      <c r="B719" s="8" t="s">
        <v>135</v>
      </c>
      <c r="C719" s="8" t="s">
        <v>619</v>
      </c>
      <c r="D719" s="26" t="n">
        <v>31</v>
      </c>
    </row>
    <row r="720" customFormat="false" ht="15" hidden="false" customHeight="true" outlineLevel="0" collapsed="false">
      <c r="A720" s="8" t="s">
        <v>1123</v>
      </c>
      <c r="B720" s="8" t="s">
        <v>620</v>
      </c>
      <c r="C720" s="8" t="s">
        <v>621</v>
      </c>
      <c r="D720" s="26" t="n">
        <v>0</v>
      </c>
    </row>
    <row r="721" customFormat="false" ht="15" hidden="false" customHeight="true" outlineLevel="0" collapsed="false">
      <c r="A721" s="8" t="s">
        <v>1123</v>
      </c>
      <c r="B721" s="8" t="s">
        <v>622</v>
      </c>
      <c r="C721" s="8" t="s">
        <v>621</v>
      </c>
      <c r="D721" s="26" t="n">
        <v>0</v>
      </c>
    </row>
    <row r="722" customFormat="false" ht="15" hidden="false" customHeight="true" outlineLevel="0" collapsed="false">
      <c r="A722" s="8" t="s">
        <v>1123</v>
      </c>
      <c r="B722" s="8" t="s">
        <v>139</v>
      </c>
      <c r="C722" s="8" t="s">
        <v>623</v>
      </c>
      <c r="D722" s="26" t="n">
        <v>4</v>
      </c>
    </row>
    <row r="723" customFormat="false" ht="15" hidden="false" customHeight="true" outlineLevel="0" collapsed="false">
      <c r="A723" s="8" t="s">
        <v>1123</v>
      </c>
      <c r="B723" s="8" t="s">
        <v>139</v>
      </c>
      <c r="C723" s="8" t="s">
        <v>624</v>
      </c>
      <c r="D723" s="26" t="n">
        <v>0</v>
      </c>
    </row>
    <row r="724" customFormat="false" ht="15" hidden="false" customHeight="true" outlineLevel="0" collapsed="false">
      <c r="A724" s="8" t="s">
        <v>1123</v>
      </c>
      <c r="B724" s="8" t="s">
        <v>139</v>
      </c>
      <c r="C724" s="8" t="s">
        <v>625</v>
      </c>
      <c r="D724" s="26" t="n">
        <v>0</v>
      </c>
    </row>
    <row r="725" customFormat="false" ht="15" hidden="false" customHeight="true" outlineLevel="0" collapsed="false">
      <c r="A725" s="8" t="s">
        <v>1123</v>
      </c>
      <c r="B725" s="8" t="s">
        <v>139</v>
      </c>
      <c r="C725" s="8" t="s">
        <v>626</v>
      </c>
      <c r="D725" s="26" t="n">
        <v>0</v>
      </c>
    </row>
    <row r="726" customFormat="false" ht="15" hidden="false" customHeight="true" outlineLevel="0" collapsed="false">
      <c r="A726" s="8" t="s">
        <v>1123</v>
      </c>
      <c r="B726" s="8" t="s">
        <v>627</v>
      </c>
      <c r="C726" s="8" t="s">
        <v>628</v>
      </c>
      <c r="D726" s="26" t="n">
        <v>0</v>
      </c>
    </row>
    <row r="727" customFormat="false" ht="15" hidden="false" customHeight="true" outlineLevel="0" collapsed="false">
      <c r="A727" s="8" t="s">
        <v>1123</v>
      </c>
      <c r="B727" s="8" t="s">
        <v>627</v>
      </c>
      <c r="C727" s="8" t="s">
        <v>1138</v>
      </c>
      <c r="D727" s="26" t="n">
        <v>0</v>
      </c>
    </row>
    <row r="728" customFormat="false" ht="15" hidden="false" customHeight="true" outlineLevel="0" collapsed="false">
      <c r="A728" s="8" t="s">
        <v>1123</v>
      </c>
      <c r="B728" s="8" t="s">
        <v>627</v>
      </c>
      <c r="C728" s="8" t="s">
        <v>629</v>
      </c>
      <c r="D728" s="26" t="n">
        <v>0</v>
      </c>
    </row>
    <row r="729" customFormat="false" ht="15" hidden="false" customHeight="true" outlineLevel="0" collapsed="false">
      <c r="A729" s="8" t="s">
        <v>1123</v>
      </c>
      <c r="B729" s="8" t="s">
        <v>627</v>
      </c>
      <c r="C729" s="8" t="s">
        <v>630</v>
      </c>
      <c r="D729" s="26" t="n">
        <v>0</v>
      </c>
    </row>
    <row r="730" customFormat="false" ht="15" hidden="false" customHeight="true" outlineLevel="0" collapsed="false">
      <c r="A730" s="8" t="s">
        <v>1123</v>
      </c>
      <c r="B730" s="8" t="s">
        <v>631</v>
      </c>
      <c r="C730" s="8" t="s">
        <v>632</v>
      </c>
      <c r="D730" s="26" t="n">
        <v>0</v>
      </c>
    </row>
    <row r="731" customFormat="false" ht="15" hidden="false" customHeight="true" outlineLevel="0" collapsed="false">
      <c r="A731" s="8" t="s">
        <v>1123</v>
      </c>
      <c r="B731" s="8" t="s">
        <v>631</v>
      </c>
      <c r="C731" s="8" t="s">
        <v>633</v>
      </c>
      <c r="D731" s="26" t="n">
        <v>0</v>
      </c>
    </row>
    <row r="732" customFormat="false" ht="15" hidden="false" customHeight="true" outlineLevel="0" collapsed="false">
      <c r="A732" s="8" t="s">
        <v>1123</v>
      </c>
      <c r="B732" s="8" t="s">
        <v>631</v>
      </c>
      <c r="C732" s="8" t="s">
        <v>634</v>
      </c>
      <c r="D732" s="26" t="n">
        <v>0</v>
      </c>
    </row>
    <row r="733" customFormat="false" ht="15" hidden="false" customHeight="true" outlineLevel="0" collapsed="false">
      <c r="A733" s="8" t="s">
        <v>1123</v>
      </c>
      <c r="B733" s="8" t="s">
        <v>631</v>
      </c>
      <c r="C733" s="8" t="s">
        <v>635</v>
      </c>
      <c r="D733" s="26" t="n">
        <v>0</v>
      </c>
    </row>
    <row r="734" customFormat="false" ht="15" hidden="false" customHeight="true" outlineLevel="0" collapsed="false">
      <c r="A734" s="8" t="s">
        <v>1123</v>
      </c>
      <c r="B734" s="8" t="s">
        <v>631</v>
      </c>
      <c r="C734" s="8" t="s">
        <v>636</v>
      </c>
      <c r="D734" s="26" t="n">
        <v>0</v>
      </c>
    </row>
    <row r="735" customFormat="false" ht="15" hidden="false" customHeight="true" outlineLevel="0" collapsed="false">
      <c r="A735" s="8" t="s">
        <v>1123</v>
      </c>
      <c r="B735" s="8" t="s">
        <v>55</v>
      </c>
      <c r="C735" s="8" t="s">
        <v>637</v>
      </c>
      <c r="D735" s="26" t="n">
        <v>212</v>
      </c>
    </row>
    <row r="736" customFormat="false" ht="15" hidden="false" customHeight="true" outlineLevel="0" collapsed="false">
      <c r="A736" s="8" t="s">
        <v>1123</v>
      </c>
      <c r="B736" s="8" t="s">
        <v>55</v>
      </c>
      <c r="C736" s="8" t="s">
        <v>638</v>
      </c>
      <c r="D736" s="26" t="n">
        <v>180</v>
      </c>
    </row>
    <row r="737" customFormat="false" ht="15" hidden="false" customHeight="true" outlineLevel="0" collapsed="false">
      <c r="A737" s="8" t="s">
        <v>1123</v>
      </c>
      <c r="B737" s="8" t="s">
        <v>55</v>
      </c>
      <c r="C737" s="8" t="s">
        <v>639</v>
      </c>
      <c r="D737" s="26" t="n">
        <v>47</v>
      </c>
    </row>
    <row r="738" customFormat="false" ht="15" hidden="false" customHeight="true" outlineLevel="0" collapsed="false">
      <c r="A738" s="8" t="s">
        <v>1123</v>
      </c>
      <c r="B738" s="8" t="s">
        <v>55</v>
      </c>
      <c r="C738" s="8" t="s">
        <v>640</v>
      </c>
      <c r="D738" s="26" t="n">
        <v>131</v>
      </c>
    </row>
    <row r="739" customFormat="false" ht="15" hidden="false" customHeight="true" outlineLevel="0" collapsed="false">
      <c r="A739" s="8" t="s">
        <v>1123</v>
      </c>
      <c r="B739" s="8" t="s">
        <v>55</v>
      </c>
      <c r="C739" s="8" t="s">
        <v>641</v>
      </c>
      <c r="D739" s="26" t="n">
        <v>47</v>
      </c>
    </row>
    <row r="740" customFormat="false" ht="15" hidden="false" customHeight="true" outlineLevel="0" collapsed="false">
      <c r="A740" s="8" t="s">
        <v>1123</v>
      </c>
      <c r="B740" s="8" t="s">
        <v>642</v>
      </c>
      <c r="C740" s="8" t="s">
        <v>643</v>
      </c>
      <c r="D740" s="26" t="n">
        <v>0</v>
      </c>
    </row>
    <row r="741" customFormat="false" ht="15" hidden="false" customHeight="true" outlineLevel="0" collapsed="false">
      <c r="A741" s="8" t="s">
        <v>1123</v>
      </c>
      <c r="B741" s="8" t="s">
        <v>642</v>
      </c>
      <c r="C741" s="8" t="s">
        <v>644</v>
      </c>
      <c r="D741" s="26" t="n">
        <v>0</v>
      </c>
    </row>
    <row r="742" customFormat="false" ht="15" hidden="false" customHeight="true" outlineLevel="0" collapsed="false">
      <c r="A742" s="8" t="s">
        <v>1123</v>
      </c>
      <c r="B742" s="8" t="s">
        <v>642</v>
      </c>
      <c r="C742" s="8" t="s">
        <v>645</v>
      </c>
      <c r="D742" s="26" t="n">
        <v>0</v>
      </c>
    </row>
    <row r="743" customFormat="false" ht="15" hidden="false" customHeight="true" outlineLevel="0" collapsed="false">
      <c r="A743" s="8" t="s">
        <v>1123</v>
      </c>
      <c r="B743" s="8" t="s">
        <v>642</v>
      </c>
      <c r="C743" s="8" t="s">
        <v>646</v>
      </c>
      <c r="D743" s="26" t="n">
        <v>0</v>
      </c>
    </row>
    <row r="744" customFormat="false" ht="15" hidden="false" customHeight="true" outlineLevel="0" collapsed="false">
      <c r="A744" s="8" t="s">
        <v>1123</v>
      </c>
      <c r="B744" s="8" t="s">
        <v>57</v>
      </c>
      <c r="C744" s="8" t="s">
        <v>647</v>
      </c>
      <c r="D744" s="26" t="n">
        <v>39</v>
      </c>
    </row>
    <row r="745" customFormat="false" ht="15" hidden="false" customHeight="true" outlineLevel="0" collapsed="false">
      <c r="A745" s="8" t="s">
        <v>1123</v>
      </c>
      <c r="B745" s="8" t="s">
        <v>57</v>
      </c>
      <c r="C745" s="8" t="s">
        <v>648</v>
      </c>
      <c r="D745" s="26" t="n">
        <v>104</v>
      </c>
    </row>
    <row r="746" customFormat="false" ht="15" hidden="false" customHeight="true" outlineLevel="0" collapsed="false">
      <c r="A746" s="8" t="s">
        <v>1123</v>
      </c>
      <c r="B746" s="8" t="s">
        <v>57</v>
      </c>
      <c r="C746" s="8" t="s">
        <v>649</v>
      </c>
      <c r="D746" s="26" t="n">
        <v>140</v>
      </c>
    </row>
    <row r="747" customFormat="false" ht="15" hidden="false" customHeight="true" outlineLevel="0" collapsed="false">
      <c r="A747" s="8" t="s">
        <v>1123</v>
      </c>
      <c r="B747" s="8" t="s">
        <v>57</v>
      </c>
      <c r="C747" s="8" t="s">
        <v>650</v>
      </c>
      <c r="D747" s="26" t="n">
        <v>118</v>
      </c>
    </row>
    <row r="748" customFormat="false" ht="15" hidden="false" customHeight="true" outlineLevel="0" collapsed="false">
      <c r="A748" s="8" t="s">
        <v>1123</v>
      </c>
      <c r="B748" s="8" t="s">
        <v>57</v>
      </c>
      <c r="C748" s="8" t="s">
        <v>651</v>
      </c>
      <c r="D748" s="26" t="n">
        <v>41</v>
      </c>
    </row>
    <row r="749" customFormat="false" ht="15" hidden="false" customHeight="true" outlineLevel="0" collapsed="false">
      <c r="A749" s="8" t="s">
        <v>1123</v>
      </c>
      <c r="B749" s="8" t="s">
        <v>652</v>
      </c>
      <c r="C749" s="8" t="s">
        <v>653</v>
      </c>
      <c r="D749" s="26" t="n">
        <v>0</v>
      </c>
    </row>
    <row r="750" customFormat="false" ht="15" hidden="false" customHeight="true" outlineLevel="0" collapsed="false">
      <c r="A750" s="8" t="s">
        <v>1123</v>
      </c>
      <c r="B750" s="8" t="s">
        <v>652</v>
      </c>
      <c r="C750" s="8" t="s">
        <v>654</v>
      </c>
      <c r="D750" s="26" t="n">
        <v>0</v>
      </c>
    </row>
    <row r="751" customFormat="false" ht="15" hidden="false" customHeight="true" outlineLevel="0" collapsed="false">
      <c r="A751" s="8" t="s">
        <v>1123</v>
      </c>
      <c r="B751" s="8" t="s">
        <v>652</v>
      </c>
      <c r="C751" s="8" t="s">
        <v>655</v>
      </c>
      <c r="D751" s="26" t="n">
        <v>0</v>
      </c>
    </row>
    <row r="752" customFormat="false" ht="15" hidden="false" customHeight="true" outlineLevel="0" collapsed="false">
      <c r="A752" s="8" t="s">
        <v>1123</v>
      </c>
      <c r="B752" s="8" t="s">
        <v>652</v>
      </c>
      <c r="C752" s="8" t="s">
        <v>656</v>
      </c>
      <c r="D752" s="26" t="n">
        <v>0</v>
      </c>
    </row>
    <row r="753" customFormat="false" ht="15" hidden="false" customHeight="true" outlineLevel="0" collapsed="false">
      <c r="A753" s="8" t="s">
        <v>1123</v>
      </c>
      <c r="B753" s="8" t="s">
        <v>137</v>
      </c>
      <c r="C753" s="8" t="s">
        <v>658</v>
      </c>
      <c r="D753" s="26" t="n">
        <v>1</v>
      </c>
    </row>
    <row r="754" customFormat="false" ht="15" hidden="false" customHeight="true" outlineLevel="0" collapsed="false">
      <c r="A754" s="8" t="s">
        <v>1123</v>
      </c>
      <c r="B754" s="8" t="s">
        <v>137</v>
      </c>
      <c r="C754" s="8" t="s">
        <v>659</v>
      </c>
      <c r="D754" s="26" t="n">
        <v>9</v>
      </c>
    </row>
    <row r="755" customFormat="false" ht="15" hidden="false" customHeight="true" outlineLevel="0" collapsed="false">
      <c r="A755" s="8" t="s">
        <v>1123</v>
      </c>
      <c r="B755" s="8" t="s">
        <v>137</v>
      </c>
      <c r="C755" s="8" t="s">
        <v>660</v>
      </c>
      <c r="D755" s="26" t="n">
        <v>0</v>
      </c>
    </row>
    <row r="756" customFormat="false" ht="15" hidden="false" customHeight="true" outlineLevel="0" collapsed="false">
      <c r="A756" s="8" t="s">
        <v>1123</v>
      </c>
      <c r="B756" s="8" t="s">
        <v>137</v>
      </c>
      <c r="C756" s="8" t="s">
        <v>661</v>
      </c>
      <c r="D756" s="26" t="n">
        <v>11</v>
      </c>
    </row>
    <row r="757" customFormat="false" ht="15" hidden="false" customHeight="true" outlineLevel="0" collapsed="false">
      <c r="A757" s="8" t="s">
        <v>1123</v>
      </c>
      <c r="B757" s="8" t="s">
        <v>137</v>
      </c>
      <c r="C757" s="8" t="s">
        <v>662</v>
      </c>
      <c r="D757" s="26" t="n">
        <v>0</v>
      </c>
    </row>
    <row r="758" customFormat="false" ht="15" hidden="false" customHeight="true" outlineLevel="0" collapsed="false">
      <c r="A758" s="8" t="s">
        <v>1123</v>
      </c>
      <c r="B758" s="8" t="s">
        <v>663</v>
      </c>
      <c r="C758" s="8" t="s">
        <v>1139</v>
      </c>
      <c r="D758" s="26" t="n">
        <v>0</v>
      </c>
    </row>
    <row r="759" customFormat="false" ht="15" hidden="false" customHeight="true" outlineLevel="0" collapsed="false">
      <c r="A759" s="8" t="s">
        <v>1123</v>
      </c>
      <c r="B759" s="8" t="s">
        <v>663</v>
      </c>
      <c r="C759" s="8" t="s">
        <v>664</v>
      </c>
      <c r="D759" s="26" t="n">
        <v>0</v>
      </c>
    </row>
    <row r="760" customFormat="false" ht="15" hidden="false" customHeight="true" outlineLevel="0" collapsed="false">
      <c r="A760" s="8" t="s">
        <v>1123</v>
      </c>
      <c r="B760" s="8" t="s">
        <v>663</v>
      </c>
      <c r="C760" s="8" t="s">
        <v>665</v>
      </c>
      <c r="D760" s="26" t="n">
        <v>0</v>
      </c>
    </row>
    <row r="761" customFormat="false" ht="15" hidden="false" customHeight="true" outlineLevel="0" collapsed="false">
      <c r="A761" s="8" t="s">
        <v>1123</v>
      </c>
      <c r="B761" s="8" t="s">
        <v>663</v>
      </c>
      <c r="C761" s="8" t="s">
        <v>666</v>
      </c>
      <c r="D761" s="26" t="n">
        <v>0</v>
      </c>
    </row>
    <row r="762" customFormat="false" ht="15" hidden="false" customHeight="true" outlineLevel="0" collapsed="false">
      <c r="A762" s="8" t="s">
        <v>1123</v>
      </c>
      <c r="B762" s="8" t="s">
        <v>668</v>
      </c>
      <c r="C762" s="8" t="s">
        <v>669</v>
      </c>
      <c r="D762" s="26" t="n">
        <v>0</v>
      </c>
    </row>
    <row r="763" customFormat="false" ht="15" hidden="false" customHeight="true" outlineLevel="0" collapsed="false">
      <c r="A763" s="8" t="s">
        <v>1123</v>
      </c>
      <c r="B763" s="8" t="s">
        <v>668</v>
      </c>
      <c r="C763" s="8" t="s">
        <v>670</v>
      </c>
      <c r="D763" s="26" t="n">
        <v>0</v>
      </c>
    </row>
    <row r="764" customFormat="false" ht="15" hidden="false" customHeight="true" outlineLevel="0" collapsed="false">
      <c r="A764" s="8" t="s">
        <v>1123</v>
      </c>
      <c r="B764" s="8" t="s">
        <v>668</v>
      </c>
      <c r="C764" s="8" t="s">
        <v>1140</v>
      </c>
      <c r="D764" s="26" t="n">
        <v>0</v>
      </c>
    </row>
    <row r="765" customFormat="false" ht="15" hidden="false" customHeight="true" outlineLevel="0" collapsed="false">
      <c r="A765" s="8" t="s">
        <v>1123</v>
      </c>
      <c r="B765" s="8" t="s">
        <v>671</v>
      </c>
      <c r="C765" s="8" t="s">
        <v>672</v>
      </c>
      <c r="D765" s="26" t="n">
        <v>0</v>
      </c>
    </row>
    <row r="766" customFormat="false" ht="15" hidden="false" customHeight="true" outlineLevel="0" collapsed="false">
      <c r="A766" s="8" t="s">
        <v>1123</v>
      </c>
      <c r="B766" s="8" t="s">
        <v>671</v>
      </c>
      <c r="C766" s="8" t="s">
        <v>673</v>
      </c>
      <c r="D766" s="26" t="n">
        <v>0</v>
      </c>
    </row>
    <row r="767" customFormat="false" ht="15" hidden="false" customHeight="true" outlineLevel="0" collapsed="false">
      <c r="A767" s="8" t="s">
        <v>1123</v>
      </c>
      <c r="B767" s="8" t="s">
        <v>671</v>
      </c>
      <c r="C767" s="8" t="s">
        <v>674</v>
      </c>
      <c r="D767" s="26" t="n">
        <v>0</v>
      </c>
    </row>
    <row r="768" customFormat="false" ht="15" hidden="false" customHeight="true" outlineLevel="0" collapsed="false">
      <c r="A768" s="8" t="s">
        <v>1123</v>
      </c>
      <c r="B768" s="8" t="s">
        <v>671</v>
      </c>
      <c r="C768" s="8" t="s">
        <v>675</v>
      </c>
      <c r="D768" s="26" t="n">
        <v>0</v>
      </c>
    </row>
    <row r="769" customFormat="false" ht="15" hidden="false" customHeight="true" outlineLevel="0" collapsed="false">
      <c r="A769" s="8" t="s">
        <v>1123</v>
      </c>
      <c r="B769" s="8" t="s">
        <v>671</v>
      </c>
      <c r="C769" s="8" t="s">
        <v>676</v>
      </c>
      <c r="D769" s="26" t="n">
        <v>0</v>
      </c>
    </row>
    <row r="770" customFormat="false" ht="15" hidden="false" customHeight="true" outlineLevel="0" collapsed="false">
      <c r="A770" s="8" t="s">
        <v>1123</v>
      </c>
      <c r="B770" s="8" t="s">
        <v>76</v>
      </c>
      <c r="C770" s="8" t="s">
        <v>677</v>
      </c>
      <c r="D770" s="26" t="n">
        <v>4</v>
      </c>
    </row>
    <row r="771" customFormat="false" ht="15" hidden="false" customHeight="true" outlineLevel="0" collapsed="false">
      <c r="A771" s="8" t="s">
        <v>1123</v>
      </c>
      <c r="B771" s="8" t="s">
        <v>76</v>
      </c>
      <c r="C771" s="8" t="s">
        <v>678</v>
      </c>
      <c r="D771" s="26" t="n">
        <v>2</v>
      </c>
    </row>
    <row r="772" customFormat="false" ht="15" hidden="false" customHeight="true" outlineLevel="0" collapsed="false">
      <c r="A772" s="8" t="s">
        <v>1123</v>
      </c>
      <c r="B772" s="8" t="s">
        <v>76</v>
      </c>
      <c r="C772" s="8" t="s">
        <v>679</v>
      </c>
      <c r="D772" s="26" t="n">
        <v>6</v>
      </c>
    </row>
    <row r="773" customFormat="false" ht="15" hidden="false" customHeight="true" outlineLevel="0" collapsed="false">
      <c r="A773" s="8" t="s">
        <v>1123</v>
      </c>
      <c r="B773" s="8" t="s">
        <v>76</v>
      </c>
      <c r="C773" s="8" t="s">
        <v>680</v>
      </c>
      <c r="D773" s="26" t="n">
        <v>7</v>
      </c>
    </row>
    <row r="774" customFormat="false" ht="15" hidden="false" customHeight="true" outlineLevel="0" collapsed="false">
      <c r="A774" s="8" t="s">
        <v>1123</v>
      </c>
      <c r="B774" s="8" t="s">
        <v>54</v>
      </c>
      <c r="C774" s="8" t="s">
        <v>681</v>
      </c>
      <c r="D774" s="26" t="n">
        <v>126</v>
      </c>
    </row>
    <row r="775" customFormat="false" ht="15" hidden="false" customHeight="true" outlineLevel="0" collapsed="false">
      <c r="A775" s="8" t="s">
        <v>1123</v>
      </c>
      <c r="B775" s="8" t="s">
        <v>54</v>
      </c>
      <c r="C775" s="8" t="s">
        <v>682</v>
      </c>
      <c r="D775" s="26" t="n">
        <v>88</v>
      </c>
    </row>
    <row r="776" customFormat="false" ht="15" hidden="false" customHeight="true" outlineLevel="0" collapsed="false">
      <c r="A776" s="8" t="s">
        <v>1123</v>
      </c>
      <c r="B776" s="8" t="s">
        <v>54</v>
      </c>
      <c r="C776" s="8" t="s">
        <v>683</v>
      </c>
      <c r="D776" s="26" t="n">
        <v>55</v>
      </c>
    </row>
    <row r="777" customFormat="false" ht="15" hidden="false" customHeight="true" outlineLevel="0" collapsed="false">
      <c r="A777" s="8" t="s">
        <v>1123</v>
      </c>
      <c r="B777" s="8" t="s">
        <v>54</v>
      </c>
      <c r="C777" s="8" t="s">
        <v>684</v>
      </c>
      <c r="D777" s="26" t="n">
        <v>54</v>
      </c>
    </row>
    <row r="778" customFormat="false" ht="15" hidden="false" customHeight="true" outlineLevel="0" collapsed="false">
      <c r="A778" s="8" t="s">
        <v>1123</v>
      </c>
      <c r="B778" s="8" t="s">
        <v>65</v>
      </c>
      <c r="C778" s="8" t="s">
        <v>685</v>
      </c>
      <c r="D778" s="26" t="n">
        <v>58</v>
      </c>
    </row>
    <row r="779" customFormat="false" ht="15" hidden="false" customHeight="true" outlineLevel="0" collapsed="false">
      <c r="A779" s="8" t="s">
        <v>1123</v>
      </c>
      <c r="B779" s="8" t="s">
        <v>65</v>
      </c>
      <c r="C779" s="8" t="s">
        <v>686</v>
      </c>
      <c r="D779" s="26" t="n">
        <v>82</v>
      </c>
    </row>
    <row r="780" customFormat="false" ht="15" hidden="false" customHeight="true" outlineLevel="0" collapsed="false">
      <c r="A780" s="8" t="s">
        <v>1123</v>
      </c>
      <c r="B780" s="8" t="s">
        <v>65</v>
      </c>
      <c r="C780" s="8" t="s">
        <v>687</v>
      </c>
      <c r="D780" s="26" t="n">
        <v>98</v>
      </c>
    </row>
    <row r="781" customFormat="false" ht="15" hidden="false" customHeight="true" outlineLevel="0" collapsed="false">
      <c r="A781" s="8" t="s">
        <v>1123</v>
      </c>
      <c r="B781" s="8" t="s">
        <v>65</v>
      </c>
      <c r="C781" s="8" t="s">
        <v>688</v>
      </c>
      <c r="D781" s="26" t="n">
        <v>30</v>
      </c>
    </row>
    <row r="782" customFormat="false" ht="15" hidden="false" customHeight="true" outlineLevel="0" collapsed="false">
      <c r="A782" s="8" t="s">
        <v>1123</v>
      </c>
      <c r="B782" s="8" t="s">
        <v>65</v>
      </c>
      <c r="C782" s="8" t="s">
        <v>689</v>
      </c>
      <c r="D782" s="26" t="n">
        <v>4</v>
      </c>
    </row>
    <row r="783" customFormat="false" ht="15" hidden="false" customHeight="true" outlineLevel="0" collapsed="false">
      <c r="A783" s="8" t="s">
        <v>1123</v>
      </c>
      <c r="B783" s="8" t="s">
        <v>65</v>
      </c>
      <c r="C783" s="8" t="s">
        <v>690</v>
      </c>
      <c r="D783" s="26" t="n">
        <v>1</v>
      </c>
    </row>
    <row r="784" customFormat="false" ht="15" hidden="false" customHeight="true" outlineLevel="0" collapsed="false">
      <c r="A784" s="8" t="s">
        <v>1123</v>
      </c>
      <c r="B784" s="8" t="s">
        <v>1125</v>
      </c>
      <c r="C784" s="8" t="s">
        <v>1199</v>
      </c>
      <c r="D784" s="26" t="n">
        <v>0</v>
      </c>
    </row>
    <row r="785" customFormat="false" ht="15" hidden="false" customHeight="true" outlineLevel="0" collapsed="false">
      <c r="A785" s="8" t="s">
        <v>1123</v>
      </c>
      <c r="B785" s="8" t="s">
        <v>141</v>
      </c>
      <c r="C785" s="8" t="s">
        <v>691</v>
      </c>
      <c r="D785" s="26" t="n">
        <v>33</v>
      </c>
    </row>
    <row r="786" customFormat="false" ht="15" hidden="false" customHeight="true" outlineLevel="0" collapsed="false">
      <c r="A786" s="8" t="s">
        <v>1123</v>
      </c>
      <c r="B786" s="8" t="s">
        <v>108</v>
      </c>
      <c r="C786" s="8" t="s">
        <v>692</v>
      </c>
      <c r="D786" s="26" t="n">
        <v>48</v>
      </c>
    </row>
    <row r="787" customFormat="false" ht="15" hidden="false" customHeight="true" outlineLevel="0" collapsed="false">
      <c r="A787" s="8" t="s">
        <v>1123</v>
      </c>
      <c r="B787" s="8" t="s">
        <v>693</v>
      </c>
      <c r="C787" s="8" t="s">
        <v>694</v>
      </c>
      <c r="D787" s="26" t="n">
        <v>0</v>
      </c>
    </row>
    <row r="788" customFormat="false" ht="15" hidden="false" customHeight="true" outlineLevel="0" collapsed="false">
      <c r="A788" s="8" t="s">
        <v>1123</v>
      </c>
      <c r="B788" s="8" t="s">
        <v>693</v>
      </c>
      <c r="C788" s="8" t="s">
        <v>695</v>
      </c>
      <c r="D788" s="26" t="n">
        <v>0</v>
      </c>
    </row>
    <row r="789" customFormat="false" ht="15" hidden="false" customHeight="true" outlineLevel="0" collapsed="false">
      <c r="A789" s="8" t="s">
        <v>1123</v>
      </c>
      <c r="B789" s="8" t="s">
        <v>693</v>
      </c>
      <c r="C789" s="8" t="s">
        <v>696</v>
      </c>
      <c r="D789" s="26" t="n">
        <v>0</v>
      </c>
    </row>
    <row r="790" customFormat="false" ht="15" hidden="false" customHeight="true" outlineLevel="0" collapsed="false">
      <c r="A790" s="8" t="s">
        <v>1123</v>
      </c>
      <c r="B790" s="8" t="s">
        <v>693</v>
      </c>
      <c r="C790" s="8" t="s">
        <v>697</v>
      </c>
      <c r="D790" s="26" t="n">
        <v>0</v>
      </c>
    </row>
    <row r="791" customFormat="false" ht="15" hidden="false" customHeight="true" outlineLevel="0" collapsed="false">
      <c r="A791" s="8" t="s">
        <v>1123</v>
      </c>
      <c r="B791" s="8" t="s">
        <v>693</v>
      </c>
      <c r="C791" s="8" t="s">
        <v>698</v>
      </c>
      <c r="D791" s="26" t="n">
        <v>0</v>
      </c>
    </row>
    <row r="792" customFormat="false" ht="15" hidden="false" customHeight="true" outlineLevel="0" collapsed="false">
      <c r="A792" s="8" t="s">
        <v>1123</v>
      </c>
      <c r="B792" s="8" t="s">
        <v>693</v>
      </c>
      <c r="C792" s="8" t="s">
        <v>699</v>
      </c>
      <c r="D792" s="26" t="n">
        <v>0</v>
      </c>
    </row>
    <row r="793" customFormat="false" ht="15" hidden="false" customHeight="true" outlineLevel="0" collapsed="false">
      <c r="A793" s="8" t="s">
        <v>1123</v>
      </c>
      <c r="B793" s="8" t="s">
        <v>64</v>
      </c>
      <c r="C793" s="8" t="s">
        <v>700</v>
      </c>
      <c r="D793" s="26" t="n">
        <v>23</v>
      </c>
    </row>
    <row r="794" customFormat="false" ht="15" hidden="false" customHeight="true" outlineLevel="0" collapsed="false">
      <c r="A794" s="8" t="s">
        <v>1123</v>
      </c>
      <c r="B794" s="8" t="s">
        <v>64</v>
      </c>
      <c r="C794" s="8" t="s">
        <v>701</v>
      </c>
      <c r="D794" s="26" t="n">
        <v>43</v>
      </c>
    </row>
    <row r="795" customFormat="false" ht="15" hidden="false" customHeight="true" outlineLevel="0" collapsed="false">
      <c r="A795" s="8" t="s">
        <v>1123</v>
      </c>
      <c r="B795" s="8" t="s">
        <v>64</v>
      </c>
      <c r="C795" s="8" t="s">
        <v>702</v>
      </c>
      <c r="D795" s="26" t="n">
        <v>53</v>
      </c>
    </row>
    <row r="796" customFormat="false" ht="15" hidden="false" customHeight="true" outlineLevel="0" collapsed="false">
      <c r="A796" s="8" t="s">
        <v>1123</v>
      </c>
      <c r="B796" s="8" t="s">
        <v>111</v>
      </c>
      <c r="C796" s="8" t="s">
        <v>703</v>
      </c>
      <c r="D796" s="26" t="n">
        <v>23</v>
      </c>
    </row>
    <row r="797" customFormat="false" ht="15" hidden="false" customHeight="true" outlineLevel="0" collapsed="false">
      <c r="A797" s="8" t="s">
        <v>1123</v>
      </c>
      <c r="B797" s="8" t="s">
        <v>1141</v>
      </c>
      <c r="C797" s="8" t="s">
        <v>1142</v>
      </c>
      <c r="D797" s="26" t="n">
        <v>0</v>
      </c>
    </row>
    <row r="798" customFormat="false" ht="15" hidden="false" customHeight="true" outlineLevel="0" collapsed="false">
      <c r="A798" s="8" t="s">
        <v>1123</v>
      </c>
      <c r="B798" s="8" t="s">
        <v>707</v>
      </c>
      <c r="C798" s="8" t="s">
        <v>710</v>
      </c>
      <c r="D798" s="26" t="n">
        <v>0</v>
      </c>
    </row>
    <row r="799" customFormat="false" ht="15" hidden="false" customHeight="true" outlineLevel="0" collapsed="false">
      <c r="A799" s="8" t="s">
        <v>1123</v>
      </c>
      <c r="B799" s="8" t="s">
        <v>713</v>
      </c>
      <c r="C799" s="8" t="s">
        <v>715</v>
      </c>
      <c r="D799" s="26" t="n">
        <v>0</v>
      </c>
    </row>
    <row r="800" customFormat="false" ht="15" hidden="false" customHeight="true" outlineLevel="0" collapsed="false">
      <c r="A800" s="8" t="s">
        <v>1123</v>
      </c>
      <c r="B800" s="8" t="s">
        <v>713</v>
      </c>
      <c r="C800" s="8" t="s">
        <v>716</v>
      </c>
      <c r="D800" s="26" t="n">
        <v>0</v>
      </c>
    </row>
    <row r="801" customFormat="false" ht="15" hidden="false" customHeight="true" outlineLevel="0" collapsed="false">
      <c r="A801" s="8" t="s">
        <v>1123</v>
      </c>
      <c r="B801" s="8" t="s">
        <v>713</v>
      </c>
      <c r="C801" s="8" t="s">
        <v>717</v>
      </c>
      <c r="D801" s="26" t="n">
        <v>0</v>
      </c>
    </row>
    <row r="802" customFormat="false" ht="15" hidden="false" customHeight="true" outlineLevel="0" collapsed="false">
      <c r="A802" s="8" t="s">
        <v>1123</v>
      </c>
      <c r="B802" s="8" t="s">
        <v>718</v>
      </c>
      <c r="C802" s="8" t="s">
        <v>721</v>
      </c>
      <c r="D802" s="26" t="n">
        <v>0</v>
      </c>
    </row>
    <row r="803" customFormat="false" ht="15" hidden="false" customHeight="true" outlineLevel="0" collapsed="false">
      <c r="A803" s="8" t="s">
        <v>1123</v>
      </c>
      <c r="B803" s="8" t="s">
        <v>723</v>
      </c>
      <c r="C803" s="8" t="s">
        <v>724</v>
      </c>
      <c r="D803" s="26" t="n">
        <v>0</v>
      </c>
    </row>
    <row r="804" customFormat="false" ht="15" hidden="false" customHeight="true" outlineLevel="0" collapsed="false">
      <c r="A804" s="8" t="s">
        <v>1123</v>
      </c>
      <c r="B804" s="8" t="s">
        <v>725</v>
      </c>
      <c r="C804" s="8" t="s">
        <v>726</v>
      </c>
      <c r="D804" s="26" t="n">
        <v>0</v>
      </c>
    </row>
    <row r="805" customFormat="false" ht="15" hidden="false" customHeight="true" outlineLevel="0" collapsed="false">
      <c r="A805" s="8" t="s">
        <v>1123</v>
      </c>
      <c r="B805" s="8" t="s">
        <v>725</v>
      </c>
      <c r="C805" s="8" t="s">
        <v>727</v>
      </c>
      <c r="D805" s="26" t="n">
        <v>0</v>
      </c>
    </row>
    <row r="806" customFormat="false" ht="15" hidden="false" customHeight="true" outlineLevel="0" collapsed="false">
      <c r="A806" s="8" t="s">
        <v>1123</v>
      </c>
      <c r="B806" s="8" t="s">
        <v>725</v>
      </c>
      <c r="C806" s="8" t="s">
        <v>728</v>
      </c>
      <c r="D806" s="26" t="n">
        <v>0</v>
      </c>
    </row>
    <row r="807" customFormat="false" ht="15" hidden="false" customHeight="true" outlineLevel="0" collapsed="false">
      <c r="A807" s="8" t="s">
        <v>1123</v>
      </c>
      <c r="B807" s="8" t="s">
        <v>1143</v>
      </c>
      <c r="C807" s="8" t="s">
        <v>1144</v>
      </c>
      <c r="D807" s="26" t="n">
        <v>0</v>
      </c>
    </row>
    <row r="808" customFormat="false" ht="15" hidden="false" customHeight="true" outlineLevel="0" collapsed="false">
      <c r="A808" s="8" t="s">
        <v>1123</v>
      </c>
      <c r="B808" s="8" t="s">
        <v>58</v>
      </c>
      <c r="C808" s="8" t="s">
        <v>729</v>
      </c>
      <c r="D808" s="26" t="n">
        <v>4</v>
      </c>
    </row>
    <row r="809" customFormat="false" ht="15" hidden="false" customHeight="true" outlineLevel="0" collapsed="false">
      <c r="A809" s="8" t="s">
        <v>1123</v>
      </c>
      <c r="B809" s="8" t="s">
        <v>58</v>
      </c>
      <c r="C809" s="8" t="s">
        <v>730</v>
      </c>
      <c r="D809" s="26" t="n">
        <v>21</v>
      </c>
    </row>
    <row r="810" customFormat="false" ht="15" hidden="false" customHeight="true" outlineLevel="0" collapsed="false">
      <c r="A810" s="8" t="s">
        <v>1123</v>
      </c>
      <c r="B810" s="8" t="s">
        <v>58</v>
      </c>
      <c r="C810" s="8" t="s">
        <v>731</v>
      </c>
      <c r="D810" s="26" t="n">
        <v>19</v>
      </c>
    </row>
    <row r="811" customFormat="false" ht="15" hidden="false" customHeight="true" outlineLevel="0" collapsed="false">
      <c r="A811" s="8" t="s">
        <v>1123</v>
      </c>
      <c r="B811" s="8" t="s">
        <v>58</v>
      </c>
      <c r="C811" s="8" t="s">
        <v>732</v>
      </c>
      <c r="D811" s="26" t="n">
        <v>14</v>
      </c>
    </row>
    <row r="812" customFormat="false" ht="15" hidden="false" customHeight="true" outlineLevel="0" collapsed="false">
      <c r="A812" s="8" t="s">
        <v>1123</v>
      </c>
      <c r="B812" s="8" t="s">
        <v>58</v>
      </c>
      <c r="C812" s="8" t="s">
        <v>733</v>
      </c>
      <c r="D812" s="26" t="n">
        <v>7</v>
      </c>
    </row>
    <row r="813" customFormat="false" ht="15" hidden="false" customHeight="true" outlineLevel="0" collapsed="false">
      <c r="A813" s="8" t="s">
        <v>1123</v>
      </c>
      <c r="B813" s="8" t="s">
        <v>734</v>
      </c>
      <c r="C813" s="8" t="s">
        <v>735</v>
      </c>
      <c r="D813" s="26" t="n">
        <v>0</v>
      </c>
    </row>
    <row r="814" customFormat="false" ht="15" hidden="false" customHeight="true" outlineLevel="0" collapsed="false">
      <c r="A814" s="8" t="s">
        <v>1123</v>
      </c>
      <c r="B814" s="8" t="s">
        <v>741</v>
      </c>
      <c r="C814" s="8" t="s">
        <v>742</v>
      </c>
      <c r="D814" s="26" t="n">
        <v>0</v>
      </c>
    </row>
    <row r="815" customFormat="false" ht="15" hidden="false" customHeight="true" outlineLevel="0" collapsed="false">
      <c r="A815" s="8" t="s">
        <v>1123</v>
      </c>
      <c r="B815" s="8" t="s">
        <v>1145</v>
      </c>
      <c r="C815" s="8" t="s">
        <v>1146</v>
      </c>
      <c r="D815" s="26" t="n">
        <v>0</v>
      </c>
    </row>
    <row r="816" customFormat="false" ht="15" hidden="false" customHeight="true" outlineLevel="0" collapsed="false">
      <c r="A816" s="8" t="s">
        <v>1123</v>
      </c>
      <c r="B816" s="8" t="s">
        <v>154</v>
      </c>
      <c r="C816" s="8" t="s">
        <v>746</v>
      </c>
      <c r="D816" s="26" t="n">
        <v>0</v>
      </c>
    </row>
    <row r="817" customFormat="false" ht="15" hidden="false" customHeight="true" outlineLevel="0" collapsed="false">
      <c r="A817" s="8" t="s">
        <v>1123</v>
      </c>
      <c r="B817" s="8" t="s">
        <v>154</v>
      </c>
      <c r="C817" s="8" t="s">
        <v>747</v>
      </c>
      <c r="D817" s="26" t="n">
        <v>1</v>
      </c>
    </row>
    <row r="818" customFormat="false" ht="15" hidden="false" customHeight="true" outlineLevel="0" collapsed="false">
      <c r="A818" s="8" t="s">
        <v>1123</v>
      </c>
      <c r="B818" s="8" t="s">
        <v>154</v>
      </c>
      <c r="C818" s="8" t="s">
        <v>748</v>
      </c>
      <c r="D818" s="26" t="n">
        <v>0</v>
      </c>
    </row>
    <row r="819" customFormat="false" ht="15" hidden="false" customHeight="true" outlineLevel="0" collapsed="false">
      <c r="A819" s="8" t="s">
        <v>1123</v>
      </c>
      <c r="B819" s="8" t="s">
        <v>749</v>
      </c>
      <c r="C819" s="8" t="s">
        <v>753</v>
      </c>
      <c r="D819" s="26" t="n">
        <v>0</v>
      </c>
    </row>
    <row r="820" customFormat="false" ht="15" hidden="false" customHeight="true" outlineLevel="0" collapsed="false">
      <c r="A820" s="8" t="s">
        <v>1123</v>
      </c>
      <c r="B820" s="8" t="s">
        <v>749</v>
      </c>
      <c r="C820" s="8" t="s">
        <v>754</v>
      </c>
      <c r="D820" s="26" t="n">
        <v>0</v>
      </c>
    </row>
    <row r="821" customFormat="false" ht="15" hidden="false" customHeight="true" outlineLevel="0" collapsed="false">
      <c r="A821" s="8" t="s">
        <v>1123</v>
      </c>
      <c r="B821" s="8" t="s">
        <v>693</v>
      </c>
      <c r="C821" s="8" t="s">
        <v>755</v>
      </c>
      <c r="D821" s="26" t="n">
        <v>0</v>
      </c>
    </row>
    <row r="822" customFormat="false" ht="15" hidden="false" customHeight="true" outlineLevel="0" collapsed="false">
      <c r="A822" s="8" t="s">
        <v>1123</v>
      </c>
      <c r="B822" s="8" t="s">
        <v>723</v>
      </c>
      <c r="C822" s="8" t="s">
        <v>756</v>
      </c>
      <c r="D822" s="26" t="n">
        <v>0</v>
      </c>
    </row>
    <row r="823" customFormat="false" ht="15" hidden="false" customHeight="true" outlineLevel="0" collapsed="false">
      <c r="A823" s="8" t="s">
        <v>1123</v>
      </c>
      <c r="B823" s="8" t="s">
        <v>146</v>
      </c>
      <c r="C823" s="8" t="s">
        <v>757</v>
      </c>
      <c r="D823" s="26" t="n">
        <v>4</v>
      </c>
    </row>
    <row r="824" customFormat="false" ht="15" hidden="false" customHeight="true" outlineLevel="0" collapsed="false">
      <c r="A824" s="8" t="s">
        <v>1123</v>
      </c>
      <c r="B824" s="8" t="s">
        <v>102</v>
      </c>
      <c r="C824" s="8" t="s">
        <v>758</v>
      </c>
      <c r="D824" s="26" t="n">
        <v>62</v>
      </c>
    </row>
    <row r="825" customFormat="false" ht="15" hidden="false" customHeight="true" outlineLevel="0" collapsed="false">
      <c r="A825" s="8" t="s">
        <v>1123</v>
      </c>
      <c r="B825" s="8" t="s">
        <v>760</v>
      </c>
      <c r="C825" s="8" t="s">
        <v>761</v>
      </c>
      <c r="D825" s="26" t="n">
        <v>0</v>
      </c>
    </row>
    <row r="826" customFormat="false" ht="15" hidden="false" customHeight="true" outlineLevel="0" collapsed="false">
      <c r="A826" s="8" t="s">
        <v>1123</v>
      </c>
      <c r="B826" s="8" t="s">
        <v>762</v>
      </c>
      <c r="C826" s="8" t="s">
        <v>763</v>
      </c>
      <c r="D826" s="26" t="n">
        <v>0</v>
      </c>
    </row>
    <row r="827" customFormat="false" ht="15" hidden="false" customHeight="true" outlineLevel="0" collapsed="false">
      <c r="A827" s="8" t="s">
        <v>1123</v>
      </c>
      <c r="B827" s="8" t="s">
        <v>764</v>
      </c>
      <c r="C827" s="8" t="s">
        <v>765</v>
      </c>
      <c r="D827" s="26" t="n">
        <v>0</v>
      </c>
    </row>
    <row r="828" customFormat="false" ht="15" hidden="false" customHeight="true" outlineLevel="0" collapsed="false">
      <c r="A828" s="8" t="s">
        <v>1123</v>
      </c>
      <c r="B828" s="8" t="s">
        <v>766</v>
      </c>
      <c r="C828" s="8" t="s">
        <v>767</v>
      </c>
      <c r="D828" s="26" t="n">
        <v>0</v>
      </c>
    </row>
    <row r="829" customFormat="false" ht="15" hidden="false" customHeight="true" outlineLevel="0" collapsed="false">
      <c r="A829" s="8" t="s">
        <v>1123</v>
      </c>
      <c r="B829" s="8" t="s">
        <v>768</v>
      </c>
      <c r="C829" s="8" t="s">
        <v>769</v>
      </c>
      <c r="D829" s="26" t="n">
        <v>0</v>
      </c>
    </row>
    <row r="830" customFormat="false" ht="15" hidden="false" customHeight="true" outlineLevel="0" collapsed="false">
      <c r="A830" s="8" t="s">
        <v>1123</v>
      </c>
      <c r="B830" s="8" t="s">
        <v>55</v>
      </c>
      <c r="C830" s="8" t="s">
        <v>770</v>
      </c>
      <c r="D830" s="26" t="n">
        <v>0</v>
      </c>
    </row>
    <row r="831" customFormat="false" ht="15" hidden="false" customHeight="true" outlineLevel="0" collapsed="false">
      <c r="A831" s="8" t="s">
        <v>1123</v>
      </c>
      <c r="B831" s="8" t="s">
        <v>127</v>
      </c>
      <c r="C831" s="8" t="s">
        <v>771</v>
      </c>
      <c r="D831" s="26" t="n">
        <v>16</v>
      </c>
    </row>
    <row r="832" customFormat="false" ht="15" hidden="false" customHeight="true" outlineLevel="0" collapsed="false">
      <c r="A832" s="8" t="s">
        <v>1123</v>
      </c>
      <c r="B832" s="8" t="s">
        <v>777</v>
      </c>
      <c r="C832" s="8" t="s">
        <v>778</v>
      </c>
      <c r="D832" s="26" t="n">
        <v>0</v>
      </c>
    </row>
    <row r="833" customFormat="false" ht="15" hidden="false" customHeight="true" outlineLevel="0" collapsed="false">
      <c r="A833" s="8" t="s">
        <v>1123</v>
      </c>
      <c r="B833" s="8" t="s">
        <v>779</v>
      </c>
      <c r="C833" s="8" t="s">
        <v>780</v>
      </c>
      <c r="D833" s="26" t="n">
        <v>0</v>
      </c>
    </row>
    <row r="834" customFormat="false" ht="15" hidden="false" customHeight="true" outlineLevel="0" collapsed="false">
      <c r="A834" s="8" t="s">
        <v>1123</v>
      </c>
      <c r="B834" s="8" t="s">
        <v>779</v>
      </c>
      <c r="C834" s="8" t="s">
        <v>781</v>
      </c>
      <c r="D834" s="26" t="n">
        <v>0</v>
      </c>
    </row>
    <row r="835" customFormat="false" ht="15" hidden="false" customHeight="true" outlineLevel="0" collapsed="false">
      <c r="A835" s="8" t="s">
        <v>1123</v>
      </c>
      <c r="B835" s="8" t="s">
        <v>779</v>
      </c>
      <c r="C835" s="8" t="s">
        <v>782</v>
      </c>
      <c r="D835" s="26" t="n">
        <v>0</v>
      </c>
    </row>
    <row r="836" customFormat="false" ht="15" hidden="false" customHeight="true" outlineLevel="0" collapsed="false">
      <c r="A836" s="8" t="s">
        <v>1123</v>
      </c>
      <c r="B836" s="8" t="s">
        <v>779</v>
      </c>
      <c r="C836" s="8" t="s">
        <v>783</v>
      </c>
      <c r="D836" s="26" t="n">
        <v>0</v>
      </c>
    </row>
    <row r="837" customFormat="false" ht="15" hidden="false" customHeight="true" outlineLevel="0" collapsed="false">
      <c r="A837" s="8" t="s">
        <v>1123</v>
      </c>
      <c r="B837" s="8" t="s">
        <v>779</v>
      </c>
      <c r="C837" s="8" t="s">
        <v>784</v>
      </c>
      <c r="D837" s="26" t="n">
        <v>0</v>
      </c>
    </row>
    <row r="838" customFormat="false" ht="15" hidden="false" customHeight="true" outlineLevel="0" collapsed="false">
      <c r="A838" s="8" t="s">
        <v>1123</v>
      </c>
      <c r="B838" s="8" t="s">
        <v>785</v>
      </c>
      <c r="C838" s="8" t="s">
        <v>786</v>
      </c>
      <c r="D838" s="26" t="n">
        <v>0</v>
      </c>
    </row>
    <row r="839" customFormat="false" ht="15" hidden="false" customHeight="true" outlineLevel="0" collapsed="false">
      <c r="A839" s="8" t="s">
        <v>1123</v>
      </c>
      <c r="B839" s="8" t="s">
        <v>785</v>
      </c>
      <c r="C839" s="8" t="s">
        <v>787</v>
      </c>
      <c r="D839" s="26" t="n">
        <v>0</v>
      </c>
    </row>
    <row r="840" customFormat="false" ht="15" hidden="false" customHeight="true" outlineLevel="0" collapsed="false">
      <c r="A840" s="8" t="s">
        <v>1123</v>
      </c>
      <c r="B840" s="8" t="s">
        <v>785</v>
      </c>
      <c r="C840" s="8" t="s">
        <v>788</v>
      </c>
      <c r="D840" s="26" t="n">
        <v>0</v>
      </c>
    </row>
    <row r="841" customFormat="false" ht="15" hidden="false" customHeight="true" outlineLevel="0" collapsed="false">
      <c r="A841" s="8" t="s">
        <v>1123</v>
      </c>
      <c r="B841" s="8" t="s">
        <v>785</v>
      </c>
      <c r="C841" s="8" t="s">
        <v>789</v>
      </c>
      <c r="D841" s="26" t="n">
        <v>0</v>
      </c>
    </row>
    <row r="842" customFormat="false" ht="15" hidden="false" customHeight="true" outlineLevel="0" collapsed="false">
      <c r="A842" s="8" t="s">
        <v>1123</v>
      </c>
      <c r="B842" s="8" t="s">
        <v>790</v>
      </c>
      <c r="C842" s="8" t="s">
        <v>1147</v>
      </c>
      <c r="D842" s="26" t="n">
        <v>0</v>
      </c>
    </row>
    <row r="843" customFormat="false" ht="15" hidden="false" customHeight="true" outlineLevel="0" collapsed="false">
      <c r="A843" s="8" t="s">
        <v>1123</v>
      </c>
      <c r="B843" s="8" t="s">
        <v>126</v>
      </c>
      <c r="C843" s="8" t="s">
        <v>792</v>
      </c>
      <c r="D843" s="26" t="n">
        <v>7</v>
      </c>
    </row>
    <row r="844" customFormat="false" ht="15" hidden="false" customHeight="true" outlineLevel="0" collapsed="false">
      <c r="A844" s="8" t="s">
        <v>1123</v>
      </c>
      <c r="B844" s="8" t="s">
        <v>793</v>
      </c>
      <c r="C844" s="8" t="s">
        <v>794</v>
      </c>
      <c r="D844" s="26" t="n">
        <v>0</v>
      </c>
    </row>
    <row r="845" customFormat="false" ht="15" hidden="false" customHeight="true" outlineLevel="0" collapsed="false">
      <c r="A845" s="8" t="s">
        <v>1123</v>
      </c>
      <c r="B845" s="8" t="s">
        <v>795</v>
      </c>
      <c r="C845" s="8" t="s">
        <v>796</v>
      </c>
      <c r="D845" s="26" t="n">
        <v>0</v>
      </c>
    </row>
    <row r="846" customFormat="false" ht="15" hidden="false" customHeight="true" outlineLevel="0" collapsed="false">
      <c r="A846" s="8" t="s">
        <v>1123</v>
      </c>
      <c r="B846" s="8" t="s">
        <v>797</v>
      </c>
      <c r="C846" s="8" t="s">
        <v>798</v>
      </c>
      <c r="D846" s="26" t="n">
        <v>0</v>
      </c>
    </row>
    <row r="847" customFormat="false" ht="15" hidden="false" customHeight="true" outlineLevel="0" collapsed="false">
      <c r="A847" s="8" t="s">
        <v>1123</v>
      </c>
      <c r="B847" s="8" t="s">
        <v>72</v>
      </c>
      <c r="C847" s="8" t="s">
        <v>799</v>
      </c>
      <c r="D847" s="26" t="n">
        <v>167</v>
      </c>
    </row>
    <row r="848" customFormat="false" ht="15" hidden="false" customHeight="true" outlineLevel="0" collapsed="false">
      <c r="A848" s="8" t="s">
        <v>1123</v>
      </c>
      <c r="B848" s="8" t="s">
        <v>800</v>
      </c>
      <c r="C848" s="8" t="s">
        <v>802</v>
      </c>
      <c r="D848" s="26" t="n">
        <v>0</v>
      </c>
    </row>
    <row r="849" customFormat="false" ht="15" hidden="false" customHeight="true" outlineLevel="0" collapsed="false">
      <c r="A849" s="8" t="s">
        <v>1123</v>
      </c>
      <c r="B849" s="8" t="s">
        <v>803</v>
      </c>
      <c r="C849" s="8" t="s">
        <v>804</v>
      </c>
      <c r="D849" s="26" t="n">
        <v>0</v>
      </c>
    </row>
    <row r="850" customFormat="false" ht="15" hidden="false" customHeight="true" outlineLevel="0" collapsed="false">
      <c r="A850" s="8" t="s">
        <v>1123</v>
      </c>
      <c r="B850" s="8" t="s">
        <v>803</v>
      </c>
      <c r="C850" s="8" t="s">
        <v>805</v>
      </c>
      <c r="D850" s="26" t="n">
        <v>0</v>
      </c>
    </row>
    <row r="851" customFormat="false" ht="15" hidden="false" customHeight="true" outlineLevel="0" collapsed="false">
      <c r="A851" s="8" t="s">
        <v>1123</v>
      </c>
      <c r="B851" s="8" t="s">
        <v>803</v>
      </c>
      <c r="C851" s="8" t="s">
        <v>802</v>
      </c>
      <c r="D851" s="26" t="n">
        <v>0</v>
      </c>
    </row>
    <row r="852" customFormat="false" ht="15" hidden="false" customHeight="true" outlineLevel="0" collapsed="false">
      <c r="A852" s="8" t="s">
        <v>1123</v>
      </c>
      <c r="B852" s="8" t="s">
        <v>806</v>
      </c>
      <c r="C852" s="8" t="s">
        <v>807</v>
      </c>
      <c r="D852" s="26" t="n">
        <v>0</v>
      </c>
    </row>
    <row r="853" customFormat="false" ht="15" hidden="false" customHeight="true" outlineLevel="0" collapsed="false">
      <c r="A853" s="8" t="s">
        <v>1123</v>
      </c>
      <c r="B853" s="8" t="s">
        <v>806</v>
      </c>
      <c r="C853" s="8" t="s">
        <v>808</v>
      </c>
      <c r="D853" s="26" t="n">
        <v>0</v>
      </c>
    </row>
    <row r="854" customFormat="false" ht="15" hidden="false" customHeight="true" outlineLevel="0" collapsed="false">
      <c r="A854" s="8" t="s">
        <v>1123</v>
      </c>
      <c r="B854" s="8" t="s">
        <v>809</v>
      </c>
      <c r="C854" s="8" t="s">
        <v>807</v>
      </c>
      <c r="D854" s="26" t="n">
        <v>0</v>
      </c>
    </row>
    <row r="855" customFormat="false" ht="15" hidden="false" customHeight="true" outlineLevel="0" collapsed="false">
      <c r="A855" s="8" t="s">
        <v>1123</v>
      </c>
      <c r="B855" s="8" t="s">
        <v>809</v>
      </c>
      <c r="C855" s="8" t="s">
        <v>808</v>
      </c>
      <c r="D855" s="26" t="n">
        <v>0</v>
      </c>
    </row>
    <row r="856" customFormat="false" ht="15" hidden="false" customHeight="true" outlineLevel="0" collapsed="false">
      <c r="A856" s="8" t="s">
        <v>1123</v>
      </c>
      <c r="B856" s="8" t="s">
        <v>150</v>
      </c>
      <c r="C856" s="8" t="s">
        <v>810</v>
      </c>
      <c r="D856" s="26" t="n">
        <v>17</v>
      </c>
    </row>
    <row r="857" customFormat="false" ht="15" hidden="false" customHeight="true" outlineLevel="0" collapsed="false">
      <c r="A857" s="8" t="s">
        <v>1123</v>
      </c>
      <c r="B857" s="8" t="s">
        <v>814</v>
      </c>
      <c r="C857" s="8" t="s">
        <v>815</v>
      </c>
      <c r="D857" s="26" t="n">
        <v>0</v>
      </c>
    </row>
    <row r="858" customFormat="false" ht="15" hidden="false" customHeight="true" outlineLevel="0" collapsed="false">
      <c r="A858" s="8" t="s">
        <v>1123</v>
      </c>
      <c r="B858" s="8" t="s">
        <v>814</v>
      </c>
      <c r="C858" s="8" t="s">
        <v>1148</v>
      </c>
      <c r="D858" s="26" t="n">
        <v>0</v>
      </c>
    </row>
    <row r="859" customFormat="false" ht="15" hidden="false" customHeight="true" outlineLevel="0" collapsed="false">
      <c r="A859" s="8" t="s">
        <v>1123</v>
      </c>
      <c r="B859" s="8" t="s">
        <v>1149</v>
      </c>
      <c r="C859" s="8" t="s">
        <v>1150</v>
      </c>
      <c r="D859" s="26" t="n">
        <v>0</v>
      </c>
    </row>
    <row r="860" customFormat="false" ht="15" hidden="false" customHeight="true" outlineLevel="0" collapsed="false">
      <c r="A860" s="8" t="s">
        <v>1123</v>
      </c>
      <c r="B860" s="8" t="s">
        <v>1200</v>
      </c>
      <c r="C860" s="8" t="s">
        <v>1201</v>
      </c>
      <c r="D860" s="26" t="n">
        <v>0</v>
      </c>
    </row>
    <row r="861" customFormat="false" ht="15" hidden="false" customHeight="true" outlineLevel="0" collapsed="false">
      <c r="A861" s="8" t="s">
        <v>1123</v>
      </c>
      <c r="B861" s="8" t="s">
        <v>51</v>
      </c>
      <c r="C861" s="8" t="s">
        <v>820</v>
      </c>
      <c r="D861" s="26" t="n">
        <v>85</v>
      </c>
    </row>
    <row r="862" customFormat="false" ht="15" hidden="false" customHeight="true" outlineLevel="0" collapsed="false">
      <c r="A862" s="8" t="s">
        <v>1123</v>
      </c>
      <c r="B862" s="8" t="s">
        <v>51</v>
      </c>
      <c r="C862" s="8" t="s">
        <v>821</v>
      </c>
      <c r="D862" s="26" t="n">
        <v>87</v>
      </c>
    </row>
    <row r="863" customFormat="false" ht="15" hidden="false" customHeight="true" outlineLevel="0" collapsed="false">
      <c r="A863" s="8" t="s">
        <v>1123</v>
      </c>
      <c r="B863" s="8" t="s">
        <v>51</v>
      </c>
      <c r="C863" s="8" t="s">
        <v>822</v>
      </c>
      <c r="D863" s="26" t="n">
        <v>23</v>
      </c>
    </row>
    <row r="864" customFormat="false" ht="15" hidden="false" customHeight="true" outlineLevel="0" collapsed="false">
      <c r="A864" s="8" t="s">
        <v>1123</v>
      </c>
      <c r="B864" s="8" t="s">
        <v>823</v>
      </c>
      <c r="C864" s="8" t="s">
        <v>824</v>
      </c>
      <c r="D864" s="26" t="n">
        <v>0</v>
      </c>
    </row>
    <row r="865" customFormat="false" ht="15" hidden="false" customHeight="true" outlineLevel="0" collapsed="false">
      <c r="A865" s="8" t="s">
        <v>1123</v>
      </c>
      <c r="B865" s="8" t="s">
        <v>823</v>
      </c>
      <c r="C865" s="8" t="s">
        <v>825</v>
      </c>
      <c r="D865" s="26" t="n">
        <v>0</v>
      </c>
    </row>
    <row r="866" customFormat="false" ht="15" hidden="false" customHeight="true" outlineLevel="0" collapsed="false">
      <c r="A866" s="8" t="s">
        <v>1123</v>
      </c>
      <c r="B866" s="8" t="s">
        <v>823</v>
      </c>
      <c r="C866" s="8" t="s">
        <v>826</v>
      </c>
      <c r="D866" s="26" t="n">
        <v>0</v>
      </c>
    </row>
    <row r="867" customFormat="false" ht="15" hidden="false" customHeight="true" outlineLevel="0" collapsed="false">
      <c r="A867" s="8" t="s">
        <v>1123</v>
      </c>
      <c r="B867" s="8" t="s">
        <v>116</v>
      </c>
      <c r="C867" s="8" t="s">
        <v>692</v>
      </c>
      <c r="D867" s="26" t="n">
        <v>46</v>
      </c>
    </row>
    <row r="868" customFormat="false" ht="15" hidden="false" customHeight="true" outlineLevel="0" collapsed="false">
      <c r="A868" s="8" t="s">
        <v>1123</v>
      </c>
      <c r="B868" s="8" t="s">
        <v>831</v>
      </c>
      <c r="C868" s="8" t="s">
        <v>832</v>
      </c>
      <c r="D868" s="26" t="n">
        <v>0</v>
      </c>
    </row>
    <row r="869" customFormat="false" ht="15" hidden="false" customHeight="true" outlineLevel="0" collapsed="false">
      <c r="A869" s="8" t="s">
        <v>1123</v>
      </c>
      <c r="B869" s="8" t="s">
        <v>831</v>
      </c>
      <c r="C869" s="8" t="s">
        <v>833</v>
      </c>
      <c r="D869" s="26" t="n">
        <v>0</v>
      </c>
    </row>
    <row r="870" customFormat="false" ht="15" hidden="false" customHeight="true" outlineLevel="0" collapsed="false">
      <c r="A870" s="8" t="s">
        <v>1123</v>
      </c>
      <c r="B870" s="8" t="s">
        <v>831</v>
      </c>
      <c r="C870" s="8" t="s">
        <v>834</v>
      </c>
      <c r="D870" s="26" t="n">
        <v>0</v>
      </c>
    </row>
    <row r="871" customFormat="false" ht="15" hidden="false" customHeight="true" outlineLevel="0" collapsed="false">
      <c r="A871" s="8" t="s">
        <v>1123</v>
      </c>
      <c r="B871" s="8" t="s">
        <v>831</v>
      </c>
      <c r="C871" s="8" t="s">
        <v>835</v>
      </c>
      <c r="D871" s="26" t="n">
        <v>0</v>
      </c>
    </row>
    <row r="872" customFormat="false" ht="15" hidden="false" customHeight="true" outlineLevel="0" collapsed="false">
      <c r="A872" s="8" t="s">
        <v>1123</v>
      </c>
      <c r="B872" s="8" t="s">
        <v>837</v>
      </c>
      <c r="C872" s="8" t="s">
        <v>838</v>
      </c>
      <c r="D872" s="26" t="n">
        <v>0</v>
      </c>
    </row>
    <row r="873" customFormat="false" ht="15" hidden="false" customHeight="true" outlineLevel="0" collapsed="false">
      <c r="A873" s="8" t="s">
        <v>1123</v>
      </c>
      <c r="B873" s="8" t="s">
        <v>74</v>
      </c>
      <c r="C873" s="8" t="s">
        <v>847</v>
      </c>
      <c r="D873" s="26" t="n">
        <v>290</v>
      </c>
    </row>
    <row r="874" customFormat="false" ht="15" hidden="false" customHeight="true" outlineLevel="0" collapsed="false">
      <c r="A874" s="8" t="s">
        <v>1123</v>
      </c>
      <c r="B874" s="8" t="s">
        <v>848</v>
      </c>
      <c r="C874" s="8" t="s">
        <v>849</v>
      </c>
      <c r="D874" s="26" t="n">
        <v>0</v>
      </c>
    </row>
    <row r="875" customFormat="false" ht="15" hidden="false" customHeight="true" outlineLevel="0" collapsed="false">
      <c r="A875" s="8" t="s">
        <v>1123</v>
      </c>
      <c r="B875" s="8" t="s">
        <v>123</v>
      </c>
      <c r="C875" s="8" t="s">
        <v>850</v>
      </c>
      <c r="D875" s="26" t="n">
        <v>100</v>
      </c>
    </row>
    <row r="876" customFormat="false" ht="15" hidden="false" customHeight="true" outlineLevel="0" collapsed="false">
      <c r="A876" s="8" t="s">
        <v>1123</v>
      </c>
      <c r="B876" s="8" t="s">
        <v>851</v>
      </c>
      <c r="C876" s="8" t="s">
        <v>852</v>
      </c>
      <c r="D876" s="26" t="n">
        <v>0</v>
      </c>
    </row>
    <row r="877" customFormat="false" ht="15" hidden="false" customHeight="true" outlineLevel="0" collapsed="false">
      <c r="A877" s="8" t="s">
        <v>1123</v>
      </c>
      <c r="B877" s="8" t="s">
        <v>91</v>
      </c>
      <c r="C877" s="8" t="s">
        <v>853</v>
      </c>
      <c r="D877" s="26" t="n">
        <v>188</v>
      </c>
    </row>
    <row r="878" customFormat="false" ht="15" hidden="false" customHeight="true" outlineLevel="0" collapsed="false">
      <c r="A878" s="8" t="s">
        <v>1123</v>
      </c>
      <c r="B878" s="8" t="s">
        <v>136</v>
      </c>
      <c r="C878" s="8" t="s">
        <v>854</v>
      </c>
      <c r="D878" s="26" t="n">
        <v>44</v>
      </c>
    </row>
    <row r="879" customFormat="false" ht="15" hidden="false" customHeight="true" outlineLevel="0" collapsed="false">
      <c r="A879" s="8" t="s">
        <v>1123</v>
      </c>
      <c r="B879" s="8" t="s">
        <v>855</v>
      </c>
      <c r="C879" s="8" t="s">
        <v>856</v>
      </c>
      <c r="D879" s="26" t="n">
        <v>0</v>
      </c>
    </row>
    <row r="880" customFormat="false" ht="15" hidden="false" customHeight="true" outlineLevel="0" collapsed="false">
      <c r="A880" s="8" t="s">
        <v>1123</v>
      </c>
      <c r="B880" s="8" t="s">
        <v>855</v>
      </c>
      <c r="C880" s="8" t="s">
        <v>857</v>
      </c>
      <c r="D880" s="26" t="n">
        <v>0</v>
      </c>
    </row>
    <row r="881" customFormat="false" ht="15" hidden="false" customHeight="true" outlineLevel="0" collapsed="false">
      <c r="A881" s="8" t="s">
        <v>1123</v>
      </c>
      <c r="B881" s="8" t="s">
        <v>855</v>
      </c>
      <c r="C881" s="8" t="s">
        <v>858</v>
      </c>
      <c r="D881" s="26" t="n">
        <v>0</v>
      </c>
    </row>
    <row r="882" customFormat="false" ht="15" hidden="false" customHeight="true" outlineLevel="0" collapsed="false">
      <c r="A882" s="8" t="s">
        <v>1123</v>
      </c>
      <c r="B882" s="8" t="s">
        <v>855</v>
      </c>
      <c r="C882" s="8" t="s">
        <v>860</v>
      </c>
      <c r="D882" s="26" t="n">
        <v>0</v>
      </c>
    </row>
    <row r="883" customFormat="false" ht="15" hidden="false" customHeight="true" outlineLevel="0" collapsed="false">
      <c r="A883" s="8" t="s">
        <v>1123</v>
      </c>
      <c r="B883" s="8" t="s">
        <v>855</v>
      </c>
      <c r="C883" s="8" t="s">
        <v>1151</v>
      </c>
      <c r="D883" s="26" t="n">
        <v>0</v>
      </c>
    </row>
    <row r="884" customFormat="false" ht="15" hidden="false" customHeight="true" outlineLevel="0" collapsed="false">
      <c r="A884" s="8" t="s">
        <v>1123</v>
      </c>
      <c r="B884" s="8" t="s">
        <v>855</v>
      </c>
      <c r="C884" s="8" t="s">
        <v>861</v>
      </c>
      <c r="D884" s="26" t="n">
        <v>0</v>
      </c>
    </row>
    <row r="885" customFormat="false" ht="15" hidden="false" customHeight="true" outlineLevel="0" collapsed="false">
      <c r="A885" s="8" t="s">
        <v>1123</v>
      </c>
      <c r="B885" s="8" t="s">
        <v>855</v>
      </c>
      <c r="C885" s="8" t="s">
        <v>863</v>
      </c>
      <c r="D885" s="26" t="n">
        <v>0</v>
      </c>
    </row>
    <row r="886" customFormat="false" ht="15" hidden="false" customHeight="true" outlineLevel="0" collapsed="false">
      <c r="A886" s="8" t="s">
        <v>1123</v>
      </c>
      <c r="B886" s="8" t="s">
        <v>855</v>
      </c>
      <c r="C886" s="8" t="s">
        <v>866</v>
      </c>
      <c r="D886" s="26" t="n">
        <v>0</v>
      </c>
    </row>
    <row r="887" customFormat="false" ht="15" hidden="false" customHeight="true" outlineLevel="0" collapsed="false">
      <c r="A887" s="8" t="s">
        <v>1123</v>
      </c>
      <c r="B887" s="8" t="s">
        <v>124</v>
      </c>
      <c r="C887" s="8" t="s">
        <v>867</v>
      </c>
      <c r="D887" s="26" t="n">
        <v>21</v>
      </c>
    </row>
    <row r="888" customFormat="false" ht="15" hidden="false" customHeight="true" outlineLevel="0" collapsed="false">
      <c r="A888" s="8" t="s">
        <v>1123</v>
      </c>
      <c r="B888" s="8" t="s">
        <v>109</v>
      </c>
      <c r="C888" s="8" t="s">
        <v>868</v>
      </c>
      <c r="D888" s="26" t="n">
        <v>16</v>
      </c>
    </row>
    <row r="889" customFormat="false" ht="15" hidden="false" customHeight="true" outlineLevel="0" collapsed="false">
      <c r="A889" s="8" t="s">
        <v>1123</v>
      </c>
      <c r="B889" s="8" t="s">
        <v>149</v>
      </c>
      <c r="C889" s="8" t="s">
        <v>869</v>
      </c>
      <c r="D889" s="26" t="n">
        <v>2</v>
      </c>
    </row>
    <row r="890" customFormat="false" ht="15" hidden="false" customHeight="true" outlineLevel="0" collapsed="false">
      <c r="A890" s="8" t="s">
        <v>1123</v>
      </c>
      <c r="B890" s="8" t="s">
        <v>870</v>
      </c>
      <c r="C890" s="8" t="s">
        <v>871</v>
      </c>
      <c r="D890" s="26" t="n">
        <v>0</v>
      </c>
    </row>
    <row r="891" customFormat="false" ht="15" hidden="false" customHeight="true" outlineLevel="0" collapsed="false">
      <c r="A891" s="8" t="s">
        <v>1123</v>
      </c>
      <c r="B891" s="8" t="s">
        <v>873</v>
      </c>
      <c r="C891" s="8" t="s">
        <v>874</v>
      </c>
      <c r="D891" s="26" t="n">
        <v>0</v>
      </c>
    </row>
    <row r="892" customFormat="false" ht="15" hidden="false" customHeight="true" outlineLevel="0" collapsed="false">
      <c r="A892" s="8" t="s">
        <v>1123</v>
      </c>
      <c r="B892" s="8" t="s">
        <v>147</v>
      </c>
      <c r="C892" s="8" t="s">
        <v>875</v>
      </c>
      <c r="D892" s="26" t="n">
        <v>9</v>
      </c>
    </row>
    <row r="893" customFormat="false" ht="15" hidden="false" customHeight="true" outlineLevel="0" collapsed="false">
      <c r="A893" s="8" t="s">
        <v>1123</v>
      </c>
      <c r="B893" s="8" t="s">
        <v>876</v>
      </c>
      <c r="C893" s="8" t="s">
        <v>877</v>
      </c>
      <c r="D893" s="26" t="n">
        <v>0</v>
      </c>
    </row>
    <row r="894" customFormat="false" ht="15" hidden="false" customHeight="true" outlineLevel="0" collapsed="false">
      <c r="A894" s="8" t="s">
        <v>1123</v>
      </c>
      <c r="B894" s="8" t="s">
        <v>143</v>
      </c>
      <c r="C894" s="8" t="s">
        <v>878</v>
      </c>
      <c r="D894" s="26" t="n">
        <v>15</v>
      </c>
    </row>
    <row r="895" customFormat="false" ht="15" hidden="false" customHeight="true" outlineLevel="0" collapsed="false">
      <c r="A895" s="8" t="s">
        <v>1123</v>
      </c>
      <c r="B895" s="8" t="s">
        <v>144</v>
      </c>
      <c r="C895" s="8" t="s">
        <v>879</v>
      </c>
      <c r="D895" s="26" t="n">
        <v>11</v>
      </c>
    </row>
    <row r="896" customFormat="false" ht="15" hidden="false" customHeight="true" outlineLevel="0" collapsed="false">
      <c r="A896" s="8" t="s">
        <v>1123</v>
      </c>
      <c r="B896" s="8" t="s">
        <v>71</v>
      </c>
      <c r="C896" s="8" t="s">
        <v>880</v>
      </c>
      <c r="D896" s="26" t="n">
        <v>298</v>
      </c>
    </row>
    <row r="897" customFormat="false" ht="15" hidden="false" customHeight="true" outlineLevel="0" collapsed="false">
      <c r="A897" s="8" t="s">
        <v>1123</v>
      </c>
      <c r="B897" s="8" t="s">
        <v>89</v>
      </c>
      <c r="C897" s="8" t="s">
        <v>881</v>
      </c>
      <c r="D897" s="26" t="n">
        <v>47</v>
      </c>
    </row>
    <row r="898" customFormat="false" ht="15" hidden="false" customHeight="true" outlineLevel="0" collapsed="false">
      <c r="A898" s="8" t="s">
        <v>1123</v>
      </c>
      <c r="B898" s="8" t="s">
        <v>112</v>
      </c>
      <c r="C898" s="8" t="s">
        <v>882</v>
      </c>
      <c r="D898" s="26" t="n">
        <v>65</v>
      </c>
    </row>
    <row r="899" customFormat="false" ht="15" hidden="false" customHeight="true" outlineLevel="0" collapsed="false">
      <c r="A899" s="8" t="s">
        <v>1123</v>
      </c>
      <c r="B899" s="8" t="s">
        <v>85</v>
      </c>
      <c r="C899" s="8" t="s">
        <v>885</v>
      </c>
      <c r="D899" s="26" t="n">
        <v>0</v>
      </c>
    </row>
    <row r="900" customFormat="false" ht="15" hidden="false" customHeight="true" outlineLevel="0" collapsed="false">
      <c r="A900" s="8" t="s">
        <v>1123</v>
      </c>
      <c r="B900" s="8" t="s">
        <v>85</v>
      </c>
      <c r="C900" s="8" t="s">
        <v>886</v>
      </c>
      <c r="D900" s="26" t="n">
        <v>6</v>
      </c>
    </row>
    <row r="901" customFormat="false" ht="15" hidden="false" customHeight="true" outlineLevel="0" collapsed="false">
      <c r="A901" s="8" t="s">
        <v>1123</v>
      </c>
      <c r="B901" s="8" t="s">
        <v>85</v>
      </c>
      <c r="C901" s="8" t="s">
        <v>887</v>
      </c>
      <c r="D901" s="26" t="n">
        <v>8</v>
      </c>
    </row>
    <row r="902" customFormat="false" ht="15" hidden="false" customHeight="true" outlineLevel="0" collapsed="false">
      <c r="A902" s="8" t="s">
        <v>1123</v>
      </c>
      <c r="B902" s="8" t="s">
        <v>85</v>
      </c>
      <c r="C902" s="8" t="s">
        <v>888</v>
      </c>
      <c r="D902" s="26" t="n">
        <v>2</v>
      </c>
    </row>
    <row r="903" customFormat="false" ht="15" hidden="false" customHeight="true" outlineLevel="0" collapsed="false">
      <c r="A903" s="8" t="s">
        <v>1123</v>
      </c>
      <c r="B903" s="8" t="s">
        <v>85</v>
      </c>
      <c r="C903" s="8" t="s">
        <v>889</v>
      </c>
      <c r="D903" s="26" t="n">
        <v>0</v>
      </c>
    </row>
    <row r="904" customFormat="false" ht="15" hidden="false" customHeight="true" outlineLevel="0" collapsed="false">
      <c r="A904" s="8" t="s">
        <v>1123</v>
      </c>
      <c r="B904" s="8" t="s">
        <v>48</v>
      </c>
      <c r="C904" s="8" t="s">
        <v>890</v>
      </c>
      <c r="D904" s="26" t="n">
        <v>648</v>
      </c>
    </row>
    <row r="905" customFormat="false" ht="15" hidden="false" customHeight="true" outlineLevel="0" collapsed="false">
      <c r="A905" s="8" t="s">
        <v>1123</v>
      </c>
      <c r="B905" s="8" t="s">
        <v>49</v>
      </c>
      <c r="C905" s="8" t="s">
        <v>799</v>
      </c>
      <c r="D905" s="26" t="n">
        <v>274</v>
      </c>
    </row>
    <row r="906" customFormat="false" ht="15" hidden="false" customHeight="true" outlineLevel="0" collapsed="false">
      <c r="A906" s="8" t="s">
        <v>1123</v>
      </c>
      <c r="B906" s="8" t="s">
        <v>891</v>
      </c>
      <c r="C906" s="8" t="s">
        <v>892</v>
      </c>
      <c r="D906" s="26" t="n">
        <v>0</v>
      </c>
    </row>
    <row r="907" customFormat="false" ht="15" hidden="false" customHeight="true" outlineLevel="0" collapsed="false">
      <c r="A907" s="8" t="s">
        <v>1123</v>
      </c>
      <c r="B907" s="8" t="s">
        <v>891</v>
      </c>
      <c r="C907" s="8" t="s">
        <v>893</v>
      </c>
      <c r="D907" s="26" t="n">
        <v>0</v>
      </c>
    </row>
    <row r="908" customFormat="false" ht="15" hidden="false" customHeight="true" outlineLevel="0" collapsed="false">
      <c r="A908" s="8" t="s">
        <v>1123</v>
      </c>
      <c r="B908" s="8" t="s">
        <v>891</v>
      </c>
      <c r="C908" s="8" t="s">
        <v>894</v>
      </c>
      <c r="D908" s="26" t="n">
        <v>0</v>
      </c>
    </row>
    <row r="909" customFormat="false" ht="15" hidden="false" customHeight="true" outlineLevel="0" collapsed="false">
      <c r="A909" s="8" t="s">
        <v>1123</v>
      </c>
      <c r="B909" s="8" t="s">
        <v>895</v>
      </c>
      <c r="C909" s="8" t="s">
        <v>896</v>
      </c>
      <c r="D909" s="26" t="n">
        <v>0</v>
      </c>
    </row>
    <row r="910" customFormat="false" ht="15" hidden="false" customHeight="true" outlineLevel="0" collapsed="false">
      <c r="A910" s="8" t="s">
        <v>1123</v>
      </c>
      <c r="B910" s="8" t="s">
        <v>138</v>
      </c>
      <c r="C910" s="8" t="s">
        <v>897</v>
      </c>
      <c r="D910" s="26" t="n">
        <v>5</v>
      </c>
    </row>
    <row r="911" customFormat="false" ht="15" hidden="false" customHeight="true" outlineLevel="0" collapsed="false">
      <c r="A911" s="8" t="s">
        <v>1123</v>
      </c>
      <c r="B911" s="8" t="s">
        <v>87</v>
      </c>
      <c r="C911" s="8" t="s">
        <v>897</v>
      </c>
      <c r="D911" s="26" t="n">
        <v>30</v>
      </c>
    </row>
    <row r="912" customFormat="false" ht="15" hidden="false" customHeight="true" outlineLevel="0" collapsed="false">
      <c r="A912" s="8" t="s">
        <v>1123</v>
      </c>
      <c r="B912" s="8" t="s">
        <v>61</v>
      </c>
      <c r="C912" s="8" t="s">
        <v>897</v>
      </c>
      <c r="D912" s="26" t="n">
        <v>102</v>
      </c>
    </row>
    <row r="913" customFormat="false" ht="15" hidden="false" customHeight="true" outlineLevel="0" collapsed="false">
      <c r="A913" s="8" t="s">
        <v>1123</v>
      </c>
      <c r="B913" s="8" t="s">
        <v>70</v>
      </c>
      <c r="C913" s="8" t="s">
        <v>898</v>
      </c>
      <c r="D913" s="26" t="n">
        <v>54</v>
      </c>
    </row>
    <row r="914" customFormat="false" ht="15" hidden="false" customHeight="true" outlineLevel="0" collapsed="false">
      <c r="A914" s="8" t="s">
        <v>1123</v>
      </c>
      <c r="B914" s="8" t="s">
        <v>79</v>
      </c>
      <c r="C914" s="8" t="s">
        <v>898</v>
      </c>
      <c r="D914" s="26" t="n">
        <v>39</v>
      </c>
    </row>
    <row r="915" customFormat="false" ht="15" hidden="false" customHeight="true" outlineLevel="0" collapsed="false">
      <c r="A915" s="8" t="s">
        <v>1123</v>
      </c>
      <c r="B915" s="8" t="s">
        <v>903</v>
      </c>
      <c r="C915" s="8" t="s">
        <v>902</v>
      </c>
      <c r="D915" s="26" t="n">
        <v>0</v>
      </c>
    </row>
    <row r="916" customFormat="false" ht="15" hidden="false" customHeight="true" outlineLevel="0" collapsed="false">
      <c r="A916" s="8" t="s">
        <v>1123</v>
      </c>
      <c r="B916" s="8" t="s">
        <v>904</v>
      </c>
      <c r="C916" s="8" t="s">
        <v>902</v>
      </c>
      <c r="D916" s="26" t="n">
        <v>0</v>
      </c>
    </row>
    <row r="917" customFormat="false" ht="15" hidden="false" customHeight="true" outlineLevel="0" collapsed="false">
      <c r="A917" s="8" t="s">
        <v>1123</v>
      </c>
      <c r="B917" s="8" t="s">
        <v>905</v>
      </c>
      <c r="C917" s="8" t="s">
        <v>906</v>
      </c>
      <c r="D917" s="26" t="n">
        <v>0</v>
      </c>
    </row>
    <row r="918" customFormat="false" ht="15" hidden="false" customHeight="true" outlineLevel="0" collapsed="false">
      <c r="A918" s="8" t="s">
        <v>1123</v>
      </c>
      <c r="B918" s="8" t="s">
        <v>910</v>
      </c>
      <c r="C918" s="8" t="s">
        <v>908</v>
      </c>
      <c r="D918" s="26" t="n">
        <v>0</v>
      </c>
    </row>
    <row r="919" customFormat="false" ht="15" hidden="false" customHeight="true" outlineLevel="0" collapsed="false">
      <c r="A919" s="8" t="s">
        <v>1123</v>
      </c>
      <c r="B919" s="8" t="s">
        <v>911</v>
      </c>
      <c r="C919" s="8" t="s">
        <v>912</v>
      </c>
      <c r="D919" s="26" t="n">
        <v>0</v>
      </c>
    </row>
    <row r="920" customFormat="false" ht="15" hidden="false" customHeight="true" outlineLevel="0" collapsed="false">
      <c r="A920" s="8" t="s">
        <v>1123</v>
      </c>
      <c r="B920" s="8" t="s">
        <v>1152</v>
      </c>
      <c r="C920" s="8" t="s">
        <v>1153</v>
      </c>
      <c r="D920" s="26" t="n">
        <v>0</v>
      </c>
    </row>
    <row r="921" customFormat="false" ht="15" hidden="false" customHeight="true" outlineLevel="0" collapsed="false">
      <c r="A921" s="8" t="s">
        <v>1123</v>
      </c>
      <c r="B921" s="8" t="s">
        <v>913</v>
      </c>
      <c r="C921" s="8" t="s">
        <v>908</v>
      </c>
      <c r="D921" s="26" t="n">
        <v>0</v>
      </c>
    </row>
    <row r="922" customFormat="false" ht="15" hidden="false" customHeight="true" outlineLevel="0" collapsed="false">
      <c r="A922" s="8" t="s">
        <v>1123</v>
      </c>
      <c r="B922" s="8" t="s">
        <v>67</v>
      </c>
      <c r="C922" s="8" t="s">
        <v>914</v>
      </c>
      <c r="D922" s="26" t="n">
        <v>31</v>
      </c>
    </row>
    <row r="923" customFormat="false" ht="15" hidden="false" customHeight="true" outlineLevel="0" collapsed="false">
      <c r="A923" s="8" t="s">
        <v>1123</v>
      </c>
      <c r="B923" s="8" t="s">
        <v>67</v>
      </c>
      <c r="C923" s="8" t="s">
        <v>915</v>
      </c>
      <c r="D923" s="26" t="n">
        <v>17</v>
      </c>
    </row>
    <row r="924" customFormat="false" ht="15" hidden="false" customHeight="true" outlineLevel="0" collapsed="false">
      <c r="A924" s="8" t="s">
        <v>1123</v>
      </c>
      <c r="B924" s="8" t="s">
        <v>67</v>
      </c>
      <c r="C924" s="8" t="s">
        <v>916</v>
      </c>
      <c r="D924" s="26" t="n">
        <v>2</v>
      </c>
    </row>
    <row r="925" customFormat="false" ht="15" hidden="false" customHeight="true" outlineLevel="0" collapsed="false">
      <c r="A925" s="8" t="s">
        <v>1123</v>
      </c>
      <c r="B925" s="8" t="s">
        <v>917</v>
      </c>
      <c r="C925" s="8" t="s">
        <v>919</v>
      </c>
      <c r="D925" s="26" t="n">
        <v>0</v>
      </c>
    </row>
    <row r="926" customFormat="false" ht="15" hidden="false" customHeight="true" outlineLevel="0" collapsed="false">
      <c r="A926" s="8" t="s">
        <v>1123</v>
      </c>
      <c r="B926" s="8" t="s">
        <v>917</v>
      </c>
      <c r="C926" s="8" t="s">
        <v>920</v>
      </c>
      <c r="D926" s="26" t="n">
        <v>0</v>
      </c>
    </row>
    <row r="927" customFormat="false" ht="15" hidden="false" customHeight="true" outlineLevel="0" collapsed="false">
      <c r="A927" s="8" t="s">
        <v>1123</v>
      </c>
      <c r="B927" s="8" t="s">
        <v>917</v>
      </c>
      <c r="C927" s="8" t="s">
        <v>921</v>
      </c>
      <c r="D927" s="26" t="n">
        <v>0</v>
      </c>
    </row>
    <row r="928" customFormat="false" ht="15" hidden="false" customHeight="true" outlineLevel="0" collapsed="false">
      <c r="A928" s="8" t="s">
        <v>1123</v>
      </c>
      <c r="B928" s="8" t="s">
        <v>1154</v>
      </c>
      <c r="C928" s="8" t="s">
        <v>1155</v>
      </c>
      <c r="D928" s="26" t="n">
        <v>0</v>
      </c>
    </row>
    <row r="929" customFormat="false" ht="15" hidden="false" customHeight="true" outlineLevel="0" collapsed="false">
      <c r="A929" s="8" t="s">
        <v>1123</v>
      </c>
      <c r="B929" s="8" t="s">
        <v>531</v>
      </c>
      <c r="C929" s="8" t="s">
        <v>922</v>
      </c>
      <c r="D929" s="26" t="n">
        <v>0</v>
      </c>
    </row>
    <row r="930" customFormat="false" ht="15" hidden="false" customHeight="true" outlineLevel="0" collapsed="false">
      <c r="A930" s="8" t="s">
        <v>1123</v>
      </c>
      <c r="B930" s="8" t="s">
        <v>923</v>
      </c>
      <c r="C930" s="8" t="s">
        <v>924</v>
      </c>
      <c r="D930" s="26" t="n">
        <v>0</v>
      </c>
    </row>
    <row r="931" customFormat="false" ht="15" hidden="false" customHeight="true" outlineLevel="0" collapsed="false">
      <c r="A931" s="8" t="s">
        <v>1123</v>
      </c>
      <c r="B931" s="8" t="s">
        <v>925</v>
      </c>
      <c r="C931" s="8" t="s">
        <v>924</v>
      </c>
      <c r="D931" s="26" t="n">
        <v>0</v>
      </c>
    </row>
    <row r="932" customFormat="false" ht="15" hidden="false" customHeight="true" outlineLevel="0" collapsed="false">
      <c r="A932" s="8" t="s">
        <v>1123</v>
      </c>
      <c r="B932" s="8" t="s">
        <v>926</v>
      </c>
      <c r="C932" s="8" t="s">
        <v>924</v>
      </c>
      <c r="D932" s="26" t="n">
        <v>0</v>
      </c>
    </row>
    <row r="933" customFormat="false" ht="15" hidden="false" customHeight="true" outlineLevel="0" collapsed="false">
      <c r="A933" s="8" t="s">
        <v>1123</v>
      </c>
      <c r="B933" s="8" t="s">
        <v>927</v>
      </c>
      <c r="C933" s="8" t="s">
        <v>924</v>
      </c>
      <c r="D933" s="26" t="n">
        <v>0</v>
      </c>
    </row>
    <row r="934" customFormat="false" ht="15" hidden="false" customHeight="true" outlineLevel="0" collapsed="false">
      <c r="A934" s="8" t="s">
        <v>1123</v>
      </c>
      <c r="B934" s="8" t="s">
        <v>120</v>
      </c>
      <c r="C934" s="8" t="s">
        <v>928</v>
      </c>
      <c r="D934" s="26" t="n">
        <v>31</v>
      </c>
    </row>
    <row r="935" customFormat="false" ht="15" hidden="false" customHeight="true" outlineLevel="0" collapsed="false">
      <c r="A935" s="8" t="s">
        <v>1123</v>
      </c>
      <c r="B935" s="8" t="s">
        <v>113</v>
      </c>
      <c r="C935" s="8" t="s">
        <v>928</v>
      </c>
      <c r="D935" s="26" t="n">
        <v>35</v>
      </c>
    </row>
    <row r="936" customFormat="false" ht="15" hidden="false" customHeight="true" outlineLevel="0" collapsed="false">
      <c r="A936" s="8" t="s">
        <v>1123</v>
      </c>
      <c r="B936" s="8" t="s">
        <v>99</v>
      </c>
      <c r="C936" s="8" t="s">
        <v>928</v>
      </c>
      <c r="D936" s="26" t="n">
        <v>57</v>
      </c>
    </row>
    <row r="937" customFormat="false" ht="15" hidden="false" customHeight="true" outlineLevel="0" collapsed="false">
      <c r="A937" s="8" t="s">
        <v>1123</v>
      </c>
      <c r="B937" s="8" t="s">
        <v>95</v>
      </c>
      <c r="C937" s="8" t="s">
        <v>928</v>
      </c>
      <c r="D937" s="26" t="n">
        <v>60</v>
      </c>
    </row>
    <row r="938" customFormat="false" ht="15" hidden="false" customHeight="true" outlineLevel="0" collapsed="false">
      <c r="A938" s="8" t="s">
        <v>1123</v>
      </c>
      <c r="B938" s="8" t="s">
        <v>51</v>
      </c>
      <c r="C938" s="8" t="s">
        <v>929</v>
      </c>
      <c r="D938" s="26" t="n">
        <v>38</v>
      </c>
    </row>
    <row r="939" customFormat="false" ht="15" hidden="false" customHeight="true" outlineLevel="0" collapsed="false">
      <c r="A939" s="8" t="s">
        <v>1123</v>
      </c>
      <c r="B939" s="8" t="s">
        <v>60</v>
      </c>
      <c r="C939" s="8" t="s">
        <v>930</v>
      </c>
      <c r="D939" s="26" t="n">
        <v>77</v>
      </c>
    </row>
    <row r="940" customFormat="false" ht="15" hidden="false" customHeight="true" outlineLevel="0" collapsed="false">
      <c r="A940" s="8" t="s">
        <v>1123</v>
      </c>
      <c r="B940" s="8" t="s">
        <v>931</v>
      </c>
      <c r="C940" s="8" t="s">
        <v>932</v>
      </c>
      <c r="D940" s="26" t="n">
        <v>0</v>
      </c>
    </row>
    <row r="941" customFormat="false" ht="15" hidden="false" customHeight="true" outlineLevel="0" collapsed="false">
      <c r="A941" s="8" t="s">
        <v>1123</v>
      </c>
      <c r="B941" s="8" t="s">
        <v>931</v>
      </c>
      <c r="C941" s="8" t="s">
        <v>933</v>
      </c>
      <c r="D941" s="26" t="n">
        <v>0</v>
      </c>
    </row>
    <row r="942" customFormat="false" ht="15" hidden="false" customHeight="true" outlineLevel="0" collapsed="false">
      <c r="A942" s="8" t="s">
        <v>1123</v>
      </c>
      <c r="B942" s="8" t="s">
        <v>931</v>
      </c>
      <c r="C942" s="8" t="s">
        <v>934</v>
      </c>
      <c r="D942" s="26" t="n">
        <v>0</v>
      </c>
    </row>
    <row r="943" customFormat="false" ht="15" hidden="false" customHeight="true" outlineLevel="0" collapsed="false">
      <c r="A943" s="8" t="s">
        <v>1123</v>
      </c>
      <c r="B943" s="8" t="s">
        <v>931</v>
      </c>
      <c r="C943" s="8" t="s">
        <v>935</v>
      </c>
      <c r="D943" s="26" t="n">
        <v>0</v>
      </c>
    </row>
    <row r="944" customFormat="false" ht="15" hidden="false" customHeight="true" outlineLevel="0" collapsed="false">
      <c r="A944" s="8" t="s">
        <v>1123</v>
      </c>
      <c r="B944" s="8" t="s">
        <v>931</v>
      </c>
      <c r="C944" s="8" t="s">
        <v>936</v>
      </c>
      <c r="D944" s="26" t="n">
        <v>0</v>
      </c>
    </row>
    <row r="945" customFormat="false" ht="15" hidden="false" customHeight="true" outlineLevel="0" collapsed="false">
      <c r="A945" s="8" t="s">
        <v>1123</v>
      </c>
      <c r="B945" s="8" t="s">
        <v>931</v>
      </c>
      <c r="C945" s="8" t="s">
        <v>937</v>
      </c>
      <c r="D945" s="26" t="n">
        <v>0</v>
      </c>
    </row>
    <row r="946" customFormat="false" ht="15" hidden="false" customHeight="true" outlineLevel="0" collapsed="false">
      <c r="A946" s="8" t="s">
        <v>1123</v>
      </c>
      <c r="B946" s="8" t="s">
        <v>82</v>
      </c>
      <c r="C946" s="8" t="s">
        <v>938</v>
      </c>
      <c r="D946" s="26" t="n">
        <v>81</v>
      </c>
    </row>
    <row r="947" customFormat="false" ht="15" hidden="false" customHeight="true" outlineLevel="0" collapsed="false">
      <c r="A947" s="8" t="s">
        <v>1123</v>
      </c>
      <c r="B947" s="8" t="s">
        <v>115</v>
      </c>
      <c r="C947" s="8" t="s">
        <v>939</v>
      </c>
      <c r="D947" s="26" t="n">
        <v>41</v>
      </c>
    </row>
    <row r="948" customFormat="false" ht="15" hidden="false" customHeight="true" outlineLevel="0" collapsed="false">
      <c r="A948" s="8" t="s">
        <v>1123</v>
      </c>
      <c r="B948" s="8" t="s">
        <v>60</v>
      </c>
      <c r="C948" s="8" t="s">
        <v>940</v>
      </c>
      <c r="D948" s="26" t="n">
        <v>65</v>
      </c>
    </row>
    <row r="949" customFormat="false" ht="15" hidden="false" customHeight="true" outlineLevel="0" collapsed="false">
      <c r="A949" s="8" t="s">
        <v>1123</v>
      </c>
      <c r="B949" s="8" t="s">
        <v>941</v>
      </c>
      <c r="C949" s="8" t="s">
        <v>942</v>
      </c>
      <c r="D949" s="26" t="n">
        <v>0</v>
      </c>
    </row>
    <row r="950" customFormat="false" ht="15" hidden="false" customHeight="true" outlineLevel="0" collapsed="false">
      <c r="A950" s="8" t="s">
        <v>1123</v>
      </c>
      <c r="B950" s="8" t="s">
        <v>941</v>
      </c>
      <c r="C950" s="8" t="s">
        <v>943</v>
      </c>
      <c r="D950" s="26" t="n">
        <v>0</v>
      </c>
    </row>
    <row r="951" customFormat="false" ht="15" hidden="false" customHeight="true" outlineLevel="0" collapsed="false">
      <c r="A951" s="8" t="s">
        <v>1123</v>
      </c>
      <c r="B951" s="8" t="s">
        <v>941</v>
      </c>
      <c r="C951" s="8" t="s">
        <v>944</v>
      </c>
      <c r="D951" s="26" t="n">
        <v>0</v>
      </c>
    </row>
    <row r="952" customFormat="false" ht="15" hidden="false" customHeight="true" outlineLevel="0" collapsed="false">
      <c r="A952" s="8" t="s">
        <v>1123</v>
      </c>
      <c r="B952" s="8" t="s">
        <v>941</v>
      </c>
      <c r="C952" s="8" t="s">
        <v>945</v>
      </c>
      <c r="D952" s="26" t="n">
        <v>0</v>
      </c>
    </row>
    <row r="953" customFormat="false" ht="15" hidden="false" customHeight="true" outlineLevel="0" collapsed="false">
      <c r="A953" s="8" t="s">
        <v>1123</v>
      </c>
      <c r="B953" s="8" t="s">
        <v>941</v>
      </c>
      <c r="C953" s="8" t="s">
        <v>946</v>
      </c>
      <c r="D953" s="26" t="n">
        <v>0</v>
      </c>
    </row>
    <row r="954" customFormat="false" ht="15" hidden="false" customHeight="true" outlineLevel="0" collapsed="false">
      <c r="A954" s="8" t="s">
        <v>1123</v>
      </c>
      <c r="B954" s="8" t="s">
        <v>56</v>
      </c>
      <c r="C954" s="8" t="s">
        <v>947</v>
      </c>
      <c r="D954" s="26" t="n">
        <v>0</v>
      </c>
    </row>
    <row r="955" customFormat="false" ht="15" hidden="false" customHeight="true" outlineLevel="0" collapsed="false">
      <c r="A955" s="8" t="s">
        <v>1123</v>
      </c>
      <c r="B955" s="8" t="s">
        <v>948</v>
      </c>
      <c r="C955" s="8" t="s">
        <v>949</v>
      </c>
      <c r="D955" s="26" t="n">
        <v>0</v>
      </c>
    </row>
    <row r="956" customFormat="false" ht="15" hidden="false" customHeight="true" outlineLevel="0" collapsed="false">
      <c r="A956" s="8" t="s">
        <v>1123</v>
      </c>
      <c r="B956" s="8" t="s">
        <v>950</v>
      </c>
      <c r="C956" s="8" t="s">
        <v>951</v>
      </c>
      <c r="D956" s="26" t="n">
        <v>0</v>
      </c>
    </row>
    <row r="957" customFormat="false" ht="15" hidden="false" customHeight="true" outlineLevel="0" collapsed="false">
      <c r="A957" s="8" t="s">
        <v>1123</v>
      </c>
      <c r="B957" s="8" t="s">
        <v>952</v>
      </c>
      <c r="C957" s="8" t="s">
        <v>951</v>
      </c>
      <c r="D957" s="26" t="n">
        <v>0</v>
      </c>
    </row>
    <row r="958" customFormat="false" ht="15" hidden="false" customHeight="true" outlineLevel="0" collapsed="false">
      <c r="A958" s="8" t="s">
        <v>1123</v>
      </c>
      <c r="B958" s="8" t="s">
        <v>953</v>
      </c>
      <c r="C958" s="8" t="s">
        <v>951</v>
      </c>
      <c r="D958" s="26" t="n">
        <v>0</v>
      </c>
    </row>
    <row r="959" customFormat="false" ht="15" hidden="false" customHeight="true" outlineLevel="0" collapsed="false">
      <c r="A959" s="8" t="s">
        <v>1123</v>
      </c>
      <c r="B959" s="8" t="s">
        <v>954</v>
      </c>
      <c r="C959" s="8" t="s">
        <v>951</v>
      </c>
      <c r="D959" s="26" t="n">
        <v>0</v>
      </c>
    </row>
    <row r="960" customFormat="false" ht="15" hidden="false" customHeight="true" outlineLevel="0" collapsed="false">
      <c r="A960" s="8" t="s">
        <v>1123</v>
      </c>
      <c r="B960" s="8" t="s">
        <v>955</v>
      </c>
      <c r="C960" s="8" t="s">
        <v>956</v>
      </c>
      <c r="D960" s="26" t="n">
        <v>0</v>
      </c>
    </row>
    <row r="961" customFormat="false" ht="15" hidden="false" customHeight="true" outlineLevel="0" collapsed="false">
      <c r="A961" s="8" t="s">
        <v>1123</v>
      </c>
      <c r="B961" s="8" t="s">
        <v>957</v>
      </c>
      <c r="C961" s="8" t="s">
        <v>958</v>
      </c>
      <c r="D961" s="26" t="n">
        <v>0</v>
      </c>
    </row>
    <row r="962" customFormat="false" ht="15" hidden="false" customHeight="true" outlineLevel="0" collapsed="false">
      <c r="A962" s="8" t="s">
        <v>1123</v>
      </c>
      <c r="B962" s="8" t="s">
        <v>959</v>
      </c>
      <c r="C962" s="8" t="s">
        <v>960</v>
      </c>
      <c r="D962" s="26" t="n">
        <v>0</v>
      </c>
    </row>
    <row r="963" customFormat="false" ht="15" hidden="false" customHeight="true" outlineLevel="0" collapsed="false">
      <c r="A963" s="8" t="s">
        <v>1123</v>
      </c>
      <c r="B963" s="8" t="s">
        <v>961</v>
      </c>
      <c r="C963" s="8" t="s">
        <v>960</v>
      </c>
      <c r="D963" s="26" t="n">
        <v>0</v>
      </c>
    </row>
    <row r="964" customFormat="false" ht="15" hidden="false" customHeight="true" outlineLevel="0" collapsed="false">
      <c r="A964" s="8" t="s">
        <v>1123</v>
      </c>
      <c r="B964" s="8" t="s">
        <v>1156</v>
      </c>
      <c r="C964" s="8" t="s">
        <v>960</v>
      </c>
      <c r="D964" s="26" t="n">
        <v>0</v>
      </c>
    </row>
    <row r="965" customFormat="false" ht="15" hidden="false" customHeight="true" outlineLevel="0" collapsed="false">
      <c r="A965" s="8" t="s">
        <v>1123</v>
      </c>
      <c r="B965" s="8" t="s">
        <v>962</v>
      </c>
      <c r="C965" s="8" t="s">
        <v>960</v>
      </c>
      <c r="D965" s="26" t="n">
        <v>0</v>
      </c>
    </row>
    <row r="966" customFormat="false" ht="15" hidden="false" customHeight="true" outlineLevel="0" collapsed="false">
      <c r="A966" s="8" t="s">
        <v>1123</v>
      </c>
      <c r="B966" s="8" t="s">
        <v>963</v>
      </c>
      <c r="C966" s="8" t="s">
        <v>964</v>
      </c>
      <c r="D966" s="26" t="n">
        <v>0</v>
      </c>
    </row>
    <row r="967" customFormat="false" ht="15" hidden="false" customHeight="true" outlineLevel="0" collapsed="false">
      <c r="A967" s="8" t="s">
        <v>1123</v>
      </c>
      <c r="B967" s="8" t="s">
        <v>965</v>
      </c>
      <c r="C967" s="8" t="s">
        <v>966</v>
      </c>
      <c r="D967" s="26" t="n">
        <v>0</v>
      </c>
    </row>
    <row r="968" customFormat="false" ht="15" hidden="false" customHeight="true" outlineLevel="0" collapsed="false">
      <c r="A968" s="8" t="s">
        <v>1123</v>
      </c>
      <c r="B968" s="8" t="s">
        <v>967</v>
      </c>
      <c r="C968" s="8" t="s">
        <v>966</v>
      </c>
      <c r="D968" s="26" t="n">
        <v>0</v>
      </c>
    </row>
    <row r="969" customFormat="false" ht="15" hidden="false" customHeight="true" outlineLevel="0" collapsed="false">
      <c r="A969" s="8" t="s">
        <v>1123</v>
      </c>
      <c r="B969" s="8" t="s">
        <v>968</v>
      </c>
      <c r="C969" s="8" t="s">
        <v>966</v>
      </c>
      <c r="D969" s="26" t="n">
        <v>0</v>
      </c>
    </row>
    <row r="970" customFormat="false" ht="15" hidden="false" customHeight="true" outlineLevel="0" collapsed="false">
      <c r="A970" s="8" t="s">
        <v>1123</v>
      </c>
      <c r="B970" s="8" t="s">
        <v>969</v>
      </c>
      <c r="C970" s="8" t="s">
        <v>966</v>
      </c>
      <c r="D970" s="26" t="n">
        <v>0</v>
      </c>
    </row>
    <row r="971" customFormat="false" ht="15" hidden="false" customHeight="true" outlineLevel="0" collapsed="false">
      <c r="A971" s="8" t="s">
        <v>1123</v>
      </c>
      <c r="B971" s="8" t="s">
        <v>970</v>
      </c>
      <c r="C971" s="8" t="s">
        <v>971</v>
      </c>
      <c r="D971" s="26" t="n">
        <v>0</v>
      </c>
    </row>
    <row r="972" customFormat="false" ht="15" hidden="false" customHeight="true" outlineLevel="0" collapsed="false">
      <c r="A972" s="8" t="s">
        <v>1123</v>
      </c>
      <c r="B972" s="8" t="s">
        <v>970</v>
      </c>
      <c r="C972" s="8" t="s">
        <v>972</v>
      </c>
      <c r="D972" s="26" t="n">
        <v>0</v>
      </c>
    </row>
    <row r="973" customFormat="false" ht="15" hidden="false" customHeight="true" outlineLevel="0" collapsed="false">
      <c r="A973" s="8" t="s">
        <v>1123</v>
      </c>
      <c r="B973" s="8" t="s">
        <v>970</v>
      </c>
      <c r="C973" s="8" t="s">
        <v>973</v>
      </c>
      <c r="D973" s="26" t="n">
        <v>0</v>
      </c>
    </row>
    <row r="974" customFormat="false" ht="15" hidden="false" customHeight="true" outlineLevel="0" collapsed="false">
      <c r="A974" s="8" t="s">
        <v>1123</v>
      </c>
      <c r="B974" s="8" t="s">
        <v>970</v>
      </c>
      <c r="C974" s="8" t="s">
        <v>974</v>
      </c>
      <c r="D974" s="26" t="n">
        <v>0</v>
      </c>
    </row>
    <row r="975" customFormat="false" ht="15" hidden="false" customHeight="true" outlineLevel="0" collapsed="false">
      <c r="A975" s="8" t="s">
        <v>1123</v>
      </c>
      <c r="B975" s="8" t="s">
        <v>975</v>
      </c>
      <c r="C975" s="8" t="s">
        <v>976</v>
      </c>
      <c r="D975" s="26" t="n">
        <v>0</v>
      </c>
    </row>
    <row r="976" customFormat="false" ht="15" hidden="false" customHeight="true" outlineLevel="0" collapsed="false">
      <c r="A976" s="8" t="s">
        <v>1123</v>
      </c>
      <c r="B976" s="8" t="s">
        <v>975</v>
      </c>
      <c r="C976" s="8" t="s">
        <v>977</v>
      </c>
      <c r="D976" s="26" t="n">
        <v>0</v>
      </c>
    </row>
    <row r="977" customFormat="false" ht="15" hidden="false" customHeight="true" outlineLevel="0" collapsed="false">
      <c r="A977" s="8" t="s">
        <v>1123</v>
      </c>
      <c r="B977" s="8" t="s">
        <v>975</v>
      </c>
      <c r="C977" s="8" t="s">
        <v>978</v>
      </c>
      <c r="D977" s="26" t="n">
        <v>0</v>
      </c>
    </row>
    <row r="978" customFormat="false" ht="15" hidden="false" customHeight="true" outlineLevel="0" collapsed="false">
      <c r="A978" s="8" t="s">
        <v>1123</v>
      </c>
      <c r="B978" s="8" t="s">
        <v>975</v>
      </c>
      <c r="C978" s="8" t="s">
        <v>979</v>
      </c>
      <c r="D978" s="26" t="n">
        <v>0</v>
      </c>
    </row>
    <row r="979" customFormat="false" ht="15" hidden="false" customHeight="true" outlineLevel="0" collapsed="false">
      <c r="A979" s="8" t="s">
        <v>1123</v>
      </c>
      <c r="B979" s="8" t="s">
        <v>980</v>
      </c>
      <c r="C979" s="8" t="s">
        <v>721</v>
      </c>
      <c r="D979" s="26" t="n">
        <v>0</v>
      </c>
    </row>
    <row r="980" customFormat="false" ht="15" hidden="false" customHeight="true" outlineLevel="0" collapsed="false">
      <c r="A980" s="8" t="s">
        <v>1123</v>
      </c>
      <c r="B980" s="8" t="s">
        <v>980</v>
      </c>
      <c r="C980" s="8" t="s">
        <v>720</v>
      </c>
      <c r="D980" s="26" t="n">
        <v>0</v>
      </c>
    </row>
    <row r="981" customFormat="false" ht="15" hidden="false" customHeight="true" outlineLevel="0" collapsed="false">
      <c r="A981" s="8" t="s">
        <v>1123</v>
      </c>
      <c r="B981" s="8" t="s">
        <v>980</v>
      </c>
      <c r="C981" s="8" t="s">
        <v>722</v>
      </c>
      <c r="D981" s="26" t="n">
        <v>0</v>
      </c>
    </row>
    <row r="982" customFormat="false" ht="15" hidden="false" customHeight="true" outlineLevel="0" collapsed="false">
      <c r="A982" s="8" t="s">
        <v>1123</v>
      </c>
      <c r="B982" s="8" t="s">
        <v>980</v>
      </c>
      <c r="C982" s="8" t="s">
        <v>719</v>
      </c>
      <c r="D982" s="26" t="n">
        <v>0</v>
      </c>
    </row>
    <row r="983" customFormat="false" ht="15" hidden="false" customHeight="true" outlineLevel="0" collapsed="false">
      <c r="A983" s="8" t="s">
        <v>1123</v>
      </c>
      <c r="B983" s="8" t="s">
        <v>980</v>
      </c>
      <c r="C983" s="8" t="s">
        <v>981</v>
      </c>
      <c r="D983" s="26" t="n">
        <v>0</v>
      </c>
    </row>
    <row r="984" customFormat="false" ht="15" hidden="false" customHeight="true" outlineLevel="0" collapsed="false">
      <c r="A984" s="8" t="s">
        <v>1123</v>
      </c>
      <c r="B984" s="8" t="s">
        <v>982</v>
      </c>
      <c r="C984" s="8" t="s">
        <v>983</v>
      </c>
      <c r="D984" s="26" t="n">
        <v>0</v>
      </c>
    </row>
    <row r="985" customFormat="false" ht="15" hidden="false" customHeight="true" outlineLevel="0" collapsed="false">
      <c r="A985" s="8" t="s">
        <v>1123</v>
      </c>
      <c r="B985" s="8" t="s">
        <v>982</v>
      </c>
      <c r="C985" s="8" t="s">
        <v>984</v>
      </c>
      <c r="D985" s="26" t="n">
        <v>0</v>
      </c>
    </row>
    <row r="986" customFormat="false" ht="15" hidden="false" customHeight="true" outlineLevel="0" collapsed="false">
      <c r="A986" s="8" t="s">
        <v>1123</v>
      </c>
      <c r="B986" s="8" t="s">
        <v>982</v>
      </c>
      <c r="C986" s="8" t="s">
        <v>985</v>
      </c>
      <c r="D986" s="26" t="n">
        <v>0</v>
      </c>
    </row>
    <row r="987" customFormat="false" ht="15" hidden="false" customHeight="true" outlineLevel="0" collapsed="false">
      <c r="A987" s="8" t="s">
        <v>1123</v>
      </c>
      <c r="B987" s="8" t="s">
        <v>982</v>
      </c>
      <c r="C987" s="8" t="s">
        <v>986</v>
      </c>
      <c r="D987" s="26" t="n">
        <v>0</v>
      </c>
    </row>
    <row r="988" customFormat="false" ht="15" hidden="false" customHeight="true" outlineLevel="0" collapsed="false">
      <c r="A988" s="8" t="s">
        <v>1123</v>
      </c>
      <c r="B988" s="8" t="s">
        <v>987</v>
      </c>
      <c r="C988" s="8" t="s">
        <v>988</v>
      </c>
      <c r="D988" s="26" t="n">
        <v>0</v>
      </c>
    </row>
    <row r="989" customFormat="false" ht="15" hidden="false" customHeight="true" outlineLevel="0" collapsed="false">
      <c r="A989" s="8" t="s">
        <v>1123</v>
      </c>
      <c r="B989" s="8" t="s">
        <v>987</v>
      </c>
      <c r="C989" s="8" t="s">
        <v>989</v>
      </c>
      <c r="D989" s="26" t="n">
        <v>0</v>
      </c>
    </row>
    <row r="990" customFormat="false" ht="15" hidden="false" customHeight="true" outlineLevel="0" collapsed="false">
      <c r="A990" s="8" t="s">
        <v>1123</v>
      </c>
      <c r="B990" s="8" t="s">
        <v>987</v>
      </c>
      <c r="C990" s="8" t="s">
        <v>990</v>
      </c>
      <c r="D990" s="26" t="n">
        <v>0</v>
      </c>
    </row>
    <row r="991" customFormat="false" ht="15" hidden="false" customHeight="true" outlineLevel="0" collapsed="false">
      <c r="A991" s="8" t="s">
        <v>1123</v>
      </c>
      <c r="B991" s="8" t="s">
        <v>987</v>
      </c>
      <c r="C991" s="8" t="s">
        <v>991</v>
      </c>
      <c r="D991" s="26" t="n">
        <v>0</v>
      </c>
    </row>
    <row r="992" customFormat="false" ht="15" hidden="false" customHeight="true" outlineLevel="0" collapsed="false">
      <c r="A992" s="8" t="s">
        <v>1123</v>
      </c>
      <c r="B992" s="8" t="s">
        <v>997</v>
      </c>
      <c r="C992" s="8" t="s">
        <v>998</v>
      </c>
      <c r="D992" s="26" t="n">
        <v>0</v>
      </c>
    </row>
    <row r="993" customFormat="false" ht="15" hidden="false" customHeight="true" outlineLevel="0" collapsed="false">
      <c r="A993" s="8" t="s">
        <v>1123</v>
      </c>
      <c r="B993" s="8" t="s">
        <v>997</v>
      </c>
      <c r="C993" s="8" t="s">
        <v>999</v>
      </c>
      <c r="D993" s="26" t="n">
        <v>0</v>
      </c>
    </row>
    <row r="994" customFormat="false" ht="15" hidden="false" customHeight="true" outlineLevel="0" collapsed="false">
      <c r="A994" s="8" t="s">
        <v>1123</v>
      </c>
      <c r="B994" s="8" t="s">
        <v>997</v>
      </c>
      <c r="C994" s="8" t="s">
        <v>1000</v>
      </c>
      <c r="D994" s="26" t="n">
        <v>0</v>
      </c>
    </row>
    <row r="995" customFormat="false" ht="15" hidden="false" customHeight="true" outlineLevel="0" collapsed="false">
      <c r="A995" s="8" t="s">
        <v>1123</v>
      </c>
      <c r="B995" s="8" t="s">
        <v>997</v>
      </c>
      <c r="C995" s="8" t="s">
        <v>1001</v>
      </c>
      <c r="D995" s="26" t="n">
        <v>0</v>
      </c>
    </row>
    <row r="996" customFormat="false" ht="15" hidden="false" customHeight="true" outlineLevel="0" collapsed="false">
      <c r="A996" s="8" t="s">
        <v>1123</v>
      </c>
      <c r="B996" s="8" t="s">
        <v>997</v>
      </c>
      <c r="C996" s="8" t="s">
        <v>1002</v>
      </c>
      <c r="D996" s="26" t="n">
        <v>0</v>
      </c>
    </row>
    <row r="997" customFormat="false" ht="15" hidden="false" customHeight="true" outlineLevel="0" collapsed="false">
      <c r="A997" s="8" t="s">
        <v>1123</v>
      </c>
      <c r="B997" s="8" t="s">
        <v>1004</v>
      </c>
      <c r="C997" s="8" t="s">
        <v>1005</v>
      </c>
      <c r="D997" s="26" t="n">
        <v>0</v>
      </c>
    </row>
    <row r="998" customFormat="false" ht="15" hidden="false" customHeight="true" outlineLevel="0" collapsed="false">
      <c r="A998" s="8" t="s">
        <v>1123</v>
      </c>
      <c r="B998" s="8" t="s">
        <v>1157</v>
      </c>
      <c r="C998" s="8" t="s">
        <v>1158</v>
      </c>
      <c r="D998" s="26" t="n">
        <v>0</v>
      </c>
    </row>
    <row r="999" customFormat="false" ht="15" hidden="false" customHeight="true" outlineLevel="0" collapsed="false">
      <c r="A999" s="8" t="s">
        <v>1123</v>
      </c>
      <c r="B999" s="8" t="s">
        <v>1159</v>
      </c>
      <c r="C999" s="8" t="s">
        <v>1158</v>
      </c>
      <c r="D999" s="26" t="n">
        <v>0</v>
      </c>
    </row>
    <row r="1000" customFormat="false" ht="15" hidden="false" customHeight="true" outlineLevel="0" collapsed="false">
      <c r="A1000" s="8" t="s">
        <v>1123</v>
      </c>
      <c r="B1000" s="8" t="s">
        <v>1020</v>
      </c>
      <c r="C1000" s="8" t="s">
        <v>1021</v>
      </c>
      <c r="D1000" s="26" t="n">
        <v>0</v>
      </c>
    </row>
    <row r="1001" customFormat="false" ht="15" hidden="false" customHeight="true" outlineLevel="0" collapsed="false">
      <c r="A1001" s="8" t="s">
        <v>1123</v>
      </c>
      <c r="B1001" s="8" t="s">
        <v>1022</v>
      </c>
      <c r="C1001" s="8" t="s">
        <v>1021</v>
      </c>
      <c r="D1001" s="26" t="n">
        <v>0</v>
      </c>
    </row>
    <row r="1002" customFormat="false" ht="15" hidden="false" customHeight="true" outlineLevel="0" collapsed="false">
      <c r="A1002" s="8" t="s">
        <v>1123</v>
      </c>
      <c r="B1002" s="8" t="s">
        <v>1023</v>
      </c>
      <c r="C1002" s="8" t="s">
        <v>1021</v>
      </c>
      <c r="D1002" s="26" t="n">
        <v>0</v>
      </c>
    </row>
    <row r="1003" customFormat="false" ht="15" hidden="false" customHeight="true" outlineLevel="0" collapsed="false">
      <c r="A1003" s="8" t="s">
        <v>1123</v>
      </c>
      <c r="B1003" s="8" t="s">
        <v>1024</v>
      </c>
      <c r="C1003" s="8" t="s">
        <v>1021</v>
      </c>
      <c r="D1003" s="26" t="n">
        <v>0</v>
      </c>
    </row>
    <row r="1004" customFormat="false" ht="15" hidden="false" customHeight="true" outlineLevel="0" collapsed="false">
      <c r="A1004" s="8" t="s">
        <v>1123</v>
      </c>
      <c r="B1004" s="8" t="s">
        <v>1025</v>
      </c>
      <c r="C1004" s="8" t="s">
        <v>1026</v>
      </c>
      <c r="D1004" s="26" t="n">
        <v>0</v>
      </c>
    </row>
    <row r="1005" customFormat="false" ht="15" hidden="false" customHeight="true" outlineLevel="0" collapsed="false">
      <c r="A1005" s="8" t="s">
        <v>1123</v>
      </c>
      <c r="B1005" s="8" t="s">
        <v>1027</v>
      </c>
      <c r="C1005" s="8" t="s">
        <v>1026</v>
      </c>
      <c r="D1005" s="26" t="n">
        <v>0</v>
      </c>
    </row>
    <row r="1006" customFormat="false" ht="15" hidden="false" customHeight="true" outlineLevel="0" collapsed="false">
      <c r="A1006" s="8" t="s">
        <v>1123</v>
      </c>
      <c r="B1006" s="8" t="s">
        <v>1028</v>
      </c>
      <c r="C1006" s="8" t="s">
        <v>1026</v>
      </c>
      <c r="D1006" s="26" t="n">
        <v>0</v>
      </c>
    </row>
    <row r="1007" customFormat="false" ht="15" hidden="false" customHeight="true" outlineLevel="0" collapsed="false">
      <c r="A1007" s="8" t="s">
        <v>1123</v>
      </c>
      <c r="B1007" s="8" t="s">
        <v>1029</v>
      </c>
      <c r="C1007" s="8" t="s">
        <v>1026</v>
      </c>
      <c r="D1007" s="26" t="n">
        <v>0</v>
      </c>
    </row>
    <row r="1008" customFormat="false" ht="15" hidden="false" customHeight="true" outlineLevel="0" collapsed="false">
      <c r="A1008" s="8" t="s">
        <v>1123</v>
      </c>
      <c r="B1008" s="8" t="s">
        <v>1030</v>
      </c>
      <c r="C1008" s="8" t="s">
        <v>1031</v>
      </c>
      <c r="D1008" s="26" t="n">
        <v>0</v>
      </c>
    </row>
    <row r="1009" customFormat="false" ht="15" hidden="false" customHeight="true" outlineLevel="0" collapsed="false">
      <c r="A1009" s="8" t="s">
        <v>1123</v>
      </c>
      <c r="B1009" s="8" t="s">
        <v>1030</v>
      </c>
      <c r="C1009" s="8" t="s">
        <v>1032</v>
      </c>
      <c r="D1009" s="26" t="n">
        <v>0</v>
      </c>
    </row>
    <row r="1010" customFormat="false" ht="15" hidden="false" customHeight="true" outlineLevel="0" collapsed="false">
      <c r="A1010" s="8" t="s">
        <v>1123</v>
      </c>
      <c r="B1010" s="8" t="s">
        <v>1160</v>
      </c>
      <c r="C1010" s="8" t="s">
        <v>1161</v>
      </c>
      <c r="D1010" s="26" t="n">
        <v>0</v>
      </c>
    </row>
    <row r="1011" customFormat="false" ht="15" hidden="false" customHeight="true" outlineLevel="0" collapsed="false">
      <c r="A1011" s="8" t="s">
        <v>1123</v>
      </c>
      <c r="B1011" s="8" t="s">
        <v>1160</v>
      </c>
      <c r="C1011" s="8" t="s">
        <v>1162</v>
      </c>
      <c r="D1011" s="26" t="n">
        <v>0</v>
      </c>
    </row>
    <row r="1012" customFormat="false" ht="15" hidden="false" customHeight="true" outlineLevel="0" collapsed="false">
      <c r="A1012" s="8" t="s">
        <v>1123</v>
      </c>
      <c r="B1012" s="8" t="s">
        <v>1160</v>
      </c>
      <c r="C1012" s="8" t="s">
        <v>1163</v>
      </c>
      <c r="D1012" s="26" t="n">
        <v>0</v>
      </c>
    </row>
    <row r="1013" customFormat="false" ht="15" hidden="false" customHeight="true" outlineLevel="0" collapsed="false">
      <c r="A1013" s="8" t="s">
        <v>1123</v>
      </c>
      <c r="B1013" s="8" t="s">
        <v>1033</v>
      </c>
      <c r="C1013" s="8" t="s">
        <v>1034</v>
      </c>
      <c r="D1013" s="26" t="n">
        <v>0</v>
      </c>
    </row>
    <row r="1014" customFormat="false" ht="15" hidden="false" customHeight="true" outlineLevel="0" collapsed="false">
      <c r="A1014" s="8" t="s">
        <v>1123</v>
      </c>
      <c r="B1014" s="8" t="s">
        <v>1035</v>
      </c>
      <c r="C1014" s="8" t="s">
        <v>1036</v>
      </c>
      <c r="D1014" s="26" t="n">
        <v>0</v>
      </c>
    </row>
    <row r="1015" customFormat="false" ht="15" hidden="false" customHeight="true" outlineLevel="0" collapsed="false">
      <c r="A1015" s="8" t="s">
        <v>1123</v>
      </c>
      <c r="B1015" s="8" t="s">
        <v>1037</v>
      </c>
      <c r="C1015" s="8" t="s">
        <v>1038</v>
      </c>
      <c r="D1015" s="26" t="n">
        <v>0</v>
      </c>
    </row>
    <row r="1016" customFormat="false" ht="15" hidden="false" customHeight="true" outlineLevel="0" collapsed="false">
      <c r="A1016" s="8" t="s">
        <v>1123</v>
      </c>
      <c r="B1016" s="8" t="s">
        <v>1035</v>
      </c>
      <c r="C1016" s="8" t="s">
        <v>1039</v>
      </c>
      <c r="D1016" s="26" t="n">
        <v>0</v>
      </c>
    </row>
    <row r="1017" customFormat="false" ht="15" hidden="false" customHeight="true" outlineLevel="0" collapsed="false">
      <c r="A1017" s="8" t="s">
        <v>1123</v>
      </c>
      <c r="B1017" s="8" t="s">
        <v>1042</v>
      </c>
      <c r="C1017" s="8" t="s">
        <v>1043</v>
      </c>
      <c r="D1017" s="26" t="n">
        <v>0</v>
      </c>
    </row>
    <row r="1018" customFormat="false" ht="15" hidden="false" customHeight="true" outlineLevel="0" collapsed="false">
      <c r="A1018" s="8" t="s">
        <v>1123</v>
      </c>
      <c r="B1018" s="8" t="s">
        <v>1042</v>
      </c>
      <c r="C1018" s="8" t="s">
        <v>1044</v>
      </c>
      <c r="D1018" s="26" t="n">
        <v>0</v>
      </c>
    </row>
    <row r="1019" customFormat="false" ht="15" hidden="false" customHeight="true" outlineLevel="0" collapsed="false">
      <c r="A1019" s="8" t="s">
        <v>1123</v>
      </c>
      <c r="B1019" s="8" t="s">
        <v>1042</v>
      </c>
      <c r="C1019" s="8" t="s">
        <v>1045</v>
      </c>
      <c r="D1019" s="26" t="n">
        <v>0</v>
      </c>
    </row>
    <row r="1020" customFormat="false" ht="15" hidden="false" customHeight="true" outlineLevel="0" collapsed="false">
      <c r="A1020" s="8" t="s">
        <v>1123</v>
      </c>
      <c r="B1020" s="8" t="s">
        <v>1042</v>
      </c>
      <c r="C1020" s="8" t="s">
        <v>1046</v>
      </c>
      <c r="D1020" s="26" t="n">
        <v>0</v>
      </c>
    </row>
    <row r="1021" customFormat="false" ht="15" hidden="false" customHeight="true" outlineLevel="0" collapsed="false">
      <c r="A1021" s="8" t="s">
        <v>1123</v>
      </c>
      <c r="B1021" s="8" t="s">
        <v>1042</v>
      </c>
      <c r="C1021" s="8" t="s">
        <v>1047</v>
      </c>
      <c r="D1021" s="26" t="n">
        <v>0</v>
      </c>
    </row>
    <row r="1022" customFormat="false" ht="15" hidden="false" customHeight="true" outlineLevel="0" collapsed="false">
      <c r="A1022" s="8" t="s">
        <v>1123</v>
      </c>
      <c r="B1022" s="8" t="s">
        <v>1048</v>
      </c>
      <c r="C1022" s="8" t="s">
        <v>1049</v>
      </c>
      <c r="D1022" s="26" t="n">
        <v>0</v>
      </c>
    </row>
    <row r="1023" customFormat="false" ht="15" hidden="false" customHeight="true" outlineLevel="0" collapsed="false">
      <c r="A1023" s="8" t="s">
        <v>1123</v>
      </c>
      <c r="B1023" s="8" t="s">
        <v>1048</v>
      </c>
      <c r="C1023" s="8" t="s">
        <v>1050</v>
      </c>
      <c r="D1023" s="26" t="n">
        <v>0</v>
      </c>
    </row>
    <row r="1024" customFormat="false" ht="15" hidden="false" customHeight="true" outlineLevel="0" collapsed="false">
      <c r="A1024" s="8" t="s">
        <v>1123</v>
      </c>
      <c r="B1024" s="8" t="s">
        <v>1048</v>
      </c>
      <c r="C1024" s="8" t="s">
        <v>1051</v>
      </c>
      <c r="D1024" s="26" t="n">
        <v>0</v>
      </c>
    </row>
    <row r="1025" customFormat="false" ht="15" hidden="false" customHeight="true" outlineLevel="0" collapsed="false">
      <c r="A1025" s="8" t="s">
        <v>1123</v>
      </c>
      <c r="B1025" s="8" t="s">
        <v>1048</v>
      </c>
      <c r="C1025" s="8" t="s">
        <v>1052</v>
      </c>
      <c r="D1025" s="26" t="n">
        <v>0</v>
      </c>
    </row>
    <row r="1026" customFormat="false" ht="15" hidden="false" customHeight="true" outlineLevel="0" collapsed="false">
      <c r="A1026" s="8" t="s">
        <v>1123</v>
      </c>
      <c r="B1026" s="8" t="s">
        <v>1048</v>
      </c>
      <c r="C1026" s="8" t="s">
        <v>1053</v>
      </c>
      <c r="D1026" s="26" t="n">
        <v>0</v>
      </c>
    </row>
    <row r="1027" customFormat="false" ht="15" hidden="false" customHeight="true" outlineLevel="0" collapsed="false">
      <c r="A1027" s="8" t="s">
        <v>1123</v>
      </c>
      <c r="B1027" s="8" t="s">
        <v>1054</v>
      </c>
      <c r="C1027" s="8" t="s">
        <v>1055</v>
      </c>
      <c r="D1027" s="26" t="n">
        <v>0</v>
      </c>
    </row>
    <row r="1028" customFormat="false" ht="15" hidden="false" customHeight="true" outlineLevel="0" collapsed="false">
      <c r="A1028" s="8" t="s">
        <v>1123</v>
      </c>
      <c r="B1028" s="8" t="s">
        <v>1054</v>
      </c>
      <c r="C1028" s="8" t="s">
        <v>1056</v>
      </c>
      <c r="D1028" s="26" t="n">
        <v>0</v>
      </c>
    </row>
    <row r="1029" customFormat="false" ht="15" hidden="false" customHeight="true" outlineLevel="0" collapsed="false">
      <c r="A1029" s="8" t="s">
        <v>1123</v>
      </c>
      <c r="B1029" s="8" t="s">
        <v>1054</v>
      </c>
      <c r="C1029" s="8" t="s">
        <v>1057</v>
      </c>
      <c r="D1029" s="26" t="n">
        <v>0</v>
      </c>
    </row>
    <row r="1030" customFormat="false" ht="15" hidden="false" customHeight="true" outlineLevel="0" collapsed="false">
      <c r="A1030" s="8" t="s">
        <v>1123</v>
      </c>
      <c r="B1030" s="8" t="s">
        <v>1054</v>
      </c>
      <c r="C1030" s="8" t="s">
        <v>1058</v>
      </c>
      <c r="D1030" s="26" t="n">
        <v>0</v>
      </c>
    </row>
    <row r="1031" customFormat="false" ht="15" hidden="false" customHeight="true" outlineLevel="0" collapsed="false">
      <c r="A1031" s="8" t="s">
        <v>1123</v>
      </c>
      <c r="B1031" s="8" t="s">
        <v>1054</v>
      </c>
      <c r="C1031" s="8" t="s">
        <v>1059</v>
      </c>
      <c r="D1031" s="26" t="n">
        <v>0</v>
      </c>
    </row>
    <row r="1032" customFormat="false" ht="15" hidden="false" customHeight="true" outlineLevel="0" collapsed="false">
      <c r="A1032" s="8" t="s">
        <v>1123</v>
      </c>
      <c r="B1032" s="8" t="s">
        <v>1060</v>
      </c>
      <c r="C1032" s="8" t="s">
        <v>1061</v>
      </c>
      <c r="D1032" s="26" t="n">
        <v>0</v>
      </c>
    </row>
    <row r="1033" customFormat="false" ht="15" hidden="false" customHeight="true" outlineLevel="0" collapsed="false">
      <c r="A1033" s="8" t="s">
        <v>1123</v>
      </c>
      <c r="B1033" s="8" t="s">
        <v>1062</v>
      </c>
      <c r="C1033" s="8" t="s">
        <v>1063</v>
      </c>
      <c r="D1033" s="26" t="n">
        <v>0</v>
      </c>
    </row>
    <row r="1034" customFormat="false" ht="15" hidden="false" customHeight="true" outlineLevel="0" collapsed="false">
      <c r="A1034" s="8" t="s">
        <v>1123</v>
      </c>
      <c r="B1034" s="8" t="s">
        <v>1064</v>
      </c>
      <c r="C1034" s="8" t="s">
        <v>1065</v>
      </c>
      <c r="D1034" s="26" t="n">
        <v>0</v>
      </c>
    </row>
    <row r="1035" customFormat="false" ht="15" hidden="false" customHeight="true" outlineLevel="0" collapsed="false">
      <c r="A1035" s="8" t="s">
        <v>1123</v>
      </c>
      <c r="B1035" s="8" t="s">
        <v>1066</v>
      </c>
      <c r="C1035" s="8" t="s">
        <v>1067</v>
      </c>
      <c r="D1035" s="26" t="n">
        <v>0</v>
      </c>
    </row>
    <row r="1036" customFormat="false" ht="15" hidden="false" customHeight="true" outlineLevel="0" collapsed="false">
      <c r="A1036" s="8" t="s">
        <v>1123</v>
      </c>
      <c r="B1036" s="8" t="s">
        <v>1068</v>
      </c>
      <c r="C1036" s="8" t="s">
        <v>1069</v>
      </c>
      <c r="D1036" s="26" t="n">
        <v>0</v>
      </c>
    </row>
    <row r="1037" customFormat="false" ht="15" hidden="false" customHeight="true" outlineLevel="0" collapsed="false">
      <c r="A1037" s="8" t="s">
        <v>1123</v>
      </c>
      <c r="B1037" s="8" t="s">
        <v>1070</v>
      </c>
      <c r="C1037" s="8" t="s">
        <v>1071</v>
      </c>
      <c r="D1037" s="26" t="n">
        <v>0</v>
      </c>
    </row>
    <row r="1038" customFormat="false" ht="15" hidden="false" customHeight="true" outlineLevel="0" collapsed="false">
      <c r="A1038" s="8" t="s">
        <v>1123</v>
      </c>
      <c r="B1038" s="8" t="s">
        <v>1070</v>
      </c>
      <c r="C1038" s="8" t="s">
        <v>1072</v>
      </c>
      <c r="D1038" s="26" t="n">
        <v>0</v>
      </c>
    </row>
    <row r="1039" customFormat="false" ht="15" hidden="false" customHeight="true" outlineLevel="0" collapsed="false">
      <c r="A1039" s="8" t="s">
        <v>1123</v>
      </c>
      <c r="B1039" s="8" t="s">
        <v>1070</v>
      </c>
      <c r="C1039" s="8" t="s">
        <v>1073</v>
      </c>
      <c r="D1039" s="26" t="n">
        <v>0</v>
      </c>
    </row>
    <row r="1040" customFormat="false" ht="15" hidden="false" customHeight="true" outlineLevel="0" collapsed="false">
      <c r="A1040" s="8" t="s">
        <v>1123</v>
      </c>
      <c r="B1040" s="8" t="s">
        <v>1070</v>
      </c>
      <c r="C1040" s="8" t="s">
        <v>1074</v>
      </c>
      <c r="D1040" s="26" t="n">
        <v>0</v>
      </c>
    </row>
    <row r="1041" customFormat="false" ht="15" hidden="false" customHeight="true" outlineLevel="0" collapsed="false">
      <c r="A1041" s="8" t="s">
        <v>1123</v>
      </c>
      <c r="B1041" s="8" t="s">
        <v>1075</v>
      </c>
      <c r="C1041" s="8" t="s">
        <v>1076</v>
      </c>
      <c r="D1041" s="26" t="n">
        <v>0</v>
      </c>
    </row>
    <row r="1042" customFormat="false" ht="15" hidden="false" customHeight="true" outlineLevel="0" collapsed="false">
      <c r="A1042" s="8" t="s">
        <v>1123</v>
      </c>
      <c r="B1042" s="8" t="s">
        <v>1077</v>
      </c>
      <c r="C1042" s="8" t="s">
        <v>1078</v>
      </c>
      <c r="D1042" s="26" t="n">
        <v>0</v>
      </c>
    </row>
    <row r="1043" customFormat="false" ht="15" hidden="false" customHeight="true" outlineLevel="0" collapsed="false">
      <c r="A1043" s="8" t="s">
        <v>1123</v>
      </c>
      <c r="B1043" s="8" t="s">
        <v>1079</v>
      </c>
      <c r="C1043" s="8" t="s">
        <v>1080</v>
      </c>
      <c r="D1043" s="26" t="n">
        <v>0</v>
      </c>
    </row>
    <row r="1044" customFormat="false" ht="15" hidden="false" customHeight="true" outlineLevel="0" collapsed="false">
      <c r="A1044" s="8" t="s">
        <v>1123</v>
      </c>
      <c r="B1044" s="8" t="s">
        <v>1081</v>
      </c>
      <c r="C1044" s="8" t="s">
        <v>1082</v>
      </c>
      <c r="D1044" s="26" t="n">
        <v>0</v>
      </c>
    </row>
    <row r="1045" customFormat="false" ht="15" hidden="false" customHeight="true" outlineLevel="0" collapsed="false">
      <c r="A1045" s="8" t="s">
        <v>1123</v>
      </c>
      <c r="B1045" s="8" t="s">
        <v>1083</v>
      </c>
      <c r="C1045" s="8" t="s">
        <v>1084</v>
      </c>
      <c r="D1045" s="26" t="n">
        <v>0</v>
      </c>
    </row>
    <row r="1046" customFormat="false" ht="15" hidden="false" customHeight="true" outlineLevel="0" collapsed="false">
      <c r="A1046" s="8" t="s">
        <v>1123</v>
      </c>
      <c r="B1046" s="8" t="s">
        <v>1164</v>
      </c>
      <c r="C1046" s="8" t="s">
        <v>1165</v>
      </c>
      <c r="D1046" s="26" t="n">
        <v>0</v>
      </c>
    </row>
    <row r="1047" customFormat="false" ht="15" hidden="false" customHeight="true" outlineLevel="0" collapsed="false">
      <c r="A1047" s="8" t="s">
        <v>1123</v>
      </c>
      <c r="B1047" s="8" t="s">
        <v>107</v>
      </c>
      <c r="C1047" s="8" t="s">
        <v>1166</v>
      </c>
      <c r="D1047" s="26" t="n">
        <v>2</v>
      </c>
    </row>
    <row r="1048" customFormat="false" ht="15" hidden="false" customHeight="true" outlineLevel="0" collapsed="false">
      <c r="A1048" s="8" t="s">
        <v>1123</v>
      </c>
      <c r="B1048" s="8" t="s">
        <v>107</v>
      </c>
      <c r="C1048" s="8" t="s">
        <v>1085</v>
      </c>
      <c r="D1048" s="26" t="n">
        <v>1</v>
      </c>
    </row>
    <row r="1049" customFormat="false" ht="15" hidden="false" customHeight="true" outlineLevel="0" collapsed="false">
      <c r="A1049" s="8" t="s">
        <v>1123</v>
      </c>
      <c r="B1049" s="8" t="s">
        <v>107</v>
      </c>
      <c r="C1049" s="8" t="s">
        <v>1167</v>
      </c>
      <c r="D1049" s="26" t="n">
        <v>1</v>
      </c>
    </row>
    <row r="1050" customFormat="false" ht="15" hidden="false" customHeight="true" outlineLevel="0" collapsed="false">
      <c r="A1050" s="8" t="s">
        <v>1123</v>
      </c>
      <c r="B1050" s="8" t="s">
        <v>107</v>
      </c>
      <c r="C1050" s="8" t="s">
        <v>1168</v>
      </c>
      <c r="D1050" s="26" t="n">
        <v>4</v>
      </c>
    </row>
    <row r="1051" customFormat="false" ht="15" hidden="false" customHeight="true" outlineLevel="0" collapsed="false">
      <c r="A1051" s="8" t="s">
        <v>1123</v>
      </c>
      <c r="B1051" s="8" t="s">
        <v>107</v>
      </c>
      <c r="C1051" s="8" t="s">
        <v>1169</v>
      </c>
      <c r="D1051" s="26" t="n">
        <v>1</v>
      </c>
    </row>
    <row r="1052" customFormat="false" ht="15" hidden="false" customHeight="true" outlineLevel="0" collapsed="false">
      <c r="A1052" s="8" t="s">
        <v>1123</v>
      </c>
      <c r="B1052" s="8" t="s">
        <v>1088</v>
      </c>
      <c r="C1052" s="8" t="s">
        <v>1089</v>
      </c>
      <c r="D1052" s="26" t="n">
        <v>0</v>
      </c>
    </row>
    <row r="1053" customFormat="false" ht="15" hidden="false" customHeight="true" outlineLevel="0" collapsed="false">
      <c r="A1053" s="8" t="s">
        <v>1123</v>
      </c>
      <c r="B1053" s="8" t="s">
        <v>1088</v>
      </c>
      <c r="C1053" s="8" t="s">
        <v>1090</v>
      </c>
      <c r="D1053" s="26" t="n">
        <v>0</v>
      </c>
    </row>
    <row r="1054" customFormat="false" ht="15" hidden="false" customHeight="true" outlineLevel="0" collapsed="false">
      <c r="A1054" s="8" t="s">
        <v>1123</v>
      </c>
      <c r="B1054" s="8" t="s">
        <v>1088</v>
      </c>
      <c r="C1054" s="8" t="s">
        <v>1091</v>
      </c>
      <c r="D1054" s="26" t="n">
        <v>0</v>
      </c>
    </row>
    <row r="1055" customFormat="false" ht="15" hidden="false" customHeight="true" outlineLevel="0" collapsed="false">
      <c r="A1055" s="8" t="s">
        <v>1123</v>
      </c>
      <c r="B1055" s="8" t="s">
        <v>1088</v>
      </c>
      <c r="C1055" s="8" t="s">
        <v>1092</v>
      </c>
      <c r="D1055" s="26" t="n">
        <v>0</v>
      </c>
    </row>
    <row r="1056" customFormat="false" ht="15" hidden="false" customHeight="true" outlineLevel="0" collapsed="false">
      <c r="A1056" s="8" t="s">
        <v>1123</v>
      </c>
      <c r="B1056" s="8" t="s">
        <v>1093</v>
      </c>
      <c r="C1056" s="8" t="s">
        <v>1094</v>
      </c>
      <c r="D1056" s="26" t="n">
        <v>0</v>
      </c>
    </row>
    <row r="1057" customFormat="false" ht="15" hidden="false" customHeight="true" outlineLevel="0" collapsed="false">
      <c r="A1057" s="8" t="s">
        <v>1123</v>
      </c>
      <c r="B1057" s="8" t="s">
        <v>1095</v>
      </c>
      <c r="C1057" s="8" t="s">
        <v>1094</v>
      </c>
      <c r="D1057" s="26" t="n">
        <v>0</v>
      </c>
    </row>
    <row r="1058" customFormat="false" ht="15" hidden="false" customHeight="true" outlineLevel="0" collapsed="false">
      <c r="A1058" s="8" t="s">
        <v>1123</v>
      </c>
      <c r="B1058" s="8" t="s">
        <v>1093</v>
      </c>
      <c r="C1058" s="8" t="s">
        <v>1096</v>
      </c>
      <c r="D1058" s="26" t="n">
        <v>0</v>
      </c>
    </row>
    <row r="1059" customFormat="false" ht="15" hidden="false" customHeight="true" outlineLevel="0" collapsed="false">
      <c r="A1059" s="8" t="s">
        <v>1123</v>
      </c>
      <c r="B1059" s="8" t="s">
        <v>151</v>
      </c>
      <c r="C1059" s="8" t="s">
        <v>1096</v>
      </c>
      <c r="D1059" s="26" t="n">
        <v>6</v>
      </c>
    </row>
    <row r="1060" customFormat="false" ht="15" hidden="false" customHeight="true" outlineLevel="0" collapsed="false">
      <c r="A1060" s="8" t="s">
        <v>1123</v>
      </c>
      <c r="B1060" s="8" t="s">
        <v>81</v>
      </c>
      <c r="C1060" s="8" t="s">
        <v>1097</v>
      </c>
      <c r="D1060" s="26" t="n">
        <v>156</v>
      </c>
    </row>
    <row r="1061" customFormat="false" ht="15" hidden="false" customHeight="true" outlineLevel="0" collapsed="false">
      <c r="A1061" s="8" t="s">
        <v>1123</v>
      </c>
      <c r="B1061" s="8" t="s">
        <v>1098</v>
      </c>
      <c r="C1061" s="8" t="s">
        <v>1099</v>
      </c>
      <c r="D1061" s="26" t="n">
        <v>0</v>
      </c>
    </row>
    <row r="1062" customFormat="false" ht="15" hidden="false" customHeight="true" outlineLevel="0" collapsed="false">
      <c r="A1062" s="8" t="s">
        <v>1123</v>
      </c>
      <c r="B1062" s="8" t="s">
        <v>50</v>
      </c>
      <c r="C1062" s="8" t="s">
        <v>1170</v>
      </c>
      <c r="D1062" s="26" t="n">
        <v>102</v>
      </c>
    </row>
    <row r="1063" customFormat="false" ht="15" hidden="false" customHeight="true" outlineLevel="0" collapsed="false">
      <c r="A1063" s="8" t="s">
        <v>1123</v>
      </c>
      <c r="B1063" s="8" t="s">
        <v>50</v>
      </c>
      <c r="C1063" s="8" t="s">
        <v>1171</v>
      </c>
      <c r="D1063" s="26" t="n">
        <v>147</v>
      </c>
    </row>
    <row r="1064" customFormat="false" ht="15" hidden="false" customHeight="true" outlineLevel="0" collapsed="false">
      <c r="A1064" s="8" t="s">
        <v>1123</v>
      </c>
      <c r="B1064" s="8" t="s">
        <v>50</v>
      </c>
      <c r="C1064" s="8" t="s">
        <v>1172</v>
      </c>
      <c r="D1064" s="26" t="n">
        <v>167</v>
      </c>
    </row>
    <row r="1065" customFormat="false" ht="15" hidden="false" customHeight="true" outlineLevel="0" collapsed="false">
      <c r="A1065" s="8" t="s">
        <v>1123</v>
      </c>
      <c r="B1065" s="8" t="s">
        <v>1173</v>
      </c>
      <c r="C1065" s="8" t="s">
        <v>1174</v>
      </c>
      <c r="D1065" s="26" t="n">
        <v>0</v>
      </c>
    </row>
    <row r="1066" customFormat="false" ht="15" hidden="false" customHeight="true" outlineLevel="0" collapsed="false">
      <c r="A1066" s="8" t="s">
        <v>1123</v>
      </c>
      <c r="B1066" s="8" t="s">
        <v>1173</v>
      </c>
      <c r="C1066" s="8" t="s">
        <v>1175</v>
      </c>
      <c r="D1066" s="26" t="n">
        <v>0</v>
      </c>
    </row>
    <row r="1067" customFormat="false" ht="15" hidden="false" customHeight="true" outlineLevel="0" collapsed="false">
      <c r="A1067" s="8" t="s">
        <v>1123</v>
      </c>
      <c r="B1067" s="8" t="s">
        <v>1100</v>
      </c>
      <c r="C1067" s="8" t="s">
        <v>1101</v>
      </c>
      <c r="D1067" s="26" t="n">
        <v>0</v>
      </c>
    </row>
    <row r="1068" customFormat="false" ht="15" hidden="false" customHeight="true" outlineLevel="0" collapsed="false">
      <c r="A1068" s="8" t="s">
        <v>1123</v>
      </c>
      <c r="B1068" s="8" t="s">
        <v>1102</v>
      </c>
      <c r="C1068" s="8" t="s">
        <v>556</v>
      </c>
      <c r="D1068" s="26" t="n">
        <v>0</v>
      </c>
    </row>
    <row r="1069" customFormat="false" ht="15" hidden="false" customHeight="true" outlineLevel="0" collapsed="false">
      <c r="A1069" s="8" t="s">
        <v>1123</v>
      </c>
      <c r="B1069" s="8" t="s">
        <v>1103</v>
      </c>
      <c r="C1069" s="8" t="s">
        <v>1104</v>
      </c>
      <c r="D1069" s="26" t="n">
        <v>0</v>
      </c>
    </row>
    <row r="1070" customFormat="false" ht="15" hidden="false" customHeight="true" outlineLevel="0" collapsed="false">
      <c r="A1070" s="8" t="s">
        <v>1123</v>
      </c>
      <c r="B1070" s="8" t="s">
        <v>62</v>
      </c>
      <c r="C1070" s="8" t="s">
        <v>1176</v>
      </c>
      <c r="D1070" s="26" t="n">
        <v>327</v>
      </c>
    </row>
    <row r="1071" customFormat="false" ht="15" hidden="false" customHeight="true" outlineLevel="0" collapsed="false">
      <c r="A1071" s="8" t="s">
        <v>1123</v>
      </c>
      <c r="B1071" s="8" t="s">
        <v>105</v>
      </c>
      <c r="C1071" s="8" t="s">
        <v>1177</v>
      </c>
      <c r="D1071" s="26" t="n">
        <v>72</v>
      </c>
    </row>
    <row r="1072" customFormat="false" ht="15" hidden="false" customHeight="true" outlineLevel="0" collapsed="false">
      <c r="A1072" s="8" t="s">
        <v>1123</v>
      </c>
      <c r="B1072" s="8" t="s">
        <v>86</v>
      </c>
      <c r="C1072" s="8" t="s">
        <v>1178</v>
      </c>
      <c r="D1072" s="26" t="n">
        <v>97</v>
      </c>
    </row>
    <row r="1073" customFormat="false" ht="15" hidden="false" customHeight="true" outlineLevel="0" collapsed="false">
      <c r="A1073" s="8" t="s">
        <v>1123</v>
      </c>
      <c r="B1073" s="8" t="s">
        <v>145</v>
      </c>
      <c r="C1073" s="8" t="s">
        <v>1179</v>
      </c>
      <c r="D1073" s="26" t="n">
        <v>5</v>
      </c>
    </row>
    <row r="1074" customFormat="false" ht="15" hidden="false" customHeight="true" outlineLevel="0" collapsed="false">
      <c r="A1074" s="8" t="s">
        <v>1123</v>
      </c>
      <c r="B1074" s="8" t="s">
        <v>78</v>
      </c>
      <c r="C1074" s="8" t="s">
        <v>1180</v>
      </c>
      <c r="D1074" s="26" t="n">
        <v>8</v>
      </c>
    </row>
    <row r="1075" customFormat="false" ht="15" hidden="false" customHeight="true" outlineLevel="0" collapsed="false">
      <c r="A1075" s="8" t="s">
        <v>1123</v>
      </c>
      <c r="B1075" s="8" t="s">
        <v>78</v>
      </c>
      <c r="C1075" s="8" t="s">
        <v>1181</v>
      </c>
      <c r="D1075" s="26" t="n">
        <v>2</v>
      </c>
    </row>
    <row r="1076" customFormat="false" ht="15" hidden="false" customHeight="true" outlineLevel="0" collapsed="false">
      <c r="A1076" s="8" t="s">
        <v>1123</v>
      </c>
      <c r="B1076" s="8" t="s">
        <v>78</v>
      </c>
      <c r="C1076" s="8" t="s">
        <v>1182</v>
      </c>
      <c r="D1076" s="26" t="n">
        <v>1</v>
      </c>
    </row>
    <row r="1077" customFormat="false" ht="15" hidden="false" customHeight="true" outlineLevel="0" collapsed="false">
      <c r="A1077" s="8" t="s">
        <v>1123</v>
      </c>
      <c r="B1077" s="8" t="s">
        <v>78</v>
      </c>
      <c r="C1077" s="8" t="s">
        <v>1183</v>
      </c>
      <c r="D1077" s="26" t="n">
        <v>1</v>
      </c>
    </row>
    <row r="1078" customFormat="false" ht="15" hidden="false" customHeight="true" outlineLevel="0" collapsed="false">
      <c r="A1078" s="8" t="s">
        <v>1123</v>
      </c>
      <c r="B1078" s="8" t="s">
        <v>1184</v>
      </c>
      <c r="C1078" s="8" t="s">
        <v>1185</v>
      </c>
      <c r="D1078" s="26" t="n">
        <v>0</v>
      </c>
    </row>
    <row r="1079" customFormat="false" ht="15" hidden="false" customHeight="true" outlineLevel="0" collapsed="false">
      <c r="A1079" s="8" t="s">
        <v>1123</v>
      </c>
      <c r="B1079" s="8" t="s">
        <v>94</v>
      </c>
      <c r="C1079" s="8" t="s">
        <v>1186</v>
      </c>
      <c r="D1079" s="26" t="n">
        <v>6</v>
      </c>
    </row>
    <row r="1080" customFormat="false" ht="15" hidden="false" customHeight="true" outlineLevel="0" collapsed="false">
      <c r="A1080" s="8" t="s">
        <v>1123</v>
      </c>
      <c r="B1080" s="8" t="s">
        <v>94</v>
      </c>
      <c r="C1080" s="8" t="s">
        <v>1187</v>
      </c>
      <c r="D1080" s="26" t="n">
        <v>11</v>
      </c>
    </row>
    <row r="1081" customFormat="false" ht="15" hidden="false" customHeight="true" outlineLevel="0" collapsed="false">
      <c r="A1081" s="8" t="s">
        <v>1123</v>
      </c>
      <c r="B1081" s="8" t="s">
        <v>94</v>
      </c>
      <c r="C1081" s="8" t="s">
        <v>1188</v>
      </c>
      <c r="D1081" s="26" t="n">
        <v>5</v>
      </c>
    </row>
    <row r="1082" customFormat="false" ht="15" hidden="false" customHeight="true" outlineLevel="0" collapsed="false">
      <c r="A1082" s="8" t="s">
        <v>1123</v>
      </c>
      <c r="B1082" s="8" t="s">
        <v>92</v>
      </c>
      <c r="C1082" s="8" t="s">
        <v>1189</v>
      </c>
      <c r="D1082" s="26" t="n">
        <v>9</v>
      </c>
    </row>
    <row r="1083" customFormat="false" ht="15" hidden="false" customHeight="true" outlineLevel="0" collapsed="false">
      <c r="A1083" s="8" t="s">
        <v>1123</v>
      </c>
      <c r="B1083" s="8" t="s">
        <v>92</v>
      </c>
      <c r="C1083" s="8" t="s">
        <v>1190</v>
      </c>
      <c r="D1083" s="26" t="n">
        <v>14</v>
      </c>
    </row>
    <row r="1084" customFormat="false" ht="15" hidden="false" customHeight="true" outlineLevel="0" collapsed="false">
      <c r="A1084" s="8" t="s">
        <v>1123</v>
      </c>
      <c r="B1084" s="8" t="s">
        <v>130</v>
      </c>
      <c r="C1084" s="8" t="s">
        <v>1191</v>
      </c>
      <c r="D1084" s="26" t="n">
        <v>8</v>
      </c>
    </row>
    <row r="1085" customFormat="false" ht="15" hidden="false" customHeight="true" outlineLevel="0" collapsed="false">
      <c r="A1085" s="8" t="s">
        <v>1123</v>
      </c>
      <c r="B1085" s="8" t="s">
        <v>1105</v>
      </c>
      <c r="C1085" s="8" t="s">
        <v>1106</v>
      </c>
      <c r="D1085" s="26" t="n">
        <v>0</v>
      </c>
    </row>
    <row r="1086" customFormat="false" ht="15" hidden="false" customHeight="true" outlineLevel="0" collapsed="false">
      <c r="A1086" s="8" t="s">
        <v>1123</v>
      </c>
      <c r="B1086" s="8" t="s">
        <v>1105</v>
      </c>
      <c r="C1086" s="8" t="s">
        <v>1107</v>
      </c>
      <c r="D1086" s="26" t="n">
        <v>0</v>
      </c>
    </row>
    <row r="1087" customFormat="false" ht="15" hidden="false" customHeight="true" outlineLevel="0" collapsed="false">
      <c r="A1087" s="8" t="s">
        <v>1123</v>
      </c>
      <c r="B1087" s="8" t="s">
        <v>1105</v>
      </c>
      <c r="C1087" s="8" t="s">
        <v>1108</v>
      </c>
      <c r="D1087" s="26" t="n">
        <v>0</v>
      </c>
    </row>
    <row r="1088" customFormat="false" ht="15" hidden="false" customHeight="true" outlineLevel="0" collapsed="false">
      <c r="A1088" s="8" t="s">
        <v>1123</v>
      </c>
      <c r="B1088" s="8" t="s">
        <v>1109</v>
      </c>
      <c r="C1088" s="8" t="s">
        <v>1110</v>
      </c>
      <c r="D1088" s="26" t="n">
        <v>0</v>
      </c>
    </row>
    <row r="1089" customFormat="false" ht="15" hidden="false" customHeight="true" outlineLevel="0" collapsed="false">
      <c r="A1089" s="8" t="s">
        <v>1123</v>
      </c>
      <c r="B1089" s="8" t="s">
        <v>1111</v>
      </c>
      <c r="C1089" s="8" t="s">
        <v>1110</v>
      </c>
      <c r="D1089" s="26" t="n">
        <v>0</v>
      </c>
    </row>
    <row r="1090" customFormat="false" ht="15" hidden="false" customHeight="true" outlineLevel="0" collapsed="false">
      <c r="A1090" s="8" t="s">
        <v>1123</v>
      </c>
      <c r="B1090" s="8" t="s">
        <v>1112</v>
      </c>
      <c r="C1090" s="8" t="s">
        <v>1110</v>
      </c>
      <c r="D1090" s="26" t="n">
        <v>0</v>
      </c>
    </row>
    <row r="1091" customFormat="false" ht="15" hidden="false" customHeight="true" outlineLevel="0" collapsed="false">
      <c r="A1091" s="8" t="s">
        <v>1123</v>
      </c>
      <c r="B1091" s="8" t="s">
        <v>1109</v>
      </c>
      <c r="C1091" s="8" t="s">
        <v>1113</v>
      </c>
      <c r="D1091" s="26" t="n">
        <v>0</v>
      </c>
    </row>
    <row r="1092" customFormat="false" ht="15" hidden="false" customHeight="true" outlineLevel="0" collapsed="false">
      <c r="A1092" s="8" t="s">
        <v>1123</v>
      </c>
      <c r="B1092" s="8" t="s">
        <v>1111</v>
      </c>
      <c r="C1092" s="8" t="s">
        <v>1113</v>
      </c>
      <c r="D1092" s="26" t="n">
        <v>0</v>
      </c>
    </row>
    <row r="1093" customFormat="false" ht="15" hidden="false" customHeight="true" outlineLevel="0" collapsed="false">
      <c r="A1093" s="8" t="s">
        <v>1123</v>
      </c>
      <c r="B1093" s="8" t="s">
        <v>1112</v>
      </c>
      <c r="C1093" s="8" t="s">
        <v>1113</v>
      </c>
      <c r="D1093" s="26" t="n">
        <v>0</v>
      </c>
    </row>
    <row r="1094" customFormat="false" ht="15" hidden="false" customHeight="true" outlineLevel="0" collapsed="false">
      <c r="A1094" s="8" t="s">
        <v>1123</v>
      </c>
      <c r="B1094" s="8" t="s">
        <v>77</v>
      </c>
      <c r="C1094" s="8" t="s">
        <v>1192</v>
      </c>
      <c r="D1094" s="26" t="n">
        <v>131</v>
      </c>
    </row>
    <row r="1095" customFormat="false" ht="15" hidden="false" customHeight="true" outlineLevel="0" collapsed="false">
      <c r="A1095" s="8" t="s">
        <v>1123</v>
      </c>
      <c r="B1095" s="8" t="s">
        <v>96</v>
      </c>
      <c r="C1095" s="8" t="s">
        <v>1193</v>
      </c>
      <c r="D1095" s="26" t="n">
        <v>16</v>
      </c>
    </row>
    <row r="1096" customFormat="false" ht="15" hidden="false" customHeight="true" outlineLevel="0" collapsed="false">
      <c r="A1096" s="8" t="s">
        <v>1123</v>
      </c>
      <c r="B1096" s="8" t="s">
        <v>152</v>
      </c>
      <c r="C1096" s="8" t="s">
        <v>767</v>
      </c>
      <c r="D1096" s="26" t="n">
        <v>3</v>
      </c>
    </row>
    <row r="1097" customFormat="false" ht="15" hidden="false" customHeight="true" outlineLevel="0" collapsed="false">
      <c r="A1097" s="8" t="s">
        <v>1123</v>
      </c>
      <c r="B1097" s="8" t="s">
        <v>88</v>
      </c>
      <c r="C1097" s="8" t="s">
        <v>1194</v>
      </c>
      <c r="D1097" s="26" t="n">
        <v>21</v>
      </c>
    </row>
    <row r="1098" customFormat="false" ht="15" hidden="false" customHeight="true" outlineLevel="0" collapsed="false">
      <c r="A1098" s="8" t="s">
        <v>1123</v>
      </c>
      <c r="B1098" s="8" t="s">
        <v>118</v>
      </c>
      <c r="C1098" s="8" t="s">
        <v>1195</v>
      </c>
      <c r="D1098" s="26" t="n">
        <v>32</v>
      </c>
    </row>
    <row r="1099" customFormat="false" ht="15" hidden="false" customHeight="true" outlineLevel="0" collapsed="false">
      <c r="A1099" s="8" t="s">
        <v>1123</v>
      </c>
      <c r="B1099" s="8" t="s">
        <v>90</v>
      </c>
      <c r="C1099" s="8" t="s">
        <v>1115</v>
      </c>
      <c r="D1099" s="26" t="n">
        <v>16</v>
      </c>
    </row>
    <row r="1100" customFormat="false" ht="15" hidden="false" customHeight="true" outlineLevel="0" collapsed="false">
      <c r="A1100" s="8" t="s">
        <v>1123</v>
      </c>
      <c r="B1100" s="8" t="s">
        <v>90</v>
      </c>
      <c r="C1100" s="8" t="s">
        <v>1116</v>
      </c>
      <c r="D1100" s="26" t="n">
        <v>27</v>
      </c>
    </row>
    <row r="1101" customFormat="false" ht="15" hidden="false" customHeight="true" outlineLevel="0" collapsed="false">
      <c r="A1101" s="8" t="s">
        <v>1123</v>
      </c>
      <c r="B1101" s="8" t="s">
        <v>1196</v>
      </c>
      <c r="C1101" s="8" t="s">
        <v>1197</v>
      </c>
      <c r="D1101" s="26" t="n">
        <v>0</v>
      </c>
    </row>
    <row r="1102" customFormat="false" ht="15" hidden="false" customHeight="true" outlineLevel="0" collapsed="false">
      <c r="A1102" s="8" t="s">
        <v>1123</v>
      </c>
      <c r="B1102" s="8" t="s">
        <v>134</v>
      </c>
      <c r="C1102" s="8" t="s">
        <v>1117</v>
      </c>
      <c r="D1102" s="26" t="n">
        <v>29</v>
      </c>
    </row>
    <row r="1103" customFormat="false" ht="15" hidden="false" customHeight="true" outlineLevel="0" collapsed="false">
      <c r="A1103" s="8" t="s">
        <v>1123</v>
      </c>
      <c r="B1103" s="8" t="s">
        <v>52</v>
      </c>
      <c r="C1103" s="8" t="s">
        <v>1118</v>
      </c>
      <c r="D1103" s="26" t="n">
        <v>12</v>
      </c>
    </row>
    <row r="1104" customFormat="false" ht="15" hidden="false" customHeight="true" outlineLevel="0" collapsed="false">
      <c r="A1104" s="8" t="s">
        <v>1123</v>
      </c>
      <c r="B1104" s="8" t="s">
        <v>52</v>
      </c>
      <c r="C1104" s="8" t="s">
        <v>1119</v>
      </c>
      <c r="D1104" s="26" t="n">
        <v>0</v>
      </c>
    </row>
    <row r="1105" customFormat="false" ht="15" hidden="false" customHeight="true" outlineLevel="0" collapsed="false">
      <c r="A1105" s="8" t="s">
        <v>1123</v>
      </c>
      <c r="B1105" s="8" t="s">
        <v>52</v>
      </c>
      <c r="C1105" s="8" t="s">
        <v>1120</v>
      </c>
      <c r="D1105" s="26" t="n">
        <v>17</v>
      </c>
    </row>
    <row r="1106" customFormat="false" ht="15" hidden="false" customHeight="true" outlineLevel="0" collapsed="false">
      <c r="A1106" s="8" t="s">
        <v>1123</v>
      </c>
      <c r="B1106" s="8" t="s">
        <v>52</v>
      </c>
      <c r="C1106" s="8" t="s">
        <v>1121</v>
      </c>
      <c r="D1106" s="26" t="n">
        <v>25</v>
      </c>
    </row>
    <row r="1107" customFormat="false" ht="15" hidden="false" customHeight="true" outlineLevel="0" collapsed="false">
      <c r="A1107" s="8" t="s">
        <v>1123</v>
      </c>
      <c r="B1107" s="8" t="s">
        <v>52</v>
      </c>
      <c r="C1107" s="8" t="s">
        <v>1122</v>
      </c>
      <c r="D1107" s="26" t="n">
        <v>26</v>
      </c>
    </row>
    <row r="1108" customFormat="false" ht="15" hidden="false" customHeight="true" outlineLevel="0" collapsed="false">
      <c r="A1108" s="8" t="s">
        <v>1123</v>
      </c>
      <c r="B1108" s="8" t="s">
        <v>52</v>
      </c>
      <c r="C1108" s="8" t="s">
        <v>1198</v>
      </c>
      <c r="D1108" s="26" t="n">
        <v>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6" min="3" style="1" width="16"/>
  </cols>
  <sheetData>
    <row r="1" customFormat="false" ht="15" hidden="false" customHeight="true" outlineLevel="0" collapsed="false">
      <c r="A1" s="24" t="s">
        <v>1202</v>
      </c>
      <c r="B1" s="24"/>
      <c r="C1" s="24"/>
      <c r="D1" s="24"/>
      <c r="E1" s="24"/>
      <c r="F1" s="24"/>
    </row>
    <row r="2" customFormat="false" ht="15" hidden="false" customHeight="true" outlineLevel="0" collapsed="false">
      <c r="A2" s="25" t="s">
        <v>1203</v>
      </c>
      <c r="B2" s="25" t="s">
        <v>1204</v>
      </c>
      <c r="C2" s="25" t="s">
        <v>15</v>
      </c>
      <c r="D2" s="25" t="s">
        <v>1205</v>
      </c>
      <c r="E2" s="25" t="s">
        <v>16</v>
      </c>
      <c r="F2" s="25" t="s">
        <v>1206</v>
      </c>
    </row>
    <row r="3" customFormat="false" ht="15" hidden="false" customHeight="true" outlineLevel="0" collapsed="false">
      <c r="A3" s="8" t="s">
        <v>295</v>
      </c>
      <c r="B3" s="8" t="s">
        <v>1207</v>
      </c>
      <c r="C3" s="8" t="n">
        <v>0</v>
      </c>
      <c r="D3" s="8" t="n">
        <v>0</v>
      </c>
      <c r="E3" s="8" t="n">
        <v>0</v>
      </c>
      <c r="F3" s="8" t="n">
        <v>0</v>
      </c>
    </row>
    <row r="4" customFormat="false" ht="15" hidden="false" customHeight="true" outlineLevel="0" collapsed="false">
      <c r="A4" s="8" t="s">
        <v>227</v>
      </c>
      <c r="B4" s="8"/>
      <c r="C4" s="8" t="n">
        <v>-1</v>
      </c>
      <c r="D4" s="8" t="n">
        <v>-31945.47</v>
      </c>
      <c r="E4" s="8" t="n">
        <v>-1</v>
      </c>
      <c r="F4" s="8" t="n">
        <v>-35055</v>
      </c>
    </row>
    <row r="5" customFormat="false" ht="15" hidden="false" customHeight="true" outlineLevel="0" collapsed="false">
      <c r="A5" s="8" t="s">
        <v>295</v>
      </c>
      <c r="B5" s="8" t="s">
        <v>1207</v>
      </c>
      <c r="C5" s="8" t="n">
        <v>0</v>
      </c>
      <c r="D5" s="8" t="n">
        <v>-921.56</v>
      </c>
      <c r="E5" s="8" t="n">
        <v>0</v>
      </c>
      <c r="F5" s="8" t="n">
        <v>0</v>
      </c>
    </row>
    <row r="6" customFormat="false" ht="15" hidden="false" customHeight="true" outlineLevel="0" collapsed="false">
      <c r="A6" s="8" t="s">
        <v>161</v>
      </c>
      <c r="B6" s="8" t="s">
        <v>1208</v>
      </c>
      <c r="C6" s="8" t="n">
        <v>5</v>
      </c>
      <c r="D6" s="8" t="n">
        <v>227.5</v>
      </c>
      <c r="E6" s="8" t="n">
        <v>2</v>
      </c>
      <c r="F6" s="8" t="n">
        <v>91</v>
      </c>
    </row>
    <row r="7" customFormat="false" ht="15" hidden="false" customHeight="true" outlineLevel="0" collapsed="false">
      <c r="A7" s="8" t="s">
        <v>162</v>
      </c>
      <c r="B7" s="8" t="s">
        <v>1209</v>
      </c>
      <c r="C7" s="8" t="n">
        <v>4</v>
      </c>
      <c r="D7" s="8" t="n">
        <v>311.2</v>
      </c>
      <c r="E7" s="8" t="n">
        <v>0</v>
      </c>
      <c r="F7" s="8" t="n">
        <v>0</v>
      </c>
    </row>
    <row r="8" customFormat="false" ht="15" hidden="false" customHeight="true" outlineLevel="0" collapsed="false">
      <c r="A8" s="8" t="s">
        <v>171</v>
      </c>
      <c r="B8" s="8" t="s">
        <v>1210</v>
      </c>
      <c r="C8" s="8" t="n">
        <v>5</v>
      </c>
      <c r="D8" s="8" t="n">
        <v>236.15</v>
      </c>
      <c r="E8" s="8" t="n">
        <v>0</v>
      </c>
      <c r="F8" s="8" t="n">
        <v>0</v>
      </c>
    </row>
    <row r="9" customFormat="false" ht="15" hidden="false" customHeight="true" outlineLevel="0" collapsed="false">
      <c r="A9" s="8" t="s">
        <v>174</v>
      </c>
      <c r="B9" s="8" t="s">
        <v>1210</v>
      </c>
      <c r="C9" s="8" t="n">
        <v>5</v>
      </c>
      <c r="D9" s="8" t="n">
        <v>236.15</v>
      </c>
      <c r="E9" s="8" t="n">
        <v>0</v>
      </c>
      <c r="F9" s="8" t="n">
        <v>0</v>
      </c>
    </row>
    <row r="10" customFormat="false" ht="15" hidden="false" customHeight="true" outlineLevel="0" collapsed="false">
      <c r="A10" s="8" t="s">
        <v>166</v>
      </c>
      <c r="B10" s="8" t="s">
        <v>1211</v>
      </c>
      <c r="C10" s="8" t="n">
        <v>0</v>
      </c>
      <c r="D10" s="8" t="n">
        <v>0</v>
      </c>
      <c r="E10" s="8" t="n">
        <v>2</v>
      </c>
      <c r="F10" s="8" t="n">
        <v>126.54</v>
      </c>
    </row>
    <row r="11" customFormat="false" ht="15" hidden="false" customHeight="true" outlineLevel="0" collapsed="false">
      <c r="A11" s="8" t="s">
        <v>164</v>
      </c>
      <c r="B11" s="8" t="s">
        <v>1211</v>
      </c>
      <c r="C11" s="8" t="n">
        <v>0</v>
      </c>
      <c r="D11" s="8" t="n">
        <v>0</v>
      </c>
      <c r="E11" s="8" t="n">
        <v>2</v>
      </c>
      <c r="F11" s="8" t="n">
        <v>126.54</v>
      </c>
    </row>
    <row r="12" customFormat="false" ht="15" hidden="false" customHeight="true" outlineLevel="0" collapsed="false">
      <c r="A12" s="8" t="s">
        <v>222</v>
      </c>
      <c r="B12" s="8" t="s">
        <v>1211</v>
      </c>
      <c r="C12" s="8" t="n">
        <v>0</v>
      </c>
      <c r="D12" s="8" t="n">
        <v>0</v>
      </c>
      <c r="E12" s="8" t="n">
        <v>2</v>
      </c>
      <c r="F12" s="8" t="n">
        <v>126.54</v>
      </c>
    </row>
    <row r="13" customFormat="false" ht="15" hidden="false" customHeight="true" outlineLevel="0" collapsed="false">
      <c r="A13" s="8" t="s">
        <v>187</v>
      </c>
      <c r="B13" s="8" t="s">
        <v>1211</v>
      </c>
      <c r="C13" s="8" t="n">
        <v>0</v>
      </c>
      <c r="D13" s="8" t="n">
        <v>0</v>
      </c>
      <c r="E13" s="8" t="n">
        <v>2</v>
      </c>
      <c r="F13" s="8" t="n">
        <v>126.54</v>
      </c>
    </row>
    <row r="14" customFormat="false" ht="15" hidden="false" customHeight="true" outlineLevel="0" collapsed="false">
      <c r="A14" s="8" t="s">
        <v>202</v>
      </c>
      <c r="B14" s="8" t="s">
        <v>1212</v>
      </c>
      <c r="C14" s="8" t="n">
        <v>10</v>
      </c>
      <c r="D14" s="8" t="n">
        <v>95</v>
      </c>
      <c r="E14" s="8" t="n">
        <v>0</v>
      </c>
      <c r="F14" s="8" t="n">
        <v>0</v>
      </c>
    </row>
    <row r="15" customFormat="false" ht="15" hidden="false" customHeight="true" outlineLevel="0" collapsed="false">
      <c r="A15" s="8" t="s">
        <v>244</v>
      </c>
      <c r="B15" s="8" t="s">
        <v>1213</v>
      </c>
      <c r="C15" s="8" t="n">
        <v>10</v>
      </c>
      <c r="D15" s="8" t="n">
        <v>95</v>
      </c>
      <c r="E15" s="8" t="n">
        <v>0</v>
      </c>
      <c r="F15" s="8" t="n">
        <v>0</v>
      </c>
    </row>
    <row r="16" customFormat="false" ht="15" hidden="false" customHeight="true" outlineLevel="0" collapsed="false">
      <c r="A16" s="8" t="s">
        <v>172</v>
      </c>
      <c r="B16" s="8" t="s">
        <v>1214</v>
      </c>
      <c r="C16" s="8" t="n">
        <v>10</v>
      </c>
      <c r="D16" s="8" t="n">
        <v>121.8</v>
      </c>
      <c r="E16" s="8" t="n">
        <v>0</v>
      </c>
      <c r="F16" s="8" t="n">
        <v>0</v>
      </c>
    </row>
    <row r="17" customFormat="false" ht="15" hidden="false" customHeight="true" outlineLevel="0" collapsed="false">
      <c r="A17" s="8" t="s">
        <v>261</v>
      </c>
      <c r="B17" s="8" t="s">
        <v>1215</v>
      </c>
      <c r="C17" s="8" t="n">
        <v>2</v>
      </c>
      <c r="D17" s="8" t="n">
        <v>42.42</v>
      </c>
      <c r="E17" s="8" t="n">
        <v>5</v>
      </c>
      <c r="F17" s="8" t="n">
        <v>106.05</v>
      </c>
    </row>
    <row r="18" customFormat="false" ht="15" hidden="false" customHeight="true" outlineLevel="0" collapsed="false">
      <c r="A18" s="8" t="s">
        <v>180</v>
      </c>
      <c r="B18" s="8" t="s">
        <v>1216</v>
      </c>
      <c r="C18" s="8" t="n">
        <v>5</v>
      </c>
      <c r="D18" s="8" t="n">
        <v>82.5</v>
      </c>
      <c r="E18" s="8" t="n">
        <v>0</v>
      </c>
      <c r="F18" s="8" t="n">
        <v>0</v>
      </c>
    </row>
    <row r="19" customFormat="false" ht="15" hidden="false" customHeight="true" outlineLevel="0" collapsed="false">
      <c r="A19" s="8" t="s">
        <v>189</v>
      </c>
      <c r="B19" s="8" t="s">
        <v>1216</v>
      </c>
      <c r="C19" s="8" t="n">
        <v>5</v>
      </c>
      <c r="D19" s="8" t="n">
        <v>82.5</v>
      </c>
      <c r="E19" s="8" t="n">
        <v>0</v>
      </c>
      <c r="F19" s="8" t="n">
        <v>0</v>
      </c>
    </row>
    <row r="20" customFormat="false" ht="15" hidden="false" customHeight="true" outlineLevel="0" collapsed="false">
      <c r="A20" s="8" t="s">
        <v>198</v>
      </c>
      <c r="B20" s="8" t="s">
        <v>1217</v>
      </c>
      <c r="C20" s="8" t="n">
        <v>1</v>
      </c>
      <c r="D20" s="8" t="n">
        <v>20.5</v>
      </c>
      <c r="E20" s="8" t="n">
        <v>0</v>
      </c>
      <c r="F20" s="8" t="n">
        <v>0</v>
      </c>
    </row>
    <row r="21" customFormat="false" ht="15" hidden="false" customHeight="true" outlineLevel="0" collapsed="false">
      <c r="A21" s="8" t="s">
        <v>193</v>
      </c>
      <c r="B21" s="8" t="s">
        <v>1217</v>
      </c>
      <c r="C21" s="8" t="n">
        <v>1</v>
      </c>
      <c r="D21" s="8" t="n">
        <v>20.5</v>
      </c>
      <c r="E21" s="8" t="n">
        <v>0</v>
      </c>
      <c r="F21" s="8" t="n">
        <v>0</v>
      </c>
    </row>
    <row r="22" customFormat="false" ht="15" hidden="false" customHeight="true" outlineLevel="0" collapsed="false">
      <c r="A22" s="8" t="s">
        <v>302</v>
      </c>
      <c r="B22" s="8" t="s">
        <v>1217</v>
      </c>
      <c r="C22" s="8" t="n">
        <v>1</v>
      </c>
      <c r="D22" s="8" t="n">
        <v>20.5</v>
      </c>
      <c r="E22" s="8" t="n">
        <v>0</v>
      </c>
      <c r="F22" s="8" t="n">
        <v>0</v>
      </c>
    </row>
    <row r="23" customFormat="false" ht="15" hidden="false" customHeight="true" outlineLevel="0" collapsed="false">
      <c r="A23" s="8" t="s">
        <v>205</v>
      </c>
      <c r="B23" s="8" t="s">
        <v>1217</v>
      </c>
      <c r="C23" s="8" t="n">
        <v>1</v>
      </c>
      <c r="D23" s="8" t="n">
        <v>20.5</v>
      </c>
      <c r="E23" s="8" t="n">
        <v>0</v>
      </c>
      <c r="F23" s="8" t="n">
        <v>0</v>
      </c>
    </row>
    <row r="24" customFormat="false" ht="15" hidden="false" customHeight="true" outlineLevel="0" collapsed="false">
      <c r="A24" s="8" t="s">
        <v>179</v>
      </c>
      <c r="B24" s="8" t="s">
        <v>1218</v>
      </c>
      <c r="C24" s="8" t="n">
        <v>1</v>
      </c>
      <c r="D24" s="8" t="n">
        <v>126.5</v>
      </c>
      <c r="E24" s="8" t="n">
        <v>0</v>
      </c>
      <c r="F24" s="8" t="n">
        <v>0</v>
      </c>
    </row>
    <row r="25" customFormat="false" ht="15" hidden="false" customHeight="true" outlineLevel="0" collapsed="false">
      <c r="A25" s="8" t="s">
        <v>274</v>
      </c>
      <c r="B25" s="8" t="s">
        <v>1219</v>
      </c>
      <c r="C25" s="8" t="n">
        <v>2</v>
      </c>
      <c r="D25" s="8" t="n">
        <v>17.46</v>
      </c>
      <c r="E25" s="8" t="n">
        <v>0</v>
      </c>
      <c r="F25" s="8" t="n">
        <v>0</v>
      </c>
    </row>
    <row r="26" customFormat="false" ht="15" hidden="false" customHeight="true" outlineLevel="0" collapsed="false">
      <c r="A26" s="8" t="s">
        <v>170</v>
      </c>
      <c r="B26" s="8" t="s">
        <v>1220</v>
      </c>
      <c r="C26" s="8" t="n">
        <v>6</v>
      </c>
      <c r="D26" s="8" t="n">
        <v>88.8</v>
      </c>
      <c r="E26" s="8" t="n">
        <v>0</v>
      </c>
      <c r="F26" s="8" t="n">
        <v>0</v>
      </c>
    </row>
    <row r="27" customFormat="false" ht="15" hidden="false" customHeight="true" outlineLevel="0" collapsed="false">
      <c r="A27" s="8" t="s">
        <v>264</v>
      </c>
      <c r="B27" s="8" t="s">
        <v>1221</v>
      </c>
      <c r="C27" s="8" t="n">
        <v>1</v>
      </c>
      <c r="D27" s="8" t="n">
        <v>5.81</v>
      </c>
      <c r="E27" s="8" t="n">
        <v>0</v>
      </c>
      <c r="F27" s="8" t="n">
        <v>0</v>
      </c>
    </row>
    <row r="28" customFormat="false" ht="15" hidden="false" customHeight="true" outlineLevel="0" collapsed="false">
      <c r="A28" s="8" t="s">
        <v>197</v>
      </c>
      <c r="B28" s="8" t="s">
        <v>1222</v>
      </c>
      <c r="C28" s="8" t="n">
        <v>0</v>
      </c>
      <c r="D28" s="8" t="n">
        <v>0</v>
      </c>
      <c r="E28" s="8" t="n">
        <v>1</v>
      </c>
      <c r="F28" s="8" t="n">
        <v>65</v>
      </c>
    </row>
    <row r="29" customFormat="false" ht="15" hidden="false" customHeight="true" outlineLevel="0" collapsed="false">
      <c r="A29" s="8" t="s">
        <v>253</v>
      </c>
      <c r="B29" s="8" t="s">
        <v>1222</v>
      </c>
      <c r="C29" s="8" t="n">
        <v>0</v>
      </c>
      <c r="D29" s="8" t="n">
        <v>0</v>
      </c>
      <c r="E29" s="8" t="n">
        <v>1</v>
      </c>
      <c r="F29" s="8" t="n">
        <v>65</v>
      </c>
    </row>
    <row r="30" customFormat="false" ht="15" hidden="false" customHeight="true" outlineLevel="0" collapsed="false">
      <c r="A30" s="8" t="s">
        <v>385</v>
      </c>
      <c r="B30" s="8" t="s">
        <v>1222</v>
      </c>
      <c r="C30" s="8" t="n">
        <v>0</v>
      </c>
      <c r="D30" s="8" t="n">
        <v>0</v>
      </c>
      <c r="E30" s="8" t="n">
        <v>1</v>
      </c>
      <c r="F30" s="8" t="n">
        <v>65</v>
      </c>
    </row>
    <row r="31" customFormat="false" ht="15" hidden="false" customHeight="true" outlineLevel="0" collapsed="false">
      <c r="A31" s="8" t="s">
        <v>207</v>
      </c>
      <c r="B31" s="8" t="s">
        <v>1222</v>
      </c>
      <c r="C31" s="8" t="n">
        <v>0</v>
      </c>
      <c r="D31" s="8" t="n">
        <v>0</v>
      </c>
      <c r="E31" s="8" t="n">
        <v>1</v>
      </c>
      <c r="F31" s="8" t="n">
        <v>65</v>
      </c>
    </row>
    <row r="32" customFormat="false" ht="15" hidden="false" customHeight="true" outlineLevel="0" collapsed="false">
      <c r="A32" s="8" t="s">
        <v>216</v>
      </c>
      <c r="B32" s="8" t="s">
        <v>1223</v>
      </c>
      <c r="C32" s="8" t="n">
        <v>0</v>
      </c>
      <c r="D32" s="8" t="n">
        <v>0</v>
      </c>
      <c r="E32" s="8" t="n">
        <v>3</v>
      </c>
      <c r="F32" s="8" t="n">
        <v>233.4</v>
      </c>
    </row>
    <row r="33" customFormat="false" ht="15" hidden="false" customHeight="true" outlineLevel="0" collapsed="false">
      <c r="A33" s="8" t="s">
        <v>236</v>
      </c>
      <c r="B33" s="8" t="s">
        <v>1223</v>
      </c>
      <c r="C33" s="8" t="n">
        <v>0</v>
      </c>
      <c r="D33" s="8" t="n">
        <v>0</v>
      </c>
      <c r="E33" s="8" t="n">
        <v>3</v>
      </c>
      <c r="F33" s="8" t="n">
        <v>233.4</v>
      </c>
    </row>
    <row r="34" customFormat="false" ht="15" hidden="false" customHeight="true" outlineLevel="0" collapsed="false">
      <c r="A34" s="8" t="s">
        <v>190</v>
      </c>
      <c r="B34" s="8" t="s">
        <v>1224</v>
      </c>
      <c r="C34" s="8" t="n">
        <v>0</v>
      </c>
      <c r="D34" s="8" t="n">
        <v>0</v>
      </c>
      <c r="E34" s="8" t="n">
        <v>1</v>
      </c>
      <c r="F34" s="8" t="n">
        <v>53.06</v>
      </c>
    </row>
    <row r="35" customFormat="false" ht="15" hidden="false" customHeight="true" outlineLevel="0" collapsed="false">
      <c r="A35" s="8" t="s">
        <v>161</v>
      </c>
      <c r="B35" s="8" t="s">
        <v>1208</v>
      </c>
      <c r="C35" s="8" t="n">
        <v>0</v>
      </c>
      <c r="D35" s="8" t="n">
        <v>0</v>
      </c>
      <c r="E35" s="8" t="n">
        <v>3</v>
      </c>
      <c r="F35" s="8" t="n">
        <v>136.5</v>
      </c>
    </row>
    <row r="36" customFormat="false" ht="15" hidden="false" customHeight="true" outlineLevel="0" collapsed="false">
      <c r="A36" s="8" t="s">
        <v>162</v>
      </c>
      <c r="B36" s="8" t="s">
        <v>1209</v>
      </c>
      <c r="C36" s="8" t="n">
        <v>0</v>
      </c>
      <c r="D36" s="8" t="n">
        <v>0</v>
      </c>
      <c r="E36" s="8" t="n">
        <v>3</v>
      </c>
      <c r="F36" s="8" t="n">
        <v>233.4</v>
      </c>
    </row>
    <row r="37" customFormat="false" ht="15" hidden="false" customHeight="true" outlineLevel="0" collapsed="false">
      <c r="A37" s="8" t="s">
        <v>263</v>
      </c>
      <c r="B37" s="8" t="s">
        <v>407</v>
      </c>
      <c r="C37" s="8" t="n">
        <v>0</v>
      </c>
      <c r="D37" s="8" t="n">
        <v>0</v>
      </c>
      <c r="E37" s="8" t="n">
        <v>1</v>
      </c>
      <c r="F37" s="8" t="n">
        <v>12.82</v>
      </c>
    </row>
    <row r="38" customFormat="false" ht="15" hidden="false" customHeight="true" outlineLevel="0" collapsed="false">
      <c r="A38" s="8" t="s">
        <v>188</v>
      </c>
      <c r="B38" s="8" t="s">
        <v>1225</v>
      </c>
      <c r="C38" s="8" t="n">
        <v>0</v>
      </c>
      <c r="D38" s="8" t="n">
        <v>0</v>
      </c>
      <c r="E38" s="8" t="n">
        <v>2</v>
      </c>
      <c r="F38" s="8" t="n">
        <v>57.86</v>
      </c>
    </row>
    <row r="39" customFormat="false" ht="15" hidden="false" customHeight="true" outlineLevel="0" collapsed="false">
      <c r="A39" s="8" t="s">
        <v>186</v>
      </c>
      <c r="B39" s="8" t="s">
        <v>1225</v>
      </c>
      <c r="C39" s="8" t="n">
        <v>0</v>
      </c>
      <c r="D39" s="8" t="n">
        <v>0</v>
      </c>
      <c r="E39" s="8" t="n">
        <v>2</v>
      </c>
      <c r="F39" s="8" t="n">
        <v>57.86</v>
      </c>
    </row>
    <row r="40" customFormat="false" ht="15" hidden="false" customHeight="true" outlineLevel="0" collapsed="false">
      <c r="A40" s="8" t="s">
        <v>239</v>
      </c>
      <c r="B40" s="8" t="s">
        <v>1225</v>
      </c>
      <c r="C40" s="8" t="n">
        <v>0</v>
      </c>
      <c r="D40" s="8" t="n">
        <v>0</v>
      </c>
      <c r="E40" s="8" t="n">
        <v>2</v>
      </c>
      <c r="F40" s="8" t="n">
        <v>57.86</v>
      </c>
    </row>
    <row r="41" customFormat="false" ht="15" hidden="false" customHeight="true" outlineLevel="0" collapsed="false">
      <c r="A41" s="8" t="s">
        <v>210</v>
      </c>
      <c r="B41" s="8" t="s">
        <v>1225</v>
      </c>
      <c r="C41" s="8" t="n">
        <v>0</v>
      </c>
      <c r="D41" s="8" t="n">
        <v>0</v>
      </c>
      <c r="E41" s="8" t="n">
        <v>2</v>
      </c>
      <c r="F41" s="8" t="n">
        <v>57.86</v>
      </c>
    </row>
    <row r="42" customFormat="false" ht="15" hidden="false" customHeight="true" outlineLevel="0" collapsed="false">
      <c r="A42" s="8" t="s">
        <v>238</v>
      </c>
      <c r="B42" s="8" t="s">
        <v>1226</v>
      </c>
      <c r="C42" s="8" t="n">
        <v>0</v>
      </c>
      <c r="D42" s="8" t="n">
        <v>0</v>
      </c>
      <c r="E42" s="8" t="n">
        <v>2</v>
      </c>
      <c r="F42" s="8" t="n">
        <v>84.34</v>
      </c>
    </row>
    <row r="43" customFormat="false" ht="15" hidden="false" customHeight="true" outlineLevel="0" collapsed="false">
      <c r="A43" s="8" t="s">
        <v>314</v>
      </c>
      <c r="B43" s="8" t="s">
        <v>1226</v>
      </c>
      <c r="C43" s="8" t="n">
        <v>0</v>
      </c>
      <c r="D43" s="8" t="n">
        <v>0</v>
      </c>
      <c r="E43" s="8" t="n">
        <v>2</v>
      </c>
      <c r="F43" s="8" t="n">
        <v>84.34</v>
      </c>
    </row>
    <row r="44" customFormat="false" ht="15" hidden="false" customHeight="true" outlineLevel="0" collapsed="false">
      <c r="A44" s="8" t="s">
        <v>214</v>
      </c>
      <c r="B44" s="8" t="s">
        <v>1226</v>
      </c>
      <c r="C44" s="8" t="n">
        <v>0</v>
      </c>
      <c r="D44" s="8" t="n">
        <v>0</v>
      </c>
      <c r="E44" s="8" t="n">
        <v>2</v>
      </c>
      <c r="F44" s="8" t="n">
        <v>84.34</v>
      </c>
    </row>
    <row r="45" customFormat="false" ht="15" hidden="false" customHeight="true" outlineLevel="0" collapsed="false">
      <c r="A45" s="8" t="s">
        <v>241</v>
      </c>
      <c r="B45" s="8" t="s">
        <v>1227</v>
      </c>
      <c r="C45" s="8" t="n">
        <v>0</v>
      </c>
      <c r="D45" s="8" t="n">
        <v>0</v>
      </c>
      <c r="E45" s="8" t="n">
        <v>2</v>
      </c>
      <c r="F45" s="8" t="n">
        <v>34</v>
      </c>
    </row>
    <row r="46" customFormat="false" ht="15" hidden="false" customHeight="true" outlineLevel="0" collapsed="false">
      <c r="A46" s="8" t="s">
        <v>219</v>
      </c>
      <c r="B46" s="8" t="s">
        <v>1227</v>
      </c>
      <c r="C46" s="8" t="n">
        <v>0</v>
      </c>
      <c r="D46" s="8" t="n">
        <v>0</v>
      </c>
      <c r="E46" s="8" t="n">
        <v>2</v>
      </c>
      <c r="F46" s="8" t="n">
        <v>34</v>
      </c>
    </row>
    <row r="47" customFormat="false" ht="15" hidden="false" customHeight="true" outlineLevel="0" collapsed="false">
      <c r="A47" s="8" t="s">
        <v>292</v>
      </c>
      <c r="B47" s="8" t="s">
        <v>1227</v>
      </c>
      <c r="C47" s="8" t="n">
        <v>0</v>
      </c>
      <c r="D47" s="8" t="n">
        <v>0</v>
      </c>
      <c r="E47" s="8" t="n">
        <v>2</v>
      </c>
      <c r="F47" s="8" t="n">
        <v>34</v>
      </c>
    </row>
    <row r="48" customFormat="false" ht="15" hidden="false" customHeight="true" outlineLevel="0" collapsed="false">
      <c r="A48" s="8" t="s">
        <v>223</v>
      </c>
      <c r="B48" s="8" t="s">
        <v>1227</v>
      </c>
      <c r="C48" s="8" t="n">
        <v>0</v>
      </c>
      <c r="D48" s="8" t="n">
        <v>0</v>
      </c>
      <c r="E48" s="8" t="n">
        <v>2</v>
      </c>
      <c r="F48" s="8" t="n">
        <v>34</v>
      </c>
    </row>
    <row r="49" customFormat="false" ht="15" hidden="false" customHeight="true" outlineLevel="0" collapsed="false">
      <c r="A49" s="8" t="s">
        <v>266</v>
      </c>
      <c r="B49" s="8" t="s">
        <v>1228</v>
      </c>
      <c r="C49" s="8" t="n">
        <v>0</v>
      </c>
      <c r="D49" s="8" t="n">
        <v>0</v>
      </c>
      <c r="E49" s="8" t="n">
        <v>1</v>
      </c>
      <c r="F49" s="8" t="n">
        <v>19.92</v>
      </c>
    </row>
    <row r="50" customFormat="false" ht="15" hidden="false" customHeight="true" outlineLevel="0" collapsed="false">
      <c r="A50" s="8" t="s">
        <v>202</v>
      </c>
      <c r="B50" s="8" t="s">
        <v>1212</v>
      </c>
      <c r="C50" s="8" t="n">
        <v>0</v>
      </c>
      <c r="D50" s="8" t="n">
        <v>0</v>
      </c>
      <c r="E50" s="8" t="n">
        <v>1</v>
      </c>
      <c r="F50" s="8" t="n">
        <v>9.5</v>
      </c>
    </row>
    <row r="51" customFormat="false" ht="15" hidden="false" customHeight="true" outlineLevel="0" collapsed="false">
      <c r="A51" s="8" t="s">
        <v>244</v>
      </c>
      <c r="B51" s="8" t="s">
        <v>1213</v>
      </c>
      <c r="C51" s="8" t="n">
        <v>0</v>
      </c>
      <c r="D51" s="8" t="n">
        <v>0</v>
      </c>
      <c r="E51" s="8" t="n">
        <v>1</v>
      </c>
      <c r="F51" s="8" t="n">
        <v>9.5</v>
      </c>
    </row>
    <row r="52" customFormat="false" ht="15" hidden="false" customHeight="true" outlineLevel="0" collapsed="false">
      <c r="A52" s="8" t="s">
        <v>308</v>
      </c>
      <c r="B52" s="8" t="s">
        <v>1229</v>
      </c>
      <c r="C52" s="8" t="n">
        <v>0</v>
      </c>
      <c r="D52" s="8" t="n">
        <v>0</v>
      </c>
      <c r="E52" s="8" t="n">
        <v>1</v>
      </c>
      <c r="F52" s="8" t="n">
        <v>8.08</v>
      </c>
    </row>
    <row r="53" customFormat="false" ht="15" hidden="false" customHeight="true" outlineLevel="0" collapsed="false">
      <c r="A53" s="8" t="s">
        <v>242</v>
      </c>
      <c r="B53" s="8" t="s">
        <v>1230</v>
      </c>
      <c r="C53" s="8" t="n">
        <v>0</v>
      </c>
      <c r="D53" s="8" t="n">
        <v>0</v>
      </c>
      <c r="E53" s="8" t="n">
        <v>1</v>
      </c>
      <c r="F53" s="8" t="n">
        <v>38.7</v>
      </c>
    </row>
    <row r="54" customFormat="false" ht="15" hidden="false" customHeight="true" outlineLevel="0" collapsed="false">
      <c r="A54" s="8" t="s">
        <v>261</v>
      </c>
      <c r="B54" s="8" t="s">
        <v>1215</v>
      </c>
      <c r="C54" s="8" t="n">
        <v>0</v>
      </c>
      <c r="D54" s="8" t="n">
        <v>0</v>
      </c>
      <c r="E54" s="8" t="n">
        <v>2</v>
      </c>
      <c r="F54" s="8" t="n">
        <v>42.42</v>
      </c>
    </row>
    <row r="55" customFormat="false" ht="15" hidden="false" customHeight="true" outlineLevel="0" collapsed="false">
      <c r="A55" s="8" t="s">
        <v>269</v>
      </c>
      <c r="B55" s="8" t="s">
        <v>1231</v>
      </c>
      <c r="C55" s="8" t="n">
        <v>0</v>
      </c>
      <c r="D55" s="8" t="n">
        <v>0</v>
      </c>
      <c r="E55" s="8" t="n">
        <v>3</v>
      </c>
      <c r="F55" s="8" t="n">
        <v>33.99</v>
      </c>
    </row>
    <row r="56" customFormat="false" ht="15" hidden="false" customHeight="true" outlineLevel="0" collapsed="false">
      <c r="A56" s="8" t="s">
        <v>213</v>
      </c>
      <c r="B56" s="8" t="s">
        <v>1232</v>
      </c>
      <c r="C56" s="8" t="n">
        <v>0</v>
      </c>
      <c r="D56" s="8" t="n">
        <v>0</v>
      </c>
      <c r="E56" s="8" t="n">
        <v>1</v>
      </c>
      <c r="F56" s="8" t="n">
        <v>27.55</v>
      </c>
    </row>
    <row r="57" customFormat="false" ht="15" hidden="false" customHeight="true" outlineLevel="0" collapsed="false">
      <c r="A57" s="8" t="s">
        <v>288</v>
      </c>
      <c r="B57" s="8" t="s">
        <v>939</v>
      </c>
      <c r="C57" s="8" t="n">
        <v>0</v>
      </c>
      <c r="D57" s="8" t="n">
        <v>0</v>
      </c>
      <c r="E57" s="8" t="n">
        <v>5</v>
      </c>
      <c r="F57" s="8" t="n">
        <v>101.2</v>
      </c>
    </row>
    <row r="58" customFormat="false" ht="15" hidden="false" customHeight="true" outlineLevel="0" collapsed="false">
      <c r="A58" s="8" t="s">
        <v>215</v>
      </c>
      <c r="B58" s="8" t="s">
        <v>1233</v>
      </c>
      <c r="C58" s="8" t="n">
        <v>0</v>
      </c>
      <c r="D58" s="8" t="n">
        <v>0</v>
      </c>
      <c r="E58" s="8" t="n">
        <v>1</v>
      </c>
      <c r="F58" s="8" t="n">
        <v>17.82</v>
      </c>
    </row>
    <row r="59" customFormat="false" ht="15" hidden="false" customHeight="true" outlineLevel="0" collapsed="false">
      <c r="A59" s="8" t="s">
        <v>268</v>
      </c>
      <c r="B59" s="8" t="s">
        <v>1234</v>
      </c>
      <c r="C59" s="8" t="n">
        <v>0</v>
      </c>
      <c r="D59" s="8" t="n">
        <v>0</v>
      </c>
      <c r="E59" s="8" t="n">
        <v>2</v>
      </c>
      <c r="F59" s="8" t="n">
        <v>71.34</v>
      </c>
    </row>
    <row r="60" customFormat="false" ht="15" hidden="false" customHeight="true" outlineLevel="0" collapsed="false">
      <c r="A60" s="8" t="s">
        <v>180</v>
      </c>
      <c r="B60" s="8" t="s">
        <v>1216</v>
      </c>
      <c r="C60" s="8" t="n">
        <v>0</v>
      </c>
      <c r="D60" s="8" t="n">
        <v>0</v>
      </c>
      <c r="E60" s="8" t="n">
        <v>2</v>
      </c>
      <c r="F60" s="8" t="n">
        <v>33</v>
      </c>
    </row>
    <row r="61" customFormat="false" ht="15" hidden="false" customHeight="true" outlineLevel="0" collapsed="false">
      <c r="A61" s="8" t="s">
        <v>189</v>
      </c>
      <c r="B61" s="8" t="s">
        <v>1216</v>
      </c>
      <c r="C61" s="8" t="n">
        <v>0</v>
      </c>
      <c r="D61" s="8" t="n">
        <v>0</v>
      </c>
      <c r="E61" s="8" t="n">
        <v>2</v>
      </c>
      <c r="F61" s="8" t="n">
        <v>33</v>
      </c>
    </row>
    <row r="62" customFormat="false" ht="15" hidden="false" customHeight="true" outlineLevel="0" collapsed="false">
      <c r="A62" s="8" t="s">
        <v>267</v>
      </c>
      <c r="B62" s="8" t="s">
        <v>1216</v>
      </c>
      <c r="C62" s="8" t="n">
        <v>0</v>
      </c>
      <c r="D62" s="8" t="n">
        <v>0</v>
      </c>
      <c r="E62" s="8" t="n">
        <v>2</v>
      </c>
      <c r="F62" s="8" t="n">
        <v>33</v>
      </c>
    </row>
    <row r="63" customFormat="false" ht="15" hidden="false" customHeight="true" outlineLevel="0" collapsed="false">
      <c r="A63" s="8" t="s">
        <v>199</v>
      </c>
      <c r="B63" s="8" t="s">
        <v>1216</v>
      </c>
      <c r="C63" s="8" t="n">
        <v>0</v>
      </c>
      <c r="D63" s="8" t="n">
        <v>0</v>
      </c>
      <c r="E63" s="8" t="n">
        <v>2</v>
      </c>
      <c r="F63" s="8" t="n">
        <v>33</v>
      </c>
    </row>
    <row r="64" customFormat="false" ht="15" hidden="false" customHeight="true" outlineLevel="0" collapsed="false">
      <c r="A64" s="8" t="s">
        <v>198</v>
      </c>
      <c r="B64" s="8" t="s">
        <v>1217</v>
      </c>
      <c r="C64" s="8" t="n">
        <v>0</v>
      </c>
      <c r="D64" s="8" t="n">
        <v>0</v>
      </c>
      <c r="E64" s="8" t="n">
        <v>2</v>
      </c>
      <c r="F64" s="8" t="n">
        <v>41</v>
      </c>
    </row>
    <row r="65" customFormat="false" ht="15" hidden="false" customHeight="true" outlineLevel="0" collapsed="false">
      <c r="A65" s="8" t="s">
        <v>193</v>
      </c>
      <c r="B65" s="8" t="s">
        <v>1217</v>
      </c>
      <c r="C65" s="8" t="n">
        <v>0</v>
      </c>
      <c r="D65" s="8" t="n">
        <v>0</v>
      </c>
      <c r="E65" s="8" t="n">
        <v>2</v>
      </c>
      <c r="F65" s="8" t="n">
        <v>41</v>
      </c>
    </row>
    <row r="66" customFormat="false" ht="15" hidden="false" customHeight="true" outlineLevel="0" collapsed="false">
      <c r="A66" s="8" t="s">
        <v>302</v>
      </c>
      <c r="B66" s="8" t="s">
        <v>1217</v>
      </c>
      <c r="C66" s="8" t="n">
        <v>0</v>
      </c>
      <c r="D66" s="8" t="n">
        <v>0</v>
      </c>
      <c r="E66" s="8" t="n">
        <v>2</v>
      </c>
      <c r="F66" s="8" t="n">
        <v>41</v>
      </c>
    </row>
    <row r="67" customFormat="false" ht="15" hidden="false" customHeight="true" outlineLevel="0" collapsed="false">
      <c r="A67" s="8" t="s">
        <v>205</v>
      </c>
      <c r="B67" s="8" t="s">
        <v>1217</v>
      </c>
      <c r="C67" s="8" t="n">
        <v>0</v>
      </c>
      <c r="D67" s="8" t="n">
        <v>0</v>
      </c>
      <c r="E67" s="8" t="n">
        <v>2</v>
      </c>
      <c r="F67" s="8" t="n">
        <v>41</v>
      </c>
    </row>
    <row r="68" customFormat="false" ht="15" hidden="false" customHeight="true" outlineLevel="0" collapsed="false">
      <c r="A68" s="8" t="s">
        <v>381</v>
      </c>
      <c r="B68" s="8" t="s">
        <v>1235</v>
      </c>
      <c r="C68" s="8" t="n">
        <v>0</v>
      </c>
      <c r="D68" s="8" t="n">
        <v>0</v>
      </c>
      <c r="E68" s="8" t="n">
        <v>1</v>
      </c>
      <c r="F68" s="8" t="n">
        <v>0</v>
      </c>
    </row>
    <row r="69" customFormat="false" ht="15" hidden="false" customHeight="true" outlineLevel="0" collapsed="false">
      <c r="A69" s="8" t="s">
        <v>178</v>
      </c>
      <c r="B69" s="8" t="s">
        <v>1236</v>
      </c>
      <c r="C69" s="8" t="n">
        <v>0</v>
      </c>
      <c r="D69" s="8" t="n">
        <v>0</v>
      </c>
      <c r="E69" s="8" t="n">
        <v>2</v>
      </c>
      <c r="F69" s="8" t="n">
        <v>70</v>
      </c>
    </row>
    <row r="70" customFormat="false" ht="15" hidden="false" customHeight="true" outlineLevel="0" collapsed="false">
      <c r="A70" s="8" t="s">
        <v>176</v>
      </c>
      <c r="B70" s="8" t="s">
        <v>1236</v>
      </c>
      <c r="C70" s="8" t="n">
        <v>0</v>
      </c>
      <c r="D70" s="8" t="n">
        <v>0</v>
      </c>
      <c r="E70" s="8" t="n">
        <v>2</v>
      </c>
      <c r="F70" s="8" t="n">
        <v>70</v>
      </c>
    </row>
    <row r="71" customFormat="false" ht="15" hidden="false" customHeight="true" outlineLevel="0" collapsed="false">
      <c r="A71" s="8" t="s">
        <v>235</v>
      </c>
      <c r="B71" s="8" t="s">
        <v>1236</v>
      </c>
      <c r="C71" s="8" t="n">
        <v>0</v>
      </c>
      <c r="D71" s="8" t="n">
        <v>0</v>
      </c>
      <c r="E71" s="8" t="n">
        <v>2</v>
      </c>
      <c r="F71" s="8" t="n">
        <v>70</v>
      </c>
    </row>
    <row r="72" customFormat="false" ht="15" hidden="false" customHeight="true" outlineLevel="0" collapsed="false">
      <c r="A72" s="8" t="s">
        <v>224</v>
      </c>
      <c r="B72" s="8" t="s">
        <v>1236</v>
      </c>
      <c r="C72" s="8" t="n">
        <v>0</v>
      </c>
      <c r="D72" s="8" t="n">
        <v>0</v>
      </c>
      <c r="E72" s="8" t="n">
        <v>2</v>
      </c>
      <c r="F72" s="8" t="n">
        <v>70</v>
      </c>
    </row>
    <row r="73" customFormat="false" ht="15" hidden="false" customHeight="true" outlineLevel="0" collapsed="false">
      <c r="A73" s="8" t="s">
        <v>234</v>
      </c>
      <c r="B73" s="8" t="s">
        <v>769</v>
      </c>
      <c r="C73" s="8" t="n">
        <v>0</v>
      </c>
      <c r="D73" s="8" t="n">
        <v>0</v>
      </c>
      <c r="E73" s="8" t="n">
        <v>2</v>
      </c>
      <c r="F73" s="8" t="n">
        <v>34</v>
      </c>
    </row>
    <row r="74" customFormat="false" ht="15" hidden="false" customHeight="true" outlineLevel="0" collapsed="false">
      <c r="A74" s="8" t="s">
        <v>247</v>
      </c>
      <c r="B74" s="8" t="s">
        <v>769</v>
      </c>
      <c r="C74" s="8" t="n">
        <v>0</v>
      </c>
      <c r="D74" s="8" t="n">
        <v>0</v>
      </c>
      <c r="E74" s="8" t="n">
        <v>2</v>
      </c>
      <c r="F74" s="8" t="n">
        <v>34</v>
      </c>
    </row>
    <row r="75" customFormat="false" ht="15" hidden="false" customHeight="true" outlineLevel="0" collapsed="false">
      <c r="A75" s="8" t="s">
        <v>252</v>
      </c>
      <c r="B75" s="8" t="s">
        <v>1177</v>
      </c>
      <c r="C75" s="8" t="n">
        <v>0</v>
      </c>
      <c r="D75" s="8" t="n">
        <v>0</v>
      </c>
      <c r="E75" s="8" t="n">
        <v>1</v>
      </c>
      <c r="F75" s="8" t="n">
        <v>16.6</v>
      </c>
    </row>
    <row r="76" customFormat="false" ht="15" hidden="false" customHeight="true" outlineLevel="0" collapsed="false">
      <c r="A76" s="8" t="s">
        <v>161</v>
      </c>
      <c r="B76" s="8" t="s">
        <v>1208</v>
      </c>
      <c r="C76" s="8" t="n">
        <v>3</v>
      </c>
      <c r="D76" s="8" t="n">
        <v>136.5</v>
      </c>
      <c r="E76" s="8" t="n">
        <v>4</v>
      </c>
      <c r="F76" s="8" t="n">
        <v>182</v>
      </c>
    </row>
    <row r="77" customFormat="false" ht="15" hidden="false" customHeight="true" outlineLevel="0" collapsed="false">
      <c r="A77" s="8" t="s">
        <v>164</v>
      </c>
      <c r="B77" s="8" t="s">
        <v>1211</v>
      </c>
      <c r="C77" s="8" t="n">
        <v>2</v>
      </c>
      <c r="D77" s="8" t="n">
        <v>126.54</v>
      </c>
      <c r="E77" s="8" t="n">
        <v>0</v>
      </c>
      <c r="F77" s="8" t="n">
        <v>0</v>
      </c>
    </row>
    <row r="78" customFormat="false" ht="15" hidden="false" customHeight="true" outlineLevel="0" collapsed="false">
      <c r="A78" s="8" t="s">
        <v>241</v>
      </c>
      <c r="B78" s="8" t="s">
        <v>1227</v>
      </c>
      <c r="C78" s="8" t="n">
        <v>2</v>
      </c>
      <c r="D78" s="8" t="n">
        <v>34</v>
      </c>
      <c r="E78" s="8" t="n">
        <v>1</v>
      </c>
      <c r="F78" s="8" t="n">
        <v>17</v>
      </c>
    </row>
    <row r="79" customFormat="false" ht="15" hidden="false" customHeight="true" outlineLevel="0" collapsed="false">
      <c r="A79" s="8" t="s">
        <v>219</v>
      </c>
      <c r="B79" s="8" t="s">
        <v>1227</v>
      </c>
      <c r="C79" s="8" t="n">
        <v>2</v>
      </c>
      <c r="D79" s="8" t="n">
        <v>34</v>
      </c>
      <c r="E79" s="8" t="n">
        <v>0</v>
      </c>
      <c r="F79" s="8" t="n">
        <v>0</v>
      </c>
    </row>
    <row r="80" customFormat="false" ht="15" hidden="false" customHeight="true" outlineLevel="0" collapsed="false">
      <c r="A80" s="8" t="s">
        <v>223</v>
      </c>
      <c r="B80" s="8" t="s">
        <v>1227</v>
      </c>
      <c r="C80" s="8" t="n">
        <v>2</v>
      </c>
      <c r="D80" s="8" t="n">
        <v>34</v>
      </c>
      <c r="E80" s="8" t="n">
        <v>0</v>
      </c>
      <c r="F80" s="8" t="n">
        <v>0</v>
      </c>
    </row>
    <row r="81" customFormat="false" ht="15" hidden="false" customHeight="true" outlineLevel="0" collapsed="false">
      <c r="A81" s="8" t="s">
        <v>217</v>
      </c>
      <c r="B81" s="8" t="s">
        <v>1237</v>
      </c>
      <c r="C81" s="8" t="n">
        <v>3</v>
      </c>
      <c r="D81" s="8" t="n">
        <v>55.2</v>
      </c>
      <c r="E81" s="8" t="n">
        <v>0</v>
      </c>
      <c r="F81" s="8" t="n">
        <v>0</v>
      </c>
    </row>
    <row r="82" customFormat="false" ht="15" hidden="false" customHeight="true" outlineLevel="0" collapsed="false">
      <c r="A82" s="8" t="s">
        <v>268</v>
      </c>
      <c r="B82" s="8" t="s">
        <v>1234</v>
      </c>
      <c r="C82" s="8" t="n">
        <v>2</v>
      </c>
      <c r="D82" s="8" t="n">
        <v>71.34</v>
      </c>
      <c r="E82" s="8" t="n">
        <v>0</v>
      </c>
      <c r="F82" s="8" t="n">
        <v>0</v>
      </c>
    </row>
    <row r="83" customFormat="false" ht="15" hidden="false" customHeight="true" outlineLevel="0" collapsed="false">
      <c r="A83" s="8" t="s">
        <v>178</v>
      </c>
      <c r="B83" s="8" t="s">
        <v>1236</v>
      </c>
      <c r="C83" s="8" t="n">
        <v>2</v>
      </c>
      <c r="D83" s="8" t="n">
        <v>70</v>
      </c>
      <c r="E83" s="8" t="n">
        <v>1</v>
      </c>
      <c r="F83" s="8" t="n">
        <v>35</v>
      </c>
    </row>
    <row r="84" customFormat="false" ht="15" hidden="false" customHeight="true" outlineLevel="0" collapsed="false">
      <c r="A84" s="8" t="s">
        <v>176</v>
      </c>
      <c r="B84" s="8" t="s">
        <v>1236</v>
      </c>
      <c r="C84" s="8" t="n">
        <v>2</v>
      </c>
      <c r="D84" s="8" t="n">
        <v>70</v>
      </c>
      <c r="E84" s="8" t="n">
        <v>0</v>
      </c>
      <c r="F84" s="8" t="n">
        <v>0</v>
      </c>
    </row>
    <row r="85" customFormat="false" ht="15" hidden="false" customHeight="true" outlineLevel="0" collapsed="false">
      <c r="A85" s="8" t="s">
        <v>167</v>
      </c>
      <c r="B85" s="8" t="s">
        <v>1238</v>
      </c>
      <c r="C85" s="8" t="n">
        <v>2</v>
      </c>
      <c r="D85" s="8" t="n">
        <v>26.8</v>
      </c>
      <c r="E85" s="8" t="n">
        <v>0</v>
      </c>
      <c r="F85" s="8" t="n">
        <v>0</v>
      </c>
    </row>
    <row r="86" customFormat="false" ht="15" hidden="false" customHeight="true" outlineLevel="0" collapsed="false">
      <c r="A86" s="8" t="s">
        <v>163</v>
      </c>
      <c r="B86" s="8" t="s">
        <v>897</v>
      </c>
      <c r="C86" s="8" t="n">
        <v>3</v>
      </c>
      <c r="D86" s="8" t="n">
        <v>195</v>
      </c>
      <c r="E86" s="8" t="n">
        <v>2</v>
      </c>
      <c r="F86" s="8" t="n">
        <v>130</v>
      </c>
    </row>
    <row r="87" customFormat="false" ht="15" hidden="false" customHeight="true" outlineLevel="0" collapsed="false">
      <c r="A87" s="8" t="s">
        <v>181</v>
      </c>
      <c r="B87" s="8" t="s">
        <v>897</v>
      </c>
      <c r="C87" s="8" t="n">
        <v>0</v>
      </c>
      <c r="D87" s="8" t="n">
        <v>0</v>
      </c>
      <c r="E87" s="8" t="n">
        <v>2</v>
      </c>
      <c r="F87" s="8" t="n">
        <v>130</v>
      </c>
    </row>
    <row r="88" customFormat="false" ht="15" hidden="false" customHeight="true" outlineLevel="0" collapsed="false">
      <c r="A88" s="8" t="s">
        <v>165</v>
      </c>
      <c r="B88" s="8" t="s">
        <v>897</v>
      </c>
      <c r="C88" s="8" t="n">
        <v>5</v>
      </c>
      <c r="D88" s="8" t="n">
        <v>325</v>
      </c>
      <c r="E88" s="8" t="n">
        <v>0</v>
      </c>
      <c r="F88" s="8" t="n">
        <v>0</v>
      </c>
    </row>
    <row r="89" customFormat="false" ht="15" hidden="false" customHeight="true" outlineLevel="0" collapsed="false">
      <c r="A89" s="8" t="s">
        <v>161</v>
      </c>
      <c r="B89" s="8" t="s">
        <v>1208</v>
      </c>
      <c r="C89" s="8" t="n">
        <v>24</v>
      </c>
      <c r="D89" s="8" t="n">
        <v>1092</v>
      </c>
      <c r="E89" s="8" t="n">
        <v>4</v>
      </c>
      <c r="F89" s="8" t="n">
        <v>182</v>
      </c>
    </row>
    <row r="90" customFormat="false" ht="15" hidden="false" customHeight="true" outlineLevel="0" collapsed="false">
      <c r="A90" s="8" t="s">
        <v>162</v>
      </c>
      <c r="B90" s="8" t="s">
        <v>1209</v>
      </c>
      <c r="C90" s="8" t="n">
        <v>6</v>
      </c>
      <c r="D90" s="8" t="n">
        <v>466.8</v>
      </c>
      <c r="E90" s="8" t="n">
        <v>0</v>
      </c>
      <c r="F90" s="8" t="n">
        <v>0</v>
      </c>
    </row>
    <row r="91" customFormat="false" ht="15" hidden="false" customHeight="true" outlineLevel="0" collapsed="false">
      <c r="A91" s="8" t="s">
        <v>171</v>
      </c>
      <c r="B91" s="8" t="s">
        <v>1210</v>
      </c>
      <c r="C91" s="8" t="n">
        <v>5</v>
      </c>
      <c r="D91" s="8" t="n">
        <v>236.15</v>
      </c>
      <c r="E91" s="8" t="n">
        <v>0</v>
      </c>
      <c r="F91" s="8" t="n">
        <v>0</v>
      </c>
    </row>
    <row r="92" customFormat="false" ht="15" hidden="false" customHeight="true" outlineLevel="0" collapsed="false">
      <c r="A92" s="8" t="s">
        <v>174</v>
      </c>
      <c r="B92" s="8" t="s">
        <v>1210</v>
      </c>
      <c r="C92" s="8" t="n">
        <v>3</v>
      </c>
      <c r="D92" s="8" t="n">
        <v>141.69</v>
      </c>
      <c r="E92" s="8" t="n">
        <v>0</v>
      </c>
      <c r="F92" s="8" t="n">
        <v>0</v>
      </c>
    </row>
    <row r="93" customFormat="false" ht="15" hidden="false" customHeight="true" outlineLevel="0" collapsed="false">
      <c r="A93" s="8" t="s">
        <v>166</v>
      </c>
      <c r="B93" s="8" t="s">
        <v>1211</v>
      </c>
      <c r="C93" s="8" t="n">
        <v>2</v>
      </c>
      <c r="D93" s="8" t="n">
        <v>126.54</v>
      </c>
      <c r="E93" s="8" t="n">
        <v>0</v>
      </c>
      <c r="F93" s="8" t="n">
        <v>0</v>
      </c>
    </row>
    <row r="94" customFormat="false" ht="15" hidden="false" customHeight="true" outlineLevel="0" collapsed="false">
      <c r="A94" s="8" t="s">
        <v>164</v>
      </c>
      <c r="B94" s="8" t="s">
        <v>1211</v>
      </c>
      <c r="C94" s="8" t="n">
        <v>2</v>
      </c>
      <c r="D94" s="8" t="n">
        <v>126.54</v>
      </c>
      <c r="E94" s="8" t="n">
        <v>0</v>
      </c>
      <c r="F94" s="8" t="n">
        <v>0</v>
      </c>
    </row>
    <row r="95" customFormat="false" ht="15" hidden="false" customHeight="true" outlineLevel="0" collapsed="false">
      <c r="A95" s="8" t="s">
        <v>194</v>
      </c>
      <c r="B95" s="8" t="s">
        <v>1239</v>
      </c>
      <c r="C95" s="8" t="n">
        <v>20</v>
      </c>
      <c r="D95" s="8" t="n">
        <v>196.4</v>
      </c>
      <c r="E95" s="8" t="n">
        <v>0</v>
      </c>
      <c r="F95" s="8" t="n">
        <v>0</v>
      </c>
    </row>
    <row r="96" customFormat="false" ht="15" hidden="false" customHeight="true" outlineLevel="0" collapsed="false">
      <c r="A96" s="8" t="s">
        <v>180</v>
      </c>
      <c r="B96" s="8" t="s">
        <v>1216</v>
      </c>
      <c r="C96" s="8" t="n">
        <v>10</v>
      </c>
      <c r="D96" s="8" t="n">
        <v>165</v>
      </c>
      <c r="E96" s="8" t="n">
        <v>0</v>
      </c>
      <c r="F96" s="8" t="n">
        <v>0</v>
      </c>
    </row>
    <row r="97" customFormat="false" ht="15" hidden="false" customHeight="true" outlineLevel="0" collapsed="false">
      <c r="A97" s="8" t="s">
        <v>182</v>
      </c>
      <c r="B97" s="8" t="s">
        <v>799</v>
      </c>
      <c r="C97" s="8" t="n">
        <v>5</v>
      </c>
      <c r="D97" s="8" t="n">
        <v>100</v>
      </c>
      <c r="E97" s="8" t="n">
        <v>0</v>
      </c>
      <c r="F97" s="8" t="n">
        <v>0</v>
      </c>
    </row>
    <row r="98" customFormat="false" ht="15" hidden="false" customHeight="true" outlineLevel="0" collapsed="false">
      <c r="A98" s="8" t="s">
        <v>167</v>
      </c>
      <c r="B98" s="8" t="s">
        <v>1238</v>
      </c>
      <c r="C98" s="8" t="n">
        <v>10</v>
      </c>
      <c r="D98" s="8" t="n">
        <v>134</v>
      </c>
      <c r="E98" s="8" t="n">
        <v>0</v>
      </c>
      <c r="F98" s="8" t="n">
        <v>0</v>
      </c>
    </row>
    <row r="99" customFormat="false" ht="15" hidden="false" customHeight="true" outlineLevel="0" collapsed="false">
      <c r="A99" s="8" t="s">
        <v>197</v>
      </c>
      <c r="B99" s="8" t="s">
        <v>1222</v>
      </c>
      <c r="C99" s="8" t="n">
        <v>0</v>
      </c>
      <c r="D99" s="8" t="n">
        <v>0</v>
      </c>
      <c r="E99" s="8" t="n">
        <v>1</v>
      </c>
      <c r="F99" s="8" t="n">
        <v>65</v>
      </c>
    </row>
    <row r="100" customFormat="false" ht="15" hidden="false" customHeight="true" outlineLevel="0" collapsed="false">
      <c r="A100" s="8" t="s">
        <v>216</v>
      </c>
      <c r="B100" s="8" t="s">
        <v>1223</v>
      </c>
      <c r="C100" s="8" t="n">
        <v>0</v>
      </c>
      <c r="D100" s="8" t="n">
        <v>0</v>
      </c>
      <c r="E100" s="8" t="n">
        <v>1</v>
      </c>
      <c r="F100" s="8" t="n">
        <v>77.8</v>
      </c>
    </row>
    <row r="101" customFormat="false" ht="15" hidden="false" customHeight="true" outlineLevel="0" collapsed="false">
      <c r="A101" s="8" t="s">
        <v>190</v>
      </c>
      <c r="B101" s="8" t="s">
        <v>1224</v>
      </c>
      <c r="C101" s="8" t="n">
        <v>1</v>
      </c>
      <c r="D101" s="8" t="n">
        <v>24.43</v>
      </c>
      <c r="E101" s="8" t="n">
        <v>0</v>
      </c>
      <c r="F101" s="8" t="n">
        <v>0</v>
      </c>
    </row>
    <row r="102" customFormat="false" ht="15" hidden="false" customHeight="true" outlineLevel="0" collapsed="false">
      <c r="A102" s="8" t="s">
        <v>183</v>
      </c>
      <c r="B102" s="8" t="s">
        <v>1224</v>
      </c>
      <c r="C102" s="8" t="n">
        <v>1</v>
      </c>
      <c r="D102" s="8" t="n">
        <v>24.43</v>
      </c>
      <c r="E102" s="8" t="n">
        <v>1</v>
      </c>
      <c r="F102" s="8" t="n">
        <v>24.43</v>
      </c>
    </row>
    <row r="103" customFormat="false" ht="15" hidden="false" customHeight="true" outlineLevel="0" collapsed="false">
      <c r="A103" s="8" t="s">
        <v>218</v>
      </c>
      <c r="B103" s="8" t="s">
        <v>1224</v>
      </c>
      <c r="C103" s="8" t="n">
        <v>0</v>
      </c>
      <c r="D103" s="8" t="n">
        <v>0</v>
      </c>
      <c r="E103" s="8" t="n">
        <v>1</v>
      </c>
      <c r="F103" s="8" t="n">
        <v>24.43</v>
      </c>
    </row>
    <row r="104" customFormat="false" ht="15" hidden="false" customHeight="true" outlineLevel="0" collapsed="false">
      <c r="A104" s="8" t="s">
        <v>161</v>
      </c>
      <c r="B104" s="8" t="s">
        <v>1208</v>
      </c>
      <c r="C104" s="8" t="n">
        <v>4</v>
      </c>
      <c r="D104" s="8" t="n">
        <v>182</v>
      </c>
      <c r="E104" s="8" t="n">
        <v>0</v>
      </c>
      <c r="F104" s="8" t="n">
        <v>0</v>
      </c>
    </row>
    <row r="105" customFormat="false" ht="15" hidden="false" customHeight="true" outlineLevel="0" collapsed="false">
      <c r="A105" s="8" t="s">
        <v>162</v>
      </c>
      <c r="B105" s="8" t="s">
        <v>1209</v>
      </c>
      <c r="C105" s="8" t="n">
        <v>1</v>
      </c>
      <c r="D105" s="8" t="n">
        <v>77.8</v>
      </c>
      <c r="E105" s="8" t="n">
        <v>0</v>
      </c>
      <c r="F105" s="8" t="n">
        <v>0</v>
      </c>
    </row>
    <row r="106" customFormat="false" ht="15" hidden="false" customHeight="true" outlineLevel="0" collapsed="false">
      <c r="A106" s="8" t="s">
        <v>188</v>
      </c>
      <c r="B106" s="8" t="s">
        <v>1225</v>
      </c>
      <c r="C106" s="8" t="n">
        <v>0</v>
      </c>
      <c r="D106" s="8" t="n">
        <v>0</v>
      </c>
      <c r="E106" s="8" t="n">
        <v>1</v>
      </c>
      <c r="F106" s="8" t="n">
        <v>28.93</v>
      </c>
    </row>
    <row r="107" customFormat="false" ht="15" hidden="false" customHeight="true" outlineLevel="0" collapsed="false">
      <c r="A107" s="8" t="s">
        <v>186</v>
      </c>
      <c r="B107" s="8" t="s">
        <v>1225</v>
      </c>
      <c r="C107" s="8" t="n">
        <v>0</v>
      </c>
      <c r="D107" s="8" t="n">
        <v>0</v>
      </c>
      <c r="E107" s="8" t="n">
        <v>3</v>
      </c>
      <c r="F107" s="8" t="n">
        <v>86.79</v>
      </c>
    </row>
    <row r="108" customFormat="false" ht="15" hidden="false" customHeight="true" outlineLevel="0" collapsed="false">
      <c r="A108" s="8" t="s">
        <v>239</v>
      </c>
      <c r="B108" s="8" t="s">
        <v>1225</v>
      </c>
      <c r="C108" s="8" t="n">
        <v>0</v>
      </c>
      <c r="D108" s="8" t="n">
        <v>0</v>
      </c>
      <c r="E108" s="8" t="n">
        <v>2</v>
      </c>
      <c r="F108" s="8" t="n">
        <v>57.86</v>
      </c>
    </row>
    <row r="109" customFormat="false" ht="15" hidden="false" customHeight="true" outlineLevel="0" collapsed="false">
      <c r="A109" s="8" t="s">
        <v>210</v>
      </c>
      <c r="B109" s="8" t="s">
        <v>1225</v>
      </c>
      <c r="C109" s="8" t="n">
        <v>0</v>
      </c>
      <c r="D109" s="8" t="n">
        <v>0</v>
      </c>
      <c r="E109" s="8" t="n">
        <v>1</v>
      </c>
      <c r="F109" s="8" t="n">
        <v>28.93</v>
      </c>
    </row>
    <row r="110" customFormat="false" ht="15" hidden="false" customHeight="true" outlineLevel="0" collapsed="false">
      <c r="A110" s="8" t="s">
        <v>241</v>
      </c>
      <c r="B110" s="8" t="s">
        <v>1227</v>
      </c>
      <c r="C110" s="8" t="n">
        <v>0</v>
      </c>
      <c r="D110" s="8" t="n">
        <v>0</v>
      </c>
      <c r="E110" s="8" t="n">
        <v>3</v>
      </c>
      <c r="F110" s="8" t="n">
        <v>51</v>
      </c>
    </row>
    <row r="111" customFormat="false" ht="15" hidden="false" customHeight="true" outlineLevel="0" collapsed="false">
      <c r="A111" s="8" t="s">
        <v>292</v>
      </c>
      <c r="B111" s="8" t="s">
        <v>1227</v>
      </c>
      <c r="C111" s="8" t="n">
        <v>0</v>
      </c>
      <c r="D111" s="8" t="n">
        <v>0</v>
      </c>
      <c r="E111" s="8" t="n">
        <v>2</v>
      </c>
      <c r="F111" s="8" t="n">
        <v>34</v>
      </c>
    </row>
    <row r="112" customFormat="false" ht="15" hidden="false" customHeight="true" outlineLevel="0" collapsed="false">
      <c r="A112" s="8" t="s">
        <v>223</v>
      </c>
      <c r="B112" s="8" t="s">
        <v>1227</v>
      </c>
      <c r="C112" s="8" t="n">
        <v>0</v>
      </c>
      <c r="D112" s="8" t="n">
        <v>0</v>
      </c>
      <c r="E112" s="8" t="n">
        <v>1</v>
      </c>
      <c r="F112" s="8" t="n">
        <v>17</v>
      </c>
    </row>
    <row r="113" customFormat="false" ht="15" hidden="false" customHeight="true" outlineLevel="0" collapsed="false">
      <c r="A113" s="8" t="s">
        <v>168</v>
      </c>
      <c r="B113" s="8" t="s">
        <v>1240</v>
      </c>
      <c r="C113" s="8" t="n">
        <v>2</v>
      </c>
      <c r="D113" s="8" t="n">
        <v>83.62</v>
      </c>
      <c r="E113" s="8" t="n">
        <v>0</v>
      </c>
      <c r="F113" s="8" t="n">
        <v>0</v>
      </c>
    </row>
    <row r="114" customFormat="false" ht="15" hidden="false" customHeight="true" outlineLevel="0" collapsed="false">
      <c r="A114" s="8" t="s">
        <v>169</v>
      </c>
      <c r="B114" s="8" t="s">
        <v>1240</v>
      </c>
      <c r="C114" s="8" t="n">
        <v>6</v>
      </c>
      <c r="D114" s="8" t="n">
        <v>250.86</v>
      </c>
      <c r="E114" s="8" t="n">
        <v>0</v>
      </c>
      <c r="F114" s="8" t="n">
        <v>0</v>
      </c>
    </row>
    <row r="115" customFormat="false" ht="15" hidden="false" customHeight="true" outlineLevel="0" collapsed="false">
      <c r="A115" s="8" t="s">
        <v>355</v>
      </c>
      <c r="B115" s="8" t="s">
        <v>1241</v>
      </c>
      <c r="C115" s="8" t="n">
        <v>0</v>
      </c>
      <c r="D115" s="8" t="n">
        <v>0</v>
      </c>
      <c r="E115" s="8" t="n">
        <v>1</v>
      </c>
      <c r="F115" s="8" t="n">
        <v>77.24</v>
      </c>
    </row>
    <row r="116" customFormat="false" ht="15" hidden="false" customHeight="true" outlineLevel="0" collapsed="false">
      <c r="A116" s="8" t="s">
        <v>180</v>
      </c>
      <c r="B116" s="8" t="s">
        <v>1216</v>
      </c>
      <c r="C116" s="8" t="n">
        <v>1</v>
      </c>
      <c r="D116" s="8" t="n">
        <v>16.5</v>
      </c>
      <c r="E116" s="8" t="n">
        <v>1</v>
      </c>
      <c r="F116" s="8" t="n">
        <v>16.5</v>
      </c>
    </row>
    <row r="117" customFormat="false" ht="15" hidden="false" customHeight="true" outlineLevel="0" collapsed="false">
      <c r="A117" s="8" t="s">
        <v>189</v>
      </c>
      <c r="B117" s="8" t="s">
        <v>1216</v>
      </c>
      <c r="C117" s="8" t="n">
        <v>1</v>
      </c>
      <c r="D117" s="8" t="n">
        <v>16.5</v>
      </c>
      <c r="E117" s="8" t="n">
        <v>1</v>
      </c>
      <c r="F117" s="8" t="n">
        <v>16.5</v>
      </c>
    </row>
    <row r="118" customFormat="false" ht="15" hidden="false" customHeight="true" outlineLevel="0" collapsed="false">
      <c r="A118" s="8" t="s">
        <v>267</v>
      </c>
      <c r="B118" s="8" t="s">
        <v>1216</v>
      </c>
      <c r="C118" s="8" t="n">
        <v>0</v>
      </c>
      <c r="D118" s="8" t="n">
        <v>0</v>
      </c>
      <c r="E118" s="8" t="n">
        <v>1</v>
      </c>
      <c r="F118" s="8" t="n">
        <v>16.5</v>
      </c>
    </row>
    <row r="119" customFormat="false" ht="15" hidden="false" customHeight="true" outlineLevel="0" collapsed="false">
      <c r="A119" s="8" t="s">
        <v>199</v>
      </c>
      <c r="B119" s="8" t="s">
        <v>1216</v>
      </c>
      <c r="C119" s="8" t="n">
        <v>1</v>
      </c>
      <c r="D119" s="8" t="n">
        <v>16.5</v>
      </c>
      <c r="E119" s="8" t="n">
        <v>0</v>
      </c>
      <c r="F119" s="8" t="n">
        <v>0</v>
      </c>
    </row>
    <row r="120" customFormat="false" ht="15" hidden="false" customHeight="true" outlineLevel="0" collapsed="false">
      <c r="A120" s="8" t="s">
        <v>176</v>
      </c>
      <c r="B120" s="8" t="s">
        <v>1236</v>
      </c>
      <c r="C120" s="8" t="n">
        <v>1</v>
      </c>
      <c r="D120" s="8" t="n">
        <v>35</v>
      </c>
      <c r="E120" s="8" t="n">
        <v>0</v>
      </c>
      <c r="F120" s="8" t="n">
        <v>0</v>
      </c>
    </row>
    <row r="121" customFormat="false" ht="15" hidden="false" customHeight="true" outlineLevel="0" collapsed="false">
      <c r="A121" s="8" t="s">
        <v>235</v>
      </c>
      <c r="B121" s="8" t="s">
        <v>1236</v>
      </c>
      <c r="C121" s="8" t="n">
        <v>1</v>
      </c>
      <c r="D121" s="8" t="n">
        <v>35</v>
      </c>
      <c r="E121" s="8" t="n">
        <v>0</v>
      </c>
      <c r="F121" s="8" t="n">
        <v>0</v>
      </c>
    </row>
    <row r="122" customFormat="false" ht="15" hidden="false" customHeight="true" outlineLevel="0" collapsed="false">
      <c r="A122" s="8" t="s">
        <v>234</v>
      </c>
      <c r="B122" s="8" t="s">
        <v>769</v>
      </c>
      <c r="C122" s="8" t="n">
        <v>0</v>
      </c>
      <c r="D122" s="8" t="n">
        <v>0</v>
      </c>
      <c r="E122" s="8" t="n">
        <v>1</v>
      </c>
      <c r="F122" s="8" t="n">
        <v>17</v>
      </c>
    </row>
    <row r="123" customFormat="false" ht="15" hidden="false" customHeight="true" outlineLevel="0" collapsed="false">
      <c r="A123" s="8" t="s">
        <v>247</v>
      </c>
      <c r="B123" s="8" t="s">
        <v>769</v>
      </c>
      <c r="C123" s="8" t="n">
        <v>0</v>
      </c>
      <c r="D123" s="8" t="n">
        <v>0</v>
      </c>
      <c r="E123" s="8" t="n">
        <v>1</v>
      </c>
      <c r="F123" s="8" t="n">
        <v>17</v>
      </c>
    </row>
    <row r="124" customFormat="false" ht="15" hidden="false" customHeight="true" outlineLevel="0" collapsed="false">
      <c r="A124" s="8" t="s">
        <v>252</v>
      </c>
      <c r="B124" s="8" t="s">
        <v>1177</v>
      </c>
      <c r="C124" s="8" t="n">
        <v>1</v>
      </c>
      <c r="D124" s="8" t="n">
        <v>16.6</v>
      </c>
      <c r="E124" s="8" t="n">
        <v>0</v>
      </c>
      <c r="F124" s="8" t="n">
        <v>0</v>
      </c>
    </row>
    <row r="125" customFormat="false" ht="15" hidden="false" customHeight="true" outlineLevel="0" collapsed="false">
      <c r="A125" s="8" t="s">
        <v>203</v>
      </c>
      <c r="B125" s="8" t="s">
        <v>1177</v>
      </c>
      <c r="C125" s="8" t="n">
        <v>4</v>
      </c>
      <c r="D125" s="8" t="n">
        <v>74</v>
      </c>
      <c r="E125" s="8" t="n">
        <v>0</v>
      </c>
      <c r="F125" s="8" t="n">
        <v>0</v>
      </c>
    </row>
    <row r="126" customFormat="false" ht="15" hidden="false" customHeight="true" outlineLevel="0" collapsed="false">
      <c r="A126" s="8" t="s">
        <v>248</v>
      </c>
      <c r="B126" s="8" t="s">
        <v>1242</v>
      </c>
      <c r="C126" s="8" t="n">
        <v>2</v>
      </c>
      <c r="D126" s="8" t="n">
        <v>42</v>
      </c>
      <c r="E126" s="8" t="n">
        <v>0</v>
      </c>
      <c r="F126" s="8" t="n">
        <v>0</v>
      </c>
    </row>
    <row r="127" customFormat="false" ht="15" hidden="false" customHeight="true" outlineLevel="0" collapsed="false">
      <c r="A127" s="8" t="s">
        <v>196</v>
      </c>
      <c r="B127" s="8" t="s">
        <v>1243</v>
      </c>
      <c r="C127" s="8" t="n">
        <v>2</v>
      </c>
      <c r="D127" s="8" t="n">
        <v>107</v>
      </c>
      <c r="E127" s="8" t="n">
        <v>0</v>
      </c>
      <c r="F127" s="8" t="n">
        <v>0</v>
      </c>
    </row>
    <row r="128" customFormat="false" ht="15" hidden="false" customHeight="true" outlineLevel="0" collapsed="false">
      <c r="A128" s="8" t="s">
        <v>253</v>
      </c>
      <c r="B128" s="8" t="s">
        <v>1222</v>
      </c>
      <c r="C128" s="8" t="n">
        <v>3</v>
      </c>
      <c r="D128" s="8" t="n">
        <v>195</v>
      </c>
      <c r="E128" s="8" t="n">
        <v>0</v>
      </c>
      <c r="F128" s="8" t="n">
        <v>0</v>
      </c>
    </row>
    <row r="129" customFormat="false" ht="15" hidden="false" customHeight="true" outlineLevel="0" collapsed="false">
      <c r="A129" s="8" t="s">
        <v>175</v>
      </c>
      <c r="B129" s="8" t="s">
        <v>1244</v>
      </c>
      <c r="C129" s="8" t="n">
        <v>2</v>
      </c>
      <c r="D129" s="8" t="n">
        <v>351</v>
      </c>
      <c r="E129" s="8" t="n">
        <v>0</v>
      </c>
      <c r="F129" s="8" t="n">
        <v>0</v>
      </c>
    </row>
    <row r="130" customFormat="false" ht="15" hidden="false" customHeight="true" outlineLevel="0" collapsed="false">
      <c r="A130" s="8" t="s">
        <v>173</v>
      </c>
      <c r="B130" s="8" t="s">
        <v>1244</v>
      </c>
      <c r="C130" s="8" t="n">
        <v>3</v>
      </c>
      <c r="D130" s="8" t="n">
        <v>526.5</v>
      </c>
      <c r="E130" s="8" t="n">
        <v>0</v>
      </c>
      <c r="F130" s="8" t="n">
        <v>0</v>
      </c>
    </row>
    <row r="131" customFormat="false" ht="15" hidden="false" customHeight="true" outlineLevel="0" collapsed="false">
      <c r="A131" s="8" t="s">
        <v>177</v>
      </c>
      <c r="B131" s="8" t="s">
        <v>1244</v>
      </c>
      <c r="C131" s="8" t="n">
        <v>2</v>
      </c>
      <c r="D131" s="8" t="n">
        <v>351</v>
      </c>
      <c r="E131" s="8" t="n">
        <v>0</v>
      </c>
      <c r="F131" s="8" t="n">
        <v>0</v>
      </c>
    </row>
    <row r="132" customFormat="false" ht="15" hidden="false" customHeight="true" outlineLevel="0" collapsed="false">
      <c r="A132" s="8" t="s">
        <v>208</v>
      </c>
      <c r="B132" s="8" t="s">
        <v>1179</v>
      </c>
      <c r="C132" s="8" t="n">
        <v>1</v>
      </c>
      <c r="D132" s="8" t="n">
        <v>72.34</v>
      </c>
      <c r="E132" s="8" t="n">
        <v>0</v>
      </c>
      <c r="F132" s="8" t="n">
        <v>0</v>
      </c>
    </row>
    <row r="133" customFormat="false" ht="15" hidden="false" customHeight="true" outlineLevel="0" collapsed="false">
      <c r="A133" s="8" t="s">
        <v>245</v>
      </c>
      <c r="B133" s="8" t="s">
        <v>1179</v>
      </c>
      <c r="C133" s="8" t="n">
        <v>4</v>
      </c>
      <c r="D133" s="8" t="n">
        <v>289.36</v>
      </c>
      <c r="E133" s="8" t="n">
        <v>0</v>
      </c>
      <c r="F133" s="8" t="n">
        <v>0</v>
      </c>
    </row>
    <row r="134" customFormat="false" ht="15" hidden="false" customHeight="true" outlineLevel="0" collapsed="false">
      <c r="A134" s="8" t="s">
        <v>191</v>
      </c>
      <c r="B134" s="8" t="s">
        <v>1179</v>
      </c>
      <c r="C134" s="8" t="n">
        <v>1</v>
      </c>
      <c r="D134" s="8" t="n">
        <v>72.34</v>
      </c>
      <c r="E134" s="8" t="n">
        <v>0</v>
      </c>
      <c r="F134" s="8" t="n">
        <v>0</v>
      </c>
    </row>
    <row r="135" customFormat="false" ht="15" hidden="false" customHeight="true" outlineLevel="0" collapsed="false">
      <c r="A135" s="8" t="s">
        <v>204</v>
      </c>
      <c r="B135" s="8" t="s">
        <v>1179</v>
      </c>
      <c r="C135" s="8" t="n">
        <v>5</v>
      </c>
      <c r="D135" s="8" t="n">
        <v>361.7</v>
      </c>
      <c r="E135" s="8" t="n">
        <v>0</v>
      </c>
      <c r="F135" s="8" t="n">
        <v>0</v>
      </c>
    </row>
    <row r="136" customFormat="false" ht="15" hidden="false" customHeight="true" outlineLevel="0" collapsed="false">
      <c r="A136" s="8" t="s">
        <v>283</v>
      </c>
      <c r="B136" s="8" t="s">
        <v>1223</v>
      </c>
      <c r="C136" s="8" t="n">
        <v>1</v>
      </c>
      <c r="D136" s="8" t="n">
        <v>77.8</v>
      </c>
      <c r="E136" s="8" t="n">
        <v>0</v>
      </c>
      <c r="F136" s="8" t="n">
        <v>0</v>
      </c>
    </row>
    <row r="137" customFormat="false" ht="15" hidden="false" customHeight="true" outlineLevel="0" collapsed="false">
      <c r="A137" s="8" t="s">
        <v>216</v>
      </c>
      <c r="B137" s="8" t="s">
        <v>1223</v>
      </c>
      <c r="C137" s="8" t="n">
        <v>4</v>
      </c>
      <c r="D137" s="8" t="n">
        <v>311.2</v>
      </c>
      <c r="E137" s="8" t="n">
        <v>0</v>
      </c>
      <c r="F137" s="8" t="n">
        <v>0</v>
      </c>
    </row>
    <row r="138" customFormat="false" ht="15" hidden="false" customHeight="true" outlineLevel="0" collapsed="false">
      <c r="A138" s="8" t="s">
        <v>236</v>
      </c>
      <c r="B138" s="8" t="s">
        <v>1223</v>
      </c>
      <c r="C138" s="8" t="n">
        <v>6</v>
      </c>
      <c r="D138" s="8" t="n">
        <v>466.8</v>
      </c>
      <c r="E138" s="8" t="n">
        <v>0</v>
      </c>
      <c r="F138" s="8" t="n">
        <v>0</v>
      </c>
    </row>
    <row r="139" customFormat="false" ht="15" hidden="false" customHeight="true" outlineLevel="0" collapsed="false">
      <c r="A139" s="8" t="s">
        <v>183</v>
      </c>
      <c r="B139" s="8" t="s">
        <v>1224</v>
      </c>
      <c r="C139" s="8" t="n">
        <v>0</v>
      </c>
      <c r="D139" s="8" t="n">
        <v>0</v>
      </c>
      <c r="E139" s="8" t="n">
        <v>1</v>
      </c>
      <c r="F139" s="8" t="n">
        <v>24.43</v>
      </c>
    </row>
    <row r="140" customFormat="false" ht="15" hidden="false" customHeight="true" outlineLevel="0" collapsed="false">
      <c r="A140" s="8" t="s">
        <v>231</v>
      </c>
      <c r="B140" s="8" t="s">
        <v>1224</v>
      </c>
      <c r="C140" s="8" t="n">
        <v>8</v>
      </c>
      <c r="D140" s="8" t="n">
        <v>195.44</v>
      </c>
      <c r="E140" s="8" t="n">
        <v>0</v>
      </c>
      <c r="F140" s="8" t="n">
        <v>0</v>
      </c>
    </row>
    <row r="141" customFormat="false" ht="15" hidden="false" customHeight="true" outlineLevel="0" collapsed="false">
      <c r="A141" s="8" t="s">
        <v>161</v>
      </c>
      <c r="B141" s="8" t="s">
        <v>1208</v>
      </c>
      <c r="C141" s="8" t="n">
        <v>32</v>
      </c>
      <c r="D141" s="8" t="n">
        <v>1456</v>
      </c>
      <c r="E141" s="8" t="n">
        <v>0</v>
      </c>
      <c r="F141" s="8" t="n">
        <v>0</v>
      </c>
    </row>
    <row r="142" customFormat="false" ht="15" hidden="false" customHeight="true" outlineLevel="0" collapsed="false">
      <c r="A142" s="8" t="s">
        <v>162</v>
      </c>
      <c r="B142" s="8" t="s">
        <v>1209</v>
      </c>
      <c r="C142" s="8" t="n">
        <v>6</v>
      </c>
      <c r="D142" s="8" t="n">
        <v>466.8</v>
      </c>
      <c r="E142" s="8" t="n">
        <v>5</v>
      </c>
      <c r="F142" s="8" t="n">
        <v>389</v>
      </c>
    </row>
    <row r="143" customFormat="false" ht="15" hidden="false" customHeight="true" outlineLevel="0" collapsed="false">
      <c r="A143" s="8" t="s">
        <v>188</v>
      </c>
      <c r="B143" s="8" t="s">
        <v>1225</v>
      </c>
      <c r="C143" s="8" t="n">
        <v>5</v>
      </c>
      <c r="D143" s="8" t="n">
        <v>144.65</v>
      </c>
      <c r="E143" s="8" t="n">
        <v>8</v>
      </c>
      <c r="F143" s="8" t="n">
        <v>231.44</v>
      </c>
    </row>
    <row r="144" customFormat="false" ht="15" hidden="false" customHeight="true" outlineLevel="0" collapsed="false">
      <c r="A144" s="8" t="s">
        <v>186</v>
      </c>
      <c r="B144" s="8" t="s">
        <v>1225</v>
      </c>
      <c r="C144" s="8" t="n">
        <v>6</v>
      </c>
      <c r="D144" s="8" t="n">
        <v>173.58</v>
      </c>
      <c r="E144" s="8" t="n">
        <v>2</v>
      </c>
      <c r="F144" s="8" t="n">
        <v>57.86</v>
      </c>
    </row>
    <row r="145" customFormat="false" ht="15" hidden="false" customHeight="true" outlineLevel="0" collapsed="false">
      <c r="A145" s="8" t="s">
        <v>239</v>
      </c>
      <c r="B145" s="8" t="s">
        <v>1225</v>
      </c>
      <c r="C145" s="8" t="n">
        <v>0</v>
      </c>
      <c r="D145" s="8" t="n">
        <v>0</v>
      </c>
      <c r="E145" s="8" t="n">
        <v>2</v>
      </c>
      <c r="F145" s="8" t="n">
        <v>57.86</v>
      </c>
    </row>
    <row r="146" customFormat="false" ht="15" hidden="false" customHeight="true" outlineLevel="0" collapsed="false">
      <c r="A146" s="8" t="s">
        <v>210</v>
      </c>
      <c r="B146" s="8" t="s">
        <v>1225</v>
      </c>
      <c r="C146" s="8" t="n">
        <v>9</v>
      </c>
      <c r="D146" s="8" t="n">
        <v>260.37</v>
      </c>
      <c r="E146" s="8" t="n">
        <v>0</v>
      </c>
      <c r="F146" s="8" t="n">
        <v>0</v>
      </c>
    </row>
    <row r="147" customFormat="false" ht="15" hidden="false" customHeight="true" outlineLevel="0" collapsed="false">
      <c r="A147" s="8" t="s">
        <v>278</v>
      </c>
      <c r="B147" s="8" t="s">
        <v>1225</v>
      </c>
      <c r="C147" s="8" t="n">
        <v>8</v>
      </c>
      <c r="D147" s="8" t="n">
        <v>231.44</v>
      </c>
      <c r="E147" s="8" t="n">
        <v>0</v>
      </c>
      <c r="F147" s="8" t="n">
        <v>0</v>
      </c>
    </row>
    <row r="148" customFormat="false" ht="15" hidden="false" customHeight="true" outlineLevel="0" collapsed="false">
      <c r="A148" s="8" t="s">
        <v>214</v>
      </c>
      <c r="B148" s="8" t="s">
        <v>1226</v>
      </c>
      <c r="C148" s="8" t="n">
        <v>8</v>
      </c>
      <c r="D148" s="8" t="n">
        <v>337.36</v>
      </c>
      <c r="E148" s="8" t="n">
        <v>0</v>
      </c>
      <c r="F148" s="8" t="n">
        <v>0</v>
      </c>
    </row>
    <row r="149" customFormat="false" ht="15" hidden="false" customHeight="true" outlineLevel="0" collapsed="false">
      <c r="A149" s="8" t="s">
        <v>241</v>
      </c>
      <c r="B149" s="8" t="s">
        <v>1227</v>
      </c>
      <c r="C149" s="8" t="n">
        <v>2</v>
      </c>
      <c r="D149" s="8" t="n">
        <v>34</v>
      </c>
      <c r="E149" s="8" t="n">
        <v>5</v>
      </c>
      <c r="F149" s="8" t="n">
        <v>85</v>
      </c>
    </row>
    <row r="150" customFormat="false" ht="15" hidden="false" customHeight="true" outlineLevel="0" collapsed="false">
      <c r="A150" s="8" t="s">
        <v>219</v>
      </c>
      <c r="B150" s="8" t="s">
        <v>1227</v>
      </c>
      <c r="C150" s="8" t="n">
        <v>2</v>
      </c>
      <c r="D150" s="8" t="n">
        <v>34</v>
      </c>
      <c r="E150" s="8" t="n">
        <v>5</v>
      </c>
      <c r="F150" s="8" t="n">
        <v>85</v>
      </c>
    </row>
    <row r="151" customFormat="false" ht="15" hidden="false" customHeight="true" outlineLevel="0" collapsed="false">
      <c r="A151" s="8" t="s">
        <v>292</v>
      </c>
      <c r="B151" s="8" t="s">
        <v>1227</v>
      </c>
      <c r="C151" s="8" t="n">
        <v>2</v>
      </c>
      <c r="D151" s="8" t="n">
        <v>34</v>
      </c>
      <c r="E151" s="8" t="n">
        <v>2</v>
      </c>
      <c r="F151" s="8" t="n">
        <v>34</v>
      </c>
    </row>
    <row r="152" customFormat="false" ht="15" hidden="false" customHeight="true" outlineLevel="0" collapsed="false">
      <c r="A152" s="8" t="s">
        <v>223</v>
      </c>
      <c r="B152" s="8" t="s">
        <v>1227</v>
      </c>
      <c r="C152" s="8" t="n">
        <v>6</v>
      </c>
      <c r="D152" s="8" t="n">
        <v>102</v>
      </c>
      <c r="E152" s="8" t="n">
        <v>0</v>
      </c>
      <c r="F152" s="8" t="n">
        <v>0</v>
      </c>
    </row>
    <row r="153" customFormat="false" ht="15" hidden="false" customHeight="true" outlineLevel="0" collapsed="false">
      <c r="A153" s="8" t="s">
        <v>287</v>
      </c>
      <c r="B153" s="8" t="s">
        <v>1227</v>
      </c>
      <c r="C153" s="8" t="n">
        <v>3</v>
      </c>
      <c r="D153" s="8" t="n">
        <v>51</v>
      </c>
      <c r="E153" s="8" t="n">
        <v>0</v>
      </c>
      <c r="F153" s="8" t="n">
        <v>0</v>
      </c>
    </row>
    <row r="154" customFormat="false" ht="15" hidden="false" customHeight="true" outlineLevel="0" collapsed="false">
      <c r="A154" s="8" t="s">
        <v>202</v>
      </c>
      <c r="B154" s="8" t="s">
        <v>1212</v>
      </c>
      <c r="C154" s="8" t="n">
        <v>10</v>
      </c>
      <c r="D154" s="8" t="n">
        <v>95</v>
      </c>
      <c r="E154" s="8" t="n">
        <v>2</v>
      </c>
      <c r="F154" s="8" t="n">
        <v>19</v>
      </c>
    </row>
    <row r="155" customFormat="false" ht="15" hidden="false" customHeight="true" outlineLevel="0" collapsed="false">
      <c r="A155" s="8" t="s">
        <v>308</v>
      </c>
      <c r="B155" s="8" t="s">
        <v>1229</v>
      </c>
      <c r="C155" s="8" t="n">
        <v>2</v>
      </c>
      <c r="D155" s="8" t="n">
        <v>16.16</v>
      </c>
      <c r="E155" s="8" t="n">
        <v>0</v>
      </c>
      <c r="F155" s="8" t="n">
        <v>0</v>
      </c>
    </row>
    <row r="156" customFormat="false" ht="15" hidden="false" customHeight="true" outlineLevel="0" collapsed="false">
      <c r="A156" s="8" t="s">
        <v>172</v>
      </c>
      <c r="B156" s="8" t="s">
        <v>1214</v>
      </c>
      <c r="C156" s="8" t="n">
        <v>10</v>
      </c>
      <c r="D156" s="8" t="n">
        <v>121.8</v>
      </c>
      <c r="E156" s="8" t="n">
        <v>0</v>
      </c>
      <c r="F156" s="8" t="n">
        <v>0</v>
      </c>
    </row>
    <row r="157" customFormat="false" ht="15" hidden="false" customHeight="true" outlineLevel="0" collapsed="false">
      <c r="A157" s="8" t="s">
        <v>242</v>
      </c>
      <c r="B157" s="8" t="s">
        <v>1230</v>
      </c>
      <c r="C157" s="8" t="n">
        <v>2</v>
      </c>
      <c r="D157" s="8" t="n">
        <v>77.4</v>
      </c>
      <c r="E157" s="8" t="n">
        <v>2</v>
      </c>
      <c r="F157" s="8" t="n">
        <v>77.4</v>
      </c>
    </row>
    <row r="158" customFormat="false" ht="15" hidden="false" customHeight="true" outlineLevel="0" collapsed="false">
      <c r="A158" s="8" t="s">
        <v>215</v>
      </c>
      <c r="B158" s="8" t="s">
        <v>1233</v>
      </c>
      <c r="C158" s="8" t="n">
        <v>2</v>
      </c>
      <c r="D158" s="8" t="n">
        <v>35.64</v>
      </c>
      <c r="E158" s="8" t="n">
        <v>0</v>
      </c>
      <c r="F158" s="8" t="n">
        <v>0</v>
      </c>
    </row>
    <row r="159" customFormat="false" ht="15" hidden="false" customHeight="true" outlineLevel="0" collapsed="false">
      <c r="A159" s="8" t="s">
        <v>169</v>
      </c>
      <c r="B159" s="8" t="s">
        <v>1240</v>
      </c>
      <c r="C159" s="8" t="n">
        <v>18</v>
      </c>
      <c r="D159" s="8" t="n">
        <v>752.58</v>
      </c>
      <c r="E159" s="8" t="n">
        <v>0</v>
      </c>
      <c r="F159" s="8" t="n">
        <v>0</v>
      </c>
    </row>
    <row r="160" customFormat="false" ht="15" hidden="false" customHeight="true" outlineLevel="0" collapsed="false">
      <c r="A160" s="8" t="s">
        <v>268</v>
      </c>
      <c r="B160" s="8" t="s">
        <v>1234</v>
      </c>
      <c r="C160" s="8" t="n">
        <v>4</v>
      </c>
      <c r="D160" s="8" t="n">
        <v>142.68</v>
      </c>
      <c r="E160" s="8" t="n">
        <v>0</v>
      </c>
      <c r="F160" s="8" t="n">
        <v>0</v>
      </c>
    </row>
    <row r="161" customFormat="false" ht="15" hidden="false" customHeight="true" outlineLevel="0" collapsed="false">
      <c r="A161" s="8" t="s">
        <v>209</v>
      </c>
      <c r="B161" s="8" t="s">
        <v>1245</v>
      </c>
      <c r="C161" s="8" t="n">
        <v>7</v>
      </c>
      <c r="D161" s="8" t="n">
        <v>454.23</v>
      </c>
      <c r="E161" s="8" t="n">
        <v>0</v>
      </c>
      <c r="F161" s="8" t="n">
        <v>0</v>
      </c>
    </row>
    <row r="162" customFormat="false" ht="15" hidden="false" customHeight="true" outlineLevel="0" collapsed="false">
      <c r="A162" s="8" t="s">
        <v>180</v>
      </c>
      <c r="B162" s="8" t="s">
        <v>1216</v>
      </c>
      <c r="C162" s="8" t="n">
        <v>0</v>
      </c>
      <c r="D162" s="8" t="n">
        <v>0</v>
      </c>
      <c r="E162" s="8" t="n">
        <v>2</v>
      </c>
      <c r="F162" s="8" t="n">
        <v>33</v>
      </c>
    </row>
    <row r="163" customFormat="false" ht="15" hidden="false" customHeight="true" outlineLevel="0" collapsed="false">
      <c r="A163" s="8" t="s">
        <v>189</v>
      </c>
      <c r="B163" s="8" t="s">
        <v>1216</v>
      </c>
      <c r="C163" s="8" t="n">
        <v>7</v>
      </c>
      <c r="D163" s="8" t="n">
        <v>115.5</v>
      </c>
      <c r="E163" s="8" t="n">
        <v>4</v>
      </c>
      <c r="F163" s="8" t="n">
        <v>66</v>
      </c>
    </row>
    <row r="164" customFormat="false" ht="15" hidden="false" customHeight="true" outlineLevel="0" collapsed="false">
      <c r="A164" s="8" t="s">
        <v>267</v>
      </c>
      <c r="B164" s="8" t="s">
        <v>1216</v>
      </c>
      <c r="C164" s="8" t="n">
        <v>2</v>
      </c>
      <c r="D164" s="8" t="n">
        <v>33</v>
      </c>
      <c r="E164" s="8" t="n">
        <v>4</v>
      </c>
      <c r="F164" s="8" t="n">
        <v>66</v>
      </c>
    </row>
    <row r="165" customFormat="false" ht="15" hidden="false" customHeight="true" outlineLevel="0" collapsed="false">
      <c r="A165" s="8" t="s">
        <v>199</v>
      </c>
      <c r="B165" s="8" t="s">
        <v>1216</v>
      </c>
      <c r="C165" s="8" t="n">
        <v>4</v>
      </c>
      <c r="D165" s="8" t="n">
        <v>66</v>
      </c>
      <c r="E165" s="8" t="n">
        <v>3</v>
      </c>
      <c r="F165" s="8" t="n">
        <v>49.5</v>
      </c>
    </row>
    <row r="166" customFormat="false" ht="15" hidden="false" customHeight="true" outlineLevel="0" collapsed="false">
      <c r="A166" s="8" t="s">
        <v>250</v>
      </c>
      <c r="B166" s="8" t="s">
        <v>1216</v>
      </c>
      <c r="C166" s="8" t="n">
        <v>4</v>
      </c>
      <c r="D166" s="8" t="n">
        <v>66</v>
      </c>
      <c r="E166" s="8" t="n">
        <v>2</v>
      </c>
      <c r="F166" s="8" t="n">
        <v>33</v>
      </c>
    </row>
    <row r="167" customFormat="false" ht="15" hidden="false" customHeight="true" outlineLevel="0" collapsed="false">
      <c r="A167" s="8" t="s">
        <v>198</v>
      </c>
      <c r="B167" s="8" t="s">
        <v>1217</v>
      </c>
      <c r="C167" s="8" t="n">
        <v>15</v>
      </c>
      <c r="D167" s="8" t="n">
        <v>307.5</v>
      </c>
      <c r="E167" s="8" t="n">
        <v>0</v>
      </c>
      <c r="F167" s="8" t="n">
        <v>0</v>
      </c>
    </row>
    <row r="168" customFormat="false" ht="15" hidden="false" customHeight="true" outlineLevel="0" collapsed="false">
      <c r="A168" s="8" t="s">
        <v>302</v>
      </c>
      <c r="B168" s="8" t="s">
        <v>1217</v>
      </c>
      <c r="C168" s="8" t="n">
        <v>2</v>
      </c>
      <c r="D168" s="8" t="n">
        <v>41</v>
      </c>
      <c r="E168" s="8" t="n">
        <v>0</v>
      </c>
      <c r="F168" s="8" t="n">
        <v>0</v>
      </c>
    </row>
    <row r="169" customFormat="false" ht="15" hidden="false" customHeight="true" outlineLevel="0" collapsed="false">
      <c r="A169" s="8" t="s">
        <v>382</v>
      </c>
      <c r="B169" s="8" t="s">
        <v>1246</v>
      </c>
      <c r="C169" s="8" t="n">
        <v>1</v>
      </c>
      <c r="D169" s="8" t="n">
        <v>126.57</v>
      </c>
      <c r="E169" s="8" t="n">
        <v>0</v>
      </c>
      <c r="F169" s="8" t="n">
        <v>0</v>
      </c>
    </row>
    <row r="170" customFormat="false" ht="15" hidden="false" customHeight="true" outlineLevel="0" collapsed="false">
      <c r="A170" s="8" t="s">
        <v>113</v>
      </c>
      <c r="B170" s="8" t="s">
        <v>1247</v>
      </c>
      <c r="C170" s="8" t="n">
        <v>2</v>
      </c>
      <c r="D170" s="8" t="n">
        <v>50</v>
      </c>
      <c r="E170" s="8" t="n">
        <v>0</v>
      </c>
      <c r="F170" s="8" t="n">
        <v>0</v>
      </c>
    </row>
    <row r="171" customFormat="false" ht="15" hidden="false" customHeight="true" outlineLevel="0" collapsed="false">
      <c r="A171" s="8" t="s">
        <v>99</v>
      </c>
      <c r="B171" s="8" t="s">
        <v>1247</v>
      </c>
      <c r="C171" s="8" t="n">
        <v>2</v>
      </c>
      <c r="D171" s="8" t="n">
        <v>50</v>
      </c>
      <c r="E171" s="8" t="n">
        <v>2</v>
      </c>
      <c r="F171" s="8" t="n">
        <v>50</v>
      </c>
    </row>
    <row r="172" customFormat="false" ht="15" hidden="false" customHeight="true" outlineLevel="0" collapsed="false">
      <c r="A172" s="8" t="s">
        <v>120</v>
      </c>
      <c r="B172" s="8" t="s">
        <v>1247</v>
      </c>
      <c r="C172" s="8" t="n">
        <v>2</v>
      </c>
      <c r="D172" s="8" t="n">
        <v>50</v>
      </c>
      <c r="E172" s="8" t="n">
        <v>0</v>
      </c>
      <c r="F172" s="8" t="n">
        <v>0</v>
      </c>
    </row>
    <row r="173" customFormat="false" ht="15" hidden="false" customHeight="true" outlineLevel="0" collapsed="false">
      <c r="A173" s="8" t="s">
        <v>240</v>
      </c>
      <c r="B173" s="8" t="s">
        <v>769</v>
      </c>
      <c r="C173" s="8" t="n">
        <v>3</v>
      </c>
      <c r="D173" s="8" t="n">
        <v>51</v>
      </c>
      <c r="E173" s="8" t="n">
        <v>0</v>
      </c>
      <c r="F173" s="8" t="n">
        <v>0</v>
      </c>
    </row>
    <row r="174" customFormat="false" ht="15" hidden="false" customHeight="true" outlineLevel="0" collapsed="false">
      <c r="A174" s="8" t="s">
        <v>234</v>
      </c>
      <c r="B174" s="8" t="s">
        <v>769</v>
      </c>
      <c r="C174" s="8" t="n">
        <v>2</v>
      </c>
      <c r="D174" s="8" t="n">
        <v>34</v>
      </c>
      <c r="E174" s="8" t="n">
        <v>0</v>
      </c>
      <c r="F174" s="8" t="n">
        <v>0</v>
      </c>
    </row>
    <row r="175" customFormat="false" ht="15" hidden="false" customHeight="true" outlineLevel="0" collapsed="false">
      <c r="A175" s="8" t="s">
        <v>247</v>
      </c>
      <c r="B175" s="8" t="s">
        <v>769</v>
      </c>
      <c r="C175" s="8" t="n">
        <v>1</v>
      </c>
      <c r="D175" s="8" t="n">
        <v>17</v>
      </c>
      <c r="E175" s="8" t="n">
        <v>1</v>
      </c>
      <c r="F175" s="8" t="n">
        <v>17</v>
      </c>
    </row>
    <row r="176" customFormat="false" ht="15" hidden="false" customHeight="true" outlineLevel="0" collapsed="false">
      <c r="A176" s="8" t="s">
        <v>300</v>
      </c>
      <c r="B176" s="8" t="s">
        <v>769</v>
      </c>
      <c r="C176" s="8" t="n">
        <v>2</v>
      </c>
      <c r="D176" s="8" t="n">
        <v>34</v>
      </c>
      <c r="E176" s="8" t="n">
        <v>0</v>
      </c>
      <c r="F176" s="8" t="n">
        <v>0</v>
      </c>
    </row>
    <row r="177" customFormat="false" ht="15" hidden="false" customHeight="true" outlineLevel="0" collapsed="false">
      <c r="A177" s="8" t="s">
        <v>367</v>
      </c>
      <c r="B177" s="8" t="s">
        <v>769</v>
      </c>
      <c r="C177" s="8" t="n">
        <v>0</v>
      </c>
      <c r="D177" s="8" t="n">
        <v>0</v>
      </c>
      <c r="E177" s="8" t="n">
        <v>4</v>
      </c>
      <c r="F177" s="8" t="n">
        <v>68</v>
      </c>
    </row>
    <row r="178" customFormat="false" ht="15" hidden="false" customHeight="true" outlineLevel="0" collapsed="false">
      <c r="A178" s="8" t="s">
        <v>167</v>
      </c>
      <c r="B178" s="8" t="s">
        <v>1238</v>
      </c>
      <c r="C178" s="8" t="n">
        <v>53</v>
      </c>
      <c r="D178" s="8" t="n">
        <v>710.2</v>
      </c>
      <c r="E178" s="8" t="n">
        <v>0</v>
      </c>
      <c r="F178" s="8" t="n">
        <v>0</v>
      </c>
    </row>
    <row r="179" customFormat="false" ht="15" hidden="false" customHeight="true" outlineLevel="0" collapsed="false">
      <c r="A179" s="8" t="s">
        <v>220</v>
      </c>
      <c r="B179" s="8" t="s">
        <v>1248</v>
      </c>
      <c r="C179" s="8" t="n">
        <v>15</v>
      </c>
      <c r="D179" s="8" t="n">
        <v>156</v>
      </c>
      <c r="E179" s="8" t="n">
        <v>0</v>
      </c>
      <c r="F179" s="8" t="n">
        <v>0</v>
      </c>
    </row>
    <row r="180" customFormat="false" ht="15" hidden="false" customHeight="true" outlineLevel="0" collapsed="false">
      <c r="A180" s="8" t="s">
        <v>233</v>
      </c>
      <c r="B180" s="8" t="s">
        <v>1249</v>
      </c>
      <c r="C180" s="8" t="n">
        <v>6</v>
      </c>
      <c r="D180" s="8" t="n">
        <v>107.7</v>
      </c>
      <c r="E180" s="8" t="n">
        <v>4</v>
      </c>
      <c r="F180" s="8" t="n">
        <v>71.8</v>
      </c>
    </row>
    <row r="181" customFormat="false" ht="15" hidden="false" customHeight="true" outlineLevel="0" collapsed="false">
      <c r="A181" s="8" t="s">
        <v>264</v>
      </c>
      <c r="B181" s="8" t="s">
        <v>1221</v>
      </c>
      <c r="C181" s="8" t="n">
        <v>14</v>
      </c>
      <c r="D181" s="8" t="n">
        <v>81.34</v>
      </c>
      <c r="E181" s="8" t="n">
        <v>4</v>
      </c>
      <c r="F181" s="8" t="n">
        <v>23.24</v>
      </c>
    </row>
    <row r="182" customFormat="false" ht="15" hidden="false" customHeight="true" outlineLevel="0" collapsed="false">
      <c r="A182" s="8" t="s">
        <v>292</v>
      </c>
      <c r="B182" s="8" t="s">
        <v>1227</v>
      </c>
      <c r="C182" s="8" t="n">
        <v>1</v>
      </c>
      <c r="D182" s="8" t="n">
        <v>17</v>
      </c>
      <c r="E182" s="8" t="n">
        <v>0</v>
      </c>
      <c r="F182" s="8" t="n">
        <v>0</v>
      </c>
    </row>
    <row r="183" customFormat="false" ht="15" hidden="false" customHeight="true" outlineLevel="0" collapsed="false">
      <c r="A183" s="8" t="s">
        <v>180</v>
      </c>
      <c r="B183" s="8" t="s">
        <v>1216</v>
      </c>
      <c r="C183" s="8" t="n">
        <v>2</v>
      </c>
      <c r="D183" s="8" t="n">
        <v>33</v>
      </c>
      <c r="E183" s="8" t="n">
        <v>0</v>
      </c>
      <c r="F183" s="8" t="n">
        <v>0</v>
      </c>
    </row>
    <row r="184" customFormat="false" ht="15" hidden="false" customHeight="true" outlineLevel="0" collapsed="false">
      <c r="A184" s="8" t="s">
        <v>189</v>
      </c>
      <c r="B184" s="8" t="s">
        <v>1216</v>
      </c>
      <c r="C184" s="8" t="n">
        <v>2</v>
      </c>
      <c r="D184" s="8" t="n">
        <v>33</v>
      </c>
      <c r="E184" s="8" t="n">
        <v>0</v>
      </c>
      <c r="F184" s="8" t="n">
        <v>0</v>
      </c>
    </row>
    <row r="185" customFormat="false" ht="15" hidden="false" customHeight="true" outlineLevel="0" collapsed="false">
      <c r="A185" s="8" t="s">
        <v>170</v>
      </c>
      <c r="B185" s="8" t="s">
        <v>1220</v>
      </c>
      <c r="C185" s="8" t="n">
        <v>6</v>
      </c>
      <c r="D185" s="8" t="n">
        <v>88.8</v>
      </c>
      <c r="E185" s="8" t="n">
        <v>0</v>
      </c>
      <c r="F185" s="8" t="n">
        <v>0</v>
      </c>
    </row>
    <row r="186" customFormat="false" ht="15" hidden="false" customHeight="true" outlineLevel="0" collapsed="false">
      <c r="A186" s="8" t="s">
        <v>203</v>
      </c>
      <c r="B186" s="8" t="s">
        <v>1177</v>
      </c>
      <c r="C186" s="8" t="n">
        <v>1</v>
      </c>
      <c r="D186" s="8" t="n">
        <v>18.5</v>
      </c>
      <c r="E186" s="8" t="n">
        <v>0</v>
      </c>
      <c r="F186" s="8" t="n">
        <v>0</v>
      </c>
    </row>
    <row r="187" customFormat="false" ht="15" hidden="false" customHeight="true" outlineLevel="0" collapsed="false">
      <c r="A187" s="8" t="s">
        <v>211</v>
      </c>
      <c r="B187" s="8" t="s">
        <v>1250</v>
      </c>
      <c r="C187" s="8" t="n">
        <v>1</v>
      </c>
      <c r="D187" s="8" t="n">
        <v>25</v>
      </c>
      <c r="E187" s="8" t="n">
        <v>0</v>
      </c>
      <c r="F187" s="8" t="n">
        <v>0</v>
      </c>
    </row>
    <row r="188" customFormat="false" ht="15" hidden="false" customHeight="true" outlineLevel="0" collapsed="false">
      <c r="A188" s="8" t="s">
        <v>163</v>
      </c>
      <c r="B188" s="8" t="s">
        <v>897</v>
      </c>
      <c r="C188" s="8" t="n">
        <v>3</v>
      </c>
      <c r="D188" s="8" t="n">
        <v>195</v>
      </c>
      <c r="E188" s="8" t="n">
        <v>0</v>
      </c>
      <c r="F188" s="8" t="n">
        <v>0</v>
      </c>
    </row>
    <row r="189" customFormat="false" ht="15" hidden="false" customHeight="true" outlineLevel="0" collapsed="false">
      <c r="A189" s="8" t="s">
        <v>190</v>
      </c>
      <c r="B189" s="8" t="s">
        <v>1224</v>
      </c>
      <c r="C189" s="8" t="n">
        <v>1</v>
      </c>
      <c r="D189" s="8" t="n">
        <v>24.43</v>
      </c>
      <c r="E189" s="8" t="n">
        <v>0</v>
      </c>
      <c r="F189" s="8" t="n">
        <v>0</v>
      </c>
    </row>
    <row r="190" customFormat="false" ht="15" hidden="false" customHeight="true" outlineLevel="0" collapsed="false">
      <c r="A190" s="8" t="s">
        <v>183</v>
      </c>
      <c r="B190" s="8" t="s">
        <v>1224</v>
      </c>
      <c r="C190" s="8" t="n">
        <v>4</v>
      </c>
      <c r="D190" s="8" t="n">
        <v>97.72</v>
      </c>
      <c r="E190" s="8" t="n">
        <v>1</v>
      </c>
      <c r="F190" s="8" t="n">
        <v>24.43</v>
      </c>
    </row>
    <row r="191" customFormat="false" ht="15" hidden="false" customHeight="true" outlineLevel="0" collapsed="false">
      <c r="A191" s="8" t="s">
        <v>218</v>
      </c>
      <c r="B191" s="8" t="s">
        <v>1224</v>
      </c>
      <c r="C191" s="8" t="n">
        <v>4</v>
      </c>
      <c r="D191" s="8" t="n">
        <v>97.72</v>
      </c>
      <c r="E191" s="8" t="n">
        <v>0</v>
      </c>
      <c r="F191" s="8" t="n">
        <v>0</v>
      </c>
    </row>
    <row r="192" customFormat="false" ht="15" hidden="false" customHeight="true" outlineLevel="0" collapsed="false">
      <c r="A192" s="8" t="s">
        <v>231</v>
      </c>
      <c r="B192" s="8" t="s">
        <v>1224</v>
      </c>
      <c r="C192" s="8" t="n">
        <v>1</v>
      </c>
      <c r="D192" s="8" t="n">
        <v>24.43</v>
      </c>
      <c r="E192" s="8" t="n">
        <v>0</v>
      </c>
      <c r="F192" s="8" t="n">
        <v>0</v>
      </c>
    </row>
    <row r="193" customFormat="false" ht="15" hidden="false" customHeight="true" outlineLevel="0" collapsed="false">
      <c r="A193" s="8" t="s">
        <v>161</v>
      </c>
      <c r="B193" s="8" t="s">
        <v>1208</v>
      </c>
      <c r="C193" s="8" t="n">
        <v>10</v>
      </c>
      <c r="D193" s="8" t="n">
        <v>455</v>
      </c>
      <c r="E193" s="8" t="n">
        <v>3</v>
      </c>
      <c r="F193" s="8" t="n">
        <v>136.5</v>
      </c>
    </row>
    <row r="194" customFormat="false" ht="15" hidden="false" customHeight="true" outlineLevel="0" collapsed="false">
      <c r="A194" s="8" t="s">
        <v>162</v>
      </c>
      <c r="B194" s="8" t="s">
        <v>1209</v>
      </c>
      <c r="C194" s="8" t="n">
        <v>3</v>
      </c>
      <c r="D194" s="8" t="n">
        <v>233.4</v>
      </c>
      <c r="E194" s="8" t="n">
        <v>0</v>
      </c>
      <c r="F194" s="8" t="n">
        <v>0</v>
      </c>
    </row>
    <row r="195" customFormat="false" ht="15" hidden="false" customHeight="true" outlineLevel="0" collapsed="false">
      <c r="A195" s="8" t="s">
        <v>164</v>
      </c>
      <c r="B195" s="8" t="s">
        <v>1211</v>
      </c>
      <c r="C195" s="8" t="n">
        <v>3</v>
      </c>
      <c r="D195" s="8" t="n">
        <v>189.81</v>
      </c>
      <c r="E195" s="8" t="n">
        <v>1</v>
      </c>
      <c r="F195" s="8" t="n">
        <v>63.27</v>
      </c>
    </row>
    <row r="196" customFormat="false" ht="15" hidden="false" customHeight="true" outlineLevel="0" collapsed="false">
      <c r="A196" s="8" t="s">
        <v>187</v>
      </c>
      <c r="B196" s="8" t="s">
        <v>1211</v>
      </c>
      <c r="C196" s="8" t="n">
        <v>0</v>
      </c>
      <c r="D196" s="8" t="n">
        <v>0</v>
      </c>
      <c r="E196" s="8" t="n">
        <v>1</v>
      </c>
      <c r="F196" s="8" t="n">
        <v>63.27</v>
      </c>
    </row>
    <row r="197" customFormat="false" ht="15" hidden="false" customHeight="true" outlineLevel="0" collapsed="false">
      <c r="A197" s="8" t="s">
        <v>270</v>
      </c>
      <c r="B197" s="8" t="s">
        <v>1251</v>
      </c>
      <c r="C197" s="8" t="n">
        <v>3</v>
      </c>
      <c r="D197" s="8" t="n">
        <v>29.46</v>
      </c>
      <c r="E197" s="8" t="n">
        <v>0</v>
      </c>
      <c r="F197" s="8" t="n">
        <v>0</v>
      </c>
    </row>
    <row r="198" customFormat="false" ht="15" hidden="false" customHeight="true" outlineLevel="0" collapsed="false">
      <c r="A198" s="8" t="s">
        <v>307</v>
      </c>
      <c r="B198" s="8" t="s">
        <v>1252</v>
      </c>
      <c r="C198" s="8" t="n">
        <v>1</v>
      </c>
      <c r="D198" s="8" t="n">
        <v>14.28</v>
      </c>
      <c r="E198" s="8" t="n">
        <v>0</v>
      </c>
      <c r="F198" s="8" t="n">
        <v>0</v>
      </c>
    </row>
    <row r="199" customFormat="false" ht="15" hidden="false" customHeight="true" outlineLevel="0" collapsed="false">
      <c r="A199" s="8" t="s">
        <v>263</v>
      </c>
      <c r="B199" s="8" t="s">
        <v>407</v>
      </c>
      <c r="C199" s="8" t="n">
        <v>10</v>
      </c>
      <c r="D199" s="8" t="n">
        <v>128.2</v>
      </c>
      <c r="E199" s="8" t="n">
        <v>0</v>
      </c>
      <c r="F199" s="8" t="n">
        <v>0</v>
      </c>
    </row>
    <row r="200" customFormat="false" ht="15" hidden="false" customHeight="true" outlineLevel="0" collapsed="false">
      <c r="A200" s="8" t="s">
        <v>188</v>
      </c>
      <c r="B200" s="8" t="s">
        <v>1225</v>
      </c>
      <c r="C200" s="8" t="n">
        <v>0</v>
      </c>
      <c r="D200" s="8" t="n">
        <v>0</v>
      </c>
      <c r="E200" s="8" t="n">
        <v>1</v>
      </c>
      <c r="F200" s="8" t="n">
        <v>28.93</v>
      </c>
    </row>
    <row r="201" customFormat="false" ht="15" hidden="false" customHeight="true" outlineLevel="0" collapsed="false">
      <c r="A201" s="8" t="s">
        <v>186</v>
      </c>
      <c r="B201" s="8" t="s">
        <v>1225</v>
      </c>
      <c r="C201" s="8" t="n">
        <v>2</v>
      </c>
      <c r="D201" s="8" t="n">
        <v>57.86</v>
      </c>
      <c r="E201" s="8" t="n">
        <v>1</v>
      </c>
      <c r="F201" s="8" t="n">
        <v>28.93</v>
      </c>
    </row>
    <row r="202" customFormat="false" ht="15" hidden="false" customHeight="true" outlineLevel="0" collapsed="false">
      <c r="A202" s="8" t="s">
        <v>239</v>
      </c>
      <c r="B202" s="8" t="s">
        <v>1225</v>
      </c>
      <c r="C202" s="8" t="n">
        <v>2</v>
      </c>
      <c r="D202" s="8" t="n">
        <v>57.86</v>
      </c>
      <c r="E202" s="8" t="n">
        <v>0</v>
      </c>
      <c r="F202" s="8" t="n">
        <v>0</v>
      </c>
    </row>
    <row r="203" customFormat="false" ht="15" hidden="false" customHeight="true" outlineLevel="0" collapsed="false">
      <c r="A203" s="8" t="s">
        <v>210</v>
      </c>
      <c r="B203" s="8" t="s">
        <v>1225</v>
      </c>
      <c r="C203" s="8" t="n">
        <v>0</v>
      </c>
      <c r="D203" s="8" t="n">
        <v>0</v>
      </c>
      <c r="E203" s="8" t="n">
        <v>1</v>
      </c>
      <c r="F203" s="8" t="n">
        <v>28.93</v>
      </c>
    </row>
    <row r="204" customFormat="false" ht="15" hidden="false" customHeight="true" outlineLevel="0" collapsed="false">
      <c r="A204" s="8" t="s">
        <v>238</v>
      </c>
      <c r="B204" s="8" t="s">
        <v>1226</v>
      </c>
      <c r="C204" s="8" t="n">
        <v>3</v>
      </c>
      <c r="D204" s="8" t="n">
        <v>126.51</v>
      </c>
      <c r="E204" s="8" t="n">
        <v>0</v>
      </c>
      <c r="F204" s="8" t="n">
        <v>0</v>
      </c>
    </row>
    <row r="205" customFormat="false" ht="15" hidden="false" customHeight="true" outlineLevel="0" collapsed="false">
      <c r="A205" s="8" t="s">
        <v>201</v>
      </c>
      <c r="B205" s="8" t="s">
        <v>1226</v>
      </c>
      <c r="C205" s="8" t="n">
        <v>2</v>
      </c>
      <c r="D205" s="8" t="n">
        <v>84.34</v>
      </c>
      <c r="E205" s="8" t="n">
        <v>0</v>
      </c>
      <c r="F205" s="8" t="n">
        <v>0</v>
      </c>
    </row>
    <row r="206" customFormat="false" ht="15" hidden="false" customHeight="true" outlineLevel="0" collapsed="false">
      <c r="A206" s="8" t="s">
        <v>214</v>
      </c>
      <c r="B206" s="8" t="s">
        <v>1226</v>
      </c>
      <c r="C206" s="8" t="n">
        <v>2</v>
      </c>
      <c r="D206" s="8" t="n">
        <v>84.34</v>
      </c>
      <c r="E206" s="8" t="n">
        <v>0</v>
      </c>
      <c r="F206" s="8" t="n">
        <v>0</v>
      </c>
    </row>
    <row r="207" customFormat="false" ht="15" hidden="false" customHeight="true" outlineLevel="0" collapsed="false">
      <c r="A207" s="8" t="s">
        <v>219</v>
      </c>
      <c r="B207" s="8" t="s">
        <v>1227</v>
      </c>
      <c r="C207" s="8" t="n">
        <v>4</v>
      </c>
      <c r="D207" s="8" t="n">
        <v>68</v>
      </c>
      <c r="E207" s="8" t="n">
        <v>0</v>
      </c>
      <c r="F207" s="8" t="n">
        <v>0</v>
      </c>
    </row>
    <row r="208" customFormat="false" ht="15" hidden="false" customHeight="true" outlineLevel="0" collapsed="false">
      <c r="A208" s="8" t="s">
        <v>223</v>
      </c>
      <c r="B208" s="8" t="s">
        <v>1227</v>
      </c>
      <c r="C208" s="8" t="n">
        <v>3</v>
      </c>
      <c r="D208" s="8" t="n">
        <v>51</v>
      </c>
      <c r="E208" s="8" t="n">
        <v>0</v>
      </c>
      <c r="F208" s="8" t="n">
        <v>0</v>
      </c>
    </row>
    <row r="209" customFormat="false" ht="15" hidden="false" customHeight="true" outlineLevel="0" collapsed="false">
      <c r="A209" s="8" t="s">
        <v>229</v>
      </c>
      <c r="B209" s="8" t="s">
        <v>881</v>
      </c>
      <c r="C209" s="8" t="n">
        <v>1</v>
      </c>
      <c r="D209" s="8" t="n">
        <v>41.2</v>
      </c>
      <c r="E209" s="8" t="n">
        <v>0</v>
      </c>
      <c r="F209" s="8" t="n">
        <v>0</v>
      </c>
    </row>
    <row r="210" customFormat="false" ht="15" hidden="false" customHeight="true" outlineLevel="0" collapsed="false">
      <c r="A210" s="8" t="s">
        <v>202</v>
      </c>
      <c r="B210" s="8" t="s">
        <v>1212</v>
      </c>
      <c r="C210" s="8" t="n">
        <v>2</v>
      </c>
      <c r="D210" s="8" t="n">
        <v>19</v>
      </c>
      <c r="E210" s="8" t="n">
        <v>0</v>
      </c>
      <c r="F210" s="8" t="n">
        <v>0</v>
      </c>
    </row>
    <row r="211" customFormat="false" ht="15" hidden="false" customHeight="true" outlineLevel="0" collapsed="false">
      <c r="A211" s="8" t="s">
        <v>244</v>
      </c>
      <c r="B211" s="8" t="s">
        <v>1213</v>
      </c>
      <c r="C211" s="8" t="n">
        <v>10</v>
      </c>
      <c r="D211" s="8" t="n">
        <v>95</v>
      </c>
      <c r="E211" s="8" t="n">
        <v>0</v>
      </c>
      <c r="F211" s="8" t="n">
        <v>0</v>
      </c>
    </row>
    <row r="212" customFormat="false" ht="15" hidden="false" customHeight="true" outlineLevel="0" collapsed="false">
      <c r="A212" s="8" t="s">
        <v>243</v>
      </c>
      <c r="B212" s="8" t="s">
        <v>1253</v>
      </c>
      <c r="C212" s="8" t="n">
        <v>3</v>
      </c>
      <c r="D212" s="8" t="n">
        <v>38.85</v>
      </c>
      <c r="E212" s="8" t="n">
        <v>0</v>
      </c>
      <c r="F212" s="8" t="n">
        <v>0</v>
      </c>
    </row>
    <row r="213" customFormat="false" ht="15" hidden="false" customHeight="true" outlineLevel="0" collapsed="false">
      <c r="A213" s="8" t="s">
        <v>172</v>
      </c>
      <c r="B213" s="8" t="s">
        <v>1214</v>
      </c>
      <c r="C213" s="8" t="n">
        <v>23</v>
      </c>
      <c r="D213" s="8" t="n">
        <v>280.14</v>
      </c>
      <c r="E213" s="8" t="n">
        <v>0</v>
      </c>
      <c r="F213" s="8" t="n">
        <v>0</v>
      </c>
    </row>
    <row r="214" customFormat="false" ht="15" hidden="false" customHeight="true" outlineLevel="0" collapsed="false">
      <c r="A214" s="8" t="s">
        <v>281</v>
      </c>
      <c r="B214" s="8" t="s">
        <v>1254</v>
      </c>
      <c r="C214" s="8" t="n">
        <v>6</v>
      </c>
      <c r="D214" s="8" t="n">
        <v>83.04</v>
      </c>
      <c r="E214" s="8" t="n">
        <v>0</v>
      </c>
      <c r="F214" s="8" t="n">
        <v>0</v>
      </c>
    </row>
    <row r="215" customFormat="false" ht="15" hidden="false" customHeight="true" outlineLevel="0" collapsed="false">
      <c r="A215" s="8" t="s">
        <v>232</v>
      </c>
      <c r="B215" s="8" t="s">
        <v>1233</v>
      </c>
      <c r="C215" s="8" t="n">
        <v>2</v>
      </c>
      <c r="D215" s="8" t="n">
        <v>32.4</v>
      </c>
      <c r="E215" s="8" t="n">
        <v>1</v>
      </c>
      <c r="F215" s="8" t="n">
        <v>16.2</v>
      </c>
    </row>
    <row r="216" customFormat="false" ht="15" hidden="false" customHeight="true" outlineLevel="0" collapsed="false">
      <c r="A216" s="8" t="s">
        <v>215</v>
      </c>
      <c r="B216" s="8" t="s">
        <v>1233</v>
      </c>
      <c r="C216" s="8" t="n">
        <v>2</v>
      </c>
      <c r="D216" s="8" t="n">
        <v>35.64</v>
      </c>
      <c r="E216" s="8" t="n">
        <v>1</v>
      </c>
      <c r="F216" s="8" t="n">
        <v>17.82</v>
      </c>
    </row>
    <row r="217" customFormat="false" ht="15" hidden="false" customHeight="true" outlineLevel="0" collapsed="false">
      <c r="A217" s="8" t="s">
        <v>342</v>
      </c>
      <c r="B217" s="8" t="s">
        <v>1255</v>
      </c>
      <c r="C217" s="8" t="n">
        <v>1</v>
      </c>
      <c r="D217" s="8" t="n">
        <v>23.6</v>
      </c>
      <c r="E217" s="8" t="n">
        <v>1</v>
      </c>
      <c r="F217" s="8" t="n">
        <v>23.6</v>
      </c>
    </row>
    <row r="218" customFormat="false" ht="15" hidden="false" customHeight="true" outlineLevel="0" collapsed="false">
      <c r="A218" s="8" t="s">
        <v>318</v>
      </c>
      <c r="B218" s="8" t="s">
        <v>1256</v>
      </c>
      <c r="C218" s="8" t="n">
        <v>0</v>
      </c>
      <c r="D218" s="8" t="n">
        <v>0</v>
      </c>
      <c r="E218" s="8" t="n">
        <v>1</v>
      </c>
      <c r="F218" s="8" t="n">
        <v>23.6</v>
      </c>
    </row>
    <row r="219" customFormat="false" ht="15" hidden="false" customHeight="true" outlineLevel="0" collapsed="false">
      <c r="A219" s="8" t="s">
        <v>180</v>
      </c>
      <c r="B219" s="8" t="s">
        <v>1216</v>
      </c>
      <c r="C219" s="8" t="n">
        <v>1</v>
      </c>
      <c r="D219" s="8" t="n">
        <v>16.5</v>
      </c>
      <c r="E219" s="8" t="n">
        <v>0</v>
      </c>
      <c r="F219" s="8" t="n">
        <v>0</v>
      </c>
    </row>
    <row r="220" customFormat="false" ht="15" hidden="false" customHeight="true" outlineLevel="0" collapsed="false">
      <c r="A220" s="8" t="s">
        <v>199</v>
      </c>
      <c r="B220" s="8" t="s">
        <v>1216</v>
      </c>
      <c r="C220" s="8" t="n">
        <v>3</v>
      </c>
      <c r="D220" s="8" t="n">
        <v>49.5</v>
      </c>
      <c r="E220" s="8" t="n">
        <v>1</v>
      </c>
      <c r="F220" s="8" t="n">
        <v>16.5</v>
      </c>
    </row>
    <row r="221" customFormat="false" ht="15" hidden="false" customHeight="true" outlineLevel="0" collapsed="false">
      <c r="A221" s="8" t="s">
        <v>178</v>
      </c>
      <c r="B221" s="8" t="s">
        <v>1236</v>
      </c>
      <c r="C221" s="8" t="n">
        <v>1</v>
      </c>
      <c r="D221" s="8" t="n">
        <v>35</v>
      </c>
      <c r="E221" s="8" t="n">
        <v>0</v>
      </c>
      <c r="F221" s="8" t="n">
        <v>0</v>
      </c>
    </row>
    <row r="222" customFormat="false" ht="15" hidden="false" customHeight="true" outlineLevel="0" collapsed="false">
      <c r="A222" s="8" t="s">
        <v>176</v>
      </c>
      <c r="B222" s="8" t="s">
        <v>1236</v>
      </c>
      <c r="C222" s="8" t="n">
        <v>2</v>
      </c>
      <c r="D222" s="8" t="n">
        <v>70</v>
      </c>
      <c r="E222" s="8" t="n">
        <v>0</v>
      </c>
      <c r="F222" s="8" t="n">
        <v>0</v>
      </c>
    </row>
    <row r="223" customFormat="false" ht="15" hidden="false" customHeight="true" outlineLevel="0" collapsed="false">
      <c r="A223" s="8" t="s">
        <v>224</v>
      </c>
      <c r="B223" s="8" t="s">
        <v>1236</v>
      </c>
      <c r="C223" s="8" t="n">
        <v>1</v>
      </c>
      <c r="D223" s="8" t="n">
        <v>35</v>
      </c>
      <c r="E223" s="8" t="n">
        <v>1</v>
      </c>
      <c r="F223" s="8" t="n">
        <v>35</v>
      </c>
    </row>
    <row r="224" customFormat="false" ht="15" hidden="false" customHeight="true" outlineLevel="0" collapsed="false">
      <c r="A224" s="8" t="s">
        <v>182</v>
      </c>
      <c r="B224" s="8" t="s">
        <v>799</v>
      </c>
      <c r="C224" s="8" t="n">
        <v>3</v>
      </c>
      <c r="D224" s="8" t="n">
        <v>60</v>
      </c>
      <c r="E224" s="8" t="n">
        <v>3</v>
      </c>
      <c r="F224" s="8" t="n">
        <v>60</v>
      </c>
    </row>
    <row r="225" customFormat="false" ht="15" hidden="false" customHeight="true" outlineLevel="0" collapsed="false">
      <c r="A225" s="8" t="s">
        <v>220</v>
      </c>
      <c r="B225" s="8" t="s">
        <v>1248</v>
      </c>
      <c r="C225" s="8" t="n">
        <v>8</v>
      </c>
      <c r="D225" s="8" t="n">
        <v>83.2</v>
      </c>
      <c r="E225" s="8" t="n">
        <v>0</v>
      </c>
      <c r="F225" s="8" t="n">
        <v>0</v>
      </c>
    </row>
    <row r="226" customFormat="false" ht="15" hidden="false" customHeight="true" outlineLevel="0" collapsed="false">
      <c r="A226" s="8" t="s">
        <v>275</v>
      </c>
      <c r="B226" s="8" t="s">
        <v>1257</v>
      </c>
      <c r="C226" s="8" t="n">
        <v>1</v>
      </c>
      <c r="D226" s="8" t="n">
        <v>21.6</v>
      </c>
      <c r="E226" s="8" t="n">
        <v>1</v>
      </c>
      <c r="F226" s="8" t="n">
        <v>21.6</v>
      </c>
    </row>
    <row r="227" customFormat="false" ht="15" hidden="false" customHeight="true" outlineLevel="0" collapsed="false">
      <c r="A227" s="8" t="s">
        <v>343</v>
      </c>
      <c r="B227" s="8" t="s">
        <v>1258</v>
      </c>
      <c r="C227" s="8" t="n">
        <v>1</v>
      </c>
      <c r="D227" s="8" t="n">
        <v>94.1</v>
      </c>
      <c r="E227" s="8" t="n">
        <v>0</v>
      </c>
      <c r="F227" s="8" t="n">
        <v>0</v>
      </c>
    </row>
    <row r="228" customFormat="false" ht="15" hidden="false" customHeight="true" outlineLevel="0" collapsed="false">
      <c r="A228" s="8" t="s">
        <v>197</v>
      </c>
      <c r="B228" s="8" t="s">
        <v>1222</v>
      </c>
      <c r="C228" s="8" t="n">
        <v>1</v>
      </c>
      <c r="D228" s="8" t="n">
        <v>65</v>
      </c>
      <c r="E228" s="8" t="n">
        <v>1</v>
      </c>
      <c r="F228" s="8" t="n">
        <v>65</v>
      </c>
    </row>
    <row r="229" customFormat="false" ht="15" hidden="false" customHeight="true" outlineLevel="0" collapsed="false">
      <c r="A229" s="8" t="s">
        <v>253</v>
      </c>
      <c r="B229" s="8" t="s">
        <v>1222</v>
      </c>
      <c r="C229" s="8" t="n">
        <v>3</v>
      </c>
      <c r="D229" s="8" t="n">
        <v>195</v>
      </c>
      <c r="E229" s="8" t="n">
        <v>0</v>
      </c>
      <c r="F229" s="8" t="n">
        <v>0</v>
      </c>
    </row>
    <row r="230" customFormat="false" ht="15" hidden="false" customHeight="true" outlineLevel="0" collapsed="false">
      <c r="A230" s="8" t="s">
        <v>207</v>
      </c>
      <c r="B230" s="8" t="s">
        <v>1222</v>
      </c>
      <c r="C230" s="8" t="n">
        <v>2</v>
      </c>
      <c r="D230" s="8" t="n">
        <v>130</v>
      </c>
      <c r="E230" s="8" t="n">
        <v>2</v>
      </c>
      <c r="F230" s="8" t="n">
        <v>130</v>
      </c>
    </row>
    <row r="231" customFormat="false" ht="15" hidden="false" customHeight="true" outlineLevel="0" collapsed="false">
      <c r="A231" s="8" t="s">
        <v>163</v>
      </c>
      <c r="B231" s="8" t="s">
        <v>897</v>
      </c>
      <c r="C231" s="8" t="n">
        <v>2</v>
      </c>
      <c r="D231" s="8" t="n">
        <v>130</v>
      </c>
      <c r="E231" s="8" t="n">
        <v>0</v>
      </c>
      <c r="F231" s="8" t="n">
        <v>0</v>
      </c>
    </row>
    <row r="232" customFormat="false" ht="15" hidden="false" customHeight="true" outlineLevel="0" collapsed="false">
      <c r="A232" s="8" t="s">
        <v>181</v>
      </c>
      <c r="B232" s="8" t="s">
        <v>897</v>
      </c>
      <c r="C232" s="8" t="n">
        <v>1</v>
      </c>
      <c r="D232" s="8" t="n">
        <v>65</v>
      </c>
      <c r="E232" s="8" t="n">
        <v>0</v>
      </c>
      <c r="F232" s="8" t="n">
        <v>0</v>
      </c>
    </row>
    <row r="233" customFormat="false" ht="15" hidden="false" customHeight="true" outlineLevel="0" collapsed="false">
      <c r="A233" s="8" t="s">
        <v>165</v>
      </c>
      <c r="B233" s="8" t="s">
        <v>897</v>
      </c>
      <c r="C233" s="8" t="n">
        <v>8</v>
      </c>
      <c r="D233" s="8" t="n">
        <v>520</v>
      </c>
      <c r="E233" s="8" t="n">
        <v>0</v>
      </c>
      <c r="F233" s="8" t="n">
        <v>0</v>
      </c>
    </row>
    <row r="234" customFormat="false" ht="15" hidden="false" customHeight="true" outlineLevel="0" collapsed="false">
      <c r="A234" s="8" t="s">
        <v>208</v>
      </c>
      <c r="B234" s="8" t="s">
        <v>1179</v>
      </c>
      <c r="C234" s="8" t="n">
        <v>3</v>
      </c>
      <c r="D234" s="8" t="n">
        <v>217.02</v>
      </c>
      <c r="E234" s="8" t="n">
        <v>0</v>
      </c>
      <c r="F234" s="8" t="n">
        <v>0</v>
      </c>
    </row>
    <row r="235" customFormat="false" ht="15" hidden="false" customHeight="true" outlineLevel="0" collapsed="false">
      <c r="A235" s="8" t="s">
        <v>191</v>
      </c>
      <c r="B235" s="8" t="s">
        <v>1179</v>
      </c>
      <c r="C235" s="8" t="n">
        <v>4</v>
      </c>
      <c r="D235" s="8" t="n">
        <v>289.36</v>
      </c>
      <c r="E235" s="8" t="n">
        <v>0</v>
      </c>
      <c r="F235" s="8" t="n">
        <v>0</v>
      </c>
    </row>
    <row r="236" customFormat="false" ht="15" hidden="false" customHeight="true" outlineLevel="0" collapsed="false">
      <c r="A236" s="8" t="s">
        <v>236</v>
      </c>
      <c r="B236" s="8" t="s">
        <v>1223</v>
      </c>
      <c r="C236" s="8" t="n">
        <v>1</v>
      </c>
      <c r="D236" s="8" t="n">
        <v>77.8</v>
      </c>
      <c r="E236" s="8" t="n">
        <v>0</v>
      </c>
      <c r="F236" s="8" t="n">
        <v>0</v>
      </c>
    </row>
    <row r="237" customFormat="false" ht="15" hidden="false" customHeight="true" outlineLevel="0" collapsed="false">
      <c r="A237" s="8" t="s">
        <v>190</v>
      </c>
      <c r="B237" s="8" t="s">
        <v>1224</v>
      </c>
      <c r="C237" s="8" t="n">
        <v>3</v>
      </c>
      <c r="D237" s="8" t="n">
        <v>73.29</v>
      </c>
      <c r="E237" s="8" t="n">
        <v>0</v>
      </c>
      <c r="F237" s="8" t="n">
        <v>0</v>
      </c>
    </row>
    <row r="238" customFormat="false" ht="15" hidden="false" customHeight="true" outlineLevel="0" collapsed="false">
      <c r="A238" s="8" t="s">
        <v>183</v>
      </c>
      <c r="B238" s="8" t="s">
        <v>1224</v>
      </c>
      <c r="C238" s="8" t="n">
        <v>6</v>
      </c>
      <c r="D238" s="8" t="n">
        <v>146.58</v>
      </c>
      <c r="E238" s="8" t="n">
        <v>0</v>
      </c>
      <c r="F238" s="8" t="n">
        <v>0</v>
      </c>
    </row>
    <row r="239" customFormat="false" ht="15" hidden="false" customHeight="true" outlineLevel="0" collapsed="false">
      <c r="A239" s="8" t="s">
        <v>218</v>
      </c>
      <c r="B239" s="8" t="s">
        <v>1224</v>
      </c>
      <c r="C239" s="8" t="n">
        <v>2</v>
      </c>
      <c r="D239" s="8" t="n">
        <v>48.86</v>
      </c>
      <c r="E239" s="8" t="n">
        <v>0</v>
      </c>
      <c r="F239" s="8" t="n">
        <v>0</v>
      </c>
    </row>
    <row r="240" customFormat="false" ht="15" hidden="false" customHeight="true" outlineLevel="0" collapsed="false">
      <c r="A240" s="8" t="s">
        <v>161</v>
      </c>
      <c r="B240" s="8" t="s">
        <v>1208</v>
      </c>
      <c r="C240" s="8" t="n">
        <v>11</v>
      </c>
      <c r="D240" s="8" t="n">
        <v>500.5</v>
      </c>
      <c r="E240" s="8" t="n">
        <v>2</v>
      </c>
      <c r="F240" s="8" t="n">
        <v>91</v>
      </c>
    </row>
    <row r="241" customFormat="false" ht="15" hidden="false" customHeight="true" outlineLevel="0" collapsed="false">
      <c r="A241" s="8" t="s">
        <v>162</v>
      </c>
      <c r="B241" s="8" t="s">
        <v>1209</v>
      </c>
      <c r="C241" s="8" t="n">
        <v>4</v>
      </c>
      <c r="D241" s="8" t="n">
        <v>311.2</v>
      </c>
      <c r="E241" s="8" t="n">
        <v>0</v>
      </c>
      <c r="F241" s="8" t="n">
        <v>0</v>
      </c>
    </row>
    <row r="242" customFormat="false" ht="15" hidden="false" customHeight="true" outlineLevel="0" collapsed="false">
      <c r="A242" s="8" t="s">
        <v>166</v>
      </c>
      <c r="B242" s="8" t="s">
        <v>1211</v>
      </c>
      <c r="C242" s="8" t="n">
        <v>2</v>
      </c>
      <c r="D242" s="8" t="n">
        <v>126.54</v>
      </c>
      <c r="E242" s="8" t="n">
        <v>0</v>
      </c>
      <c r="F242" s="8" t="n">
        <v>0</v>
      </c>
    </row>
    <row r="243" customFormat="false" ht="15" hidden="false" customHeight="true" outlineLevel="0" collapsed="false">
      <c r="A243" s="8" t="s">
        <v>164</v>
      </c>
      <c r="B243" s="8" t="s">
        <v>1211</v>
      </c>
      <c r="C243" s="8" t="n">
        <v>3</v>
      </c>
      <c r="D243" s="8" t="n">
        <v>189.81</v>
      </c>
      <c r="E243" s="8" t="n">
        <v>0</v>
      </c>
      <c r="F243" s="8" t="n">
        <v>0</v>
      </c>
    </row>
    <row r="244" customFormat="false" ht="15" hidden="false" customHeight="true" outlineLevel="0" collapsed="false">
      <c r="A244" s="8" t="s">
        <v>187</v>
      </c>
      <c r="B244" s="8" t="s">
        <v>1211</v>
      </c>
      <c r="C244" s="8" t="n">
        <v>2</v>
      </c>
      <c r="D244" s="8" t="n">
        <v>126.54</v>
      </c>
      <c r="E244" s="8" t="n">
        <v>0</v>
      </c>
      <c r="F244" s="8" t="n">
        <v>0</v>
      </c>
    </row>
    <row r="245" customFormat="false" ht="15" hidden="false" customHeight="true" outlineLevel="0" collapsed="false">
      <c r="A245" s="8" t="s">
        <v>270</v>
      </c>
      <c r="B245" s="8" t="s">
        <v>1251</v>
      </c>
      <c r="C245" s="8" t="n">
        <v>8</v>
      </c>
      <c r="D245" s="8" t="n">
        <v>78.56</v>
      </c>
      <c r="E245" s="8" t="n">
        <v>0</v>
      </c>
      <c r="F245" s="8" t="n">
        <v>0</v>
      </c>
    </row>
    <row r="246" customFormat="false" ht="15" hidden="false" customHeight="true" outlineLevel="0" collapsed="false">
      <c r="A246" s="8" t="s">
        <v>263</v>
      </c>
      <c r="B246" s="8" t="s">
        <v>407</v>
      </c>
      <c r="C246" s="8" t="n">
        <v>2</v>
      </c>
      <c r="D246" s="8" t="n">
        <v>25.64</v>
      </c>
      <c r="E246" s="8" t="n">
        <v>0</v>
      </c>
      <c r="F246" s="8" t="n">
        <v>0</v>
      </c>
    </row>
    <row r="247" customFormat="false" ht="15" hidden="false" customHeight="true" outlineLevel="0" collapsed="false">
      <c r="A247" s="8" t="s">
        <v>188</v>
      </c>
      <c r="B247" s="8" t="s">
        <v>1225</v>
      </c>
      <c r="C247" s="8" t="n">
        <v>7</v>
      </c>
      <c r="D247" s="8" t="n">
        <v>202.51</v>
      </c>
      <c r="E247" s="8" t="n">
        <v>0</v>
      </c>
      <c r="F247" s="8" t="n">
        <v>0</v>
      </c>
    </row>
    <row r="248" customFormat="false" ht="15" hidden="false" customHeight="true" outlineLevel="0" collapsed="false">
      <c r="A248" s="8" t="s">
        <v>239</v>
      </c>
      <c r="B248" s="8" t="s">
        <v>1225</v>
      </c>
      <c r="C248" s="8" t="n">
        <v>2</v>
      </c>
      <c r="D248" s="8" t="n">
        <v>57.86</v>
      </c>
      <c r="E248" s="8" t="n">
        <v>0</v>
      </c>
      <c r="F248" s="8" t="n">
        <v>0</v>
      </c>
    </row>
    <row r="249" customFormat="false" ht="15" hidden="false" customHeight="true" outlineLevel="0" collapsed="false">
      <c r="A249" s="8" t="s">
        <v>278</v>
      </c>
      <c r="B249" s="8" t="s">
        <v>1225</v>
      </c>
      <c r="C249" s="8" t="n">
        <v>7</v>
      </c>
      <c r="D249" s="8" t="n">
        <v>202.51</v>
      </c>
      <c r="E249" s="8" t="n">
        <v>0</v>
      </c>
      <c r="F249" s="8" t="n">
        <v>0</v>
      </c>
    </row>
    <row r="250" customFormat="false" ht="15" hidden="false" customHeight="true" outlineLevel="0" collapsed="false">
      <c r="A250" s="8" t="s">
        <v>201</v>
      </c>
      <c r="B250" s="8" t="s">
        <v>1226</v>
      </c>
      <c r="C250" s="8" t="n">
        <v>0</v>
      </c>
      <c r="D250" s="8" t="n">
        <v>0</v>
      </c>
      <c r="E250" s="8" t="n">
        <v>1</v>
      </c>
      <c r="F250" s="8" t="n">
        <v>42.17</v>
      </c>
    </row>
    <row r="251" customFormat="false" ht="15" hidden="false" customHeight="true" outlineLevel="0" collapsed="false">
      <c r="A251" s="8" t="s">
        <v>214</v>
      </c>
      <c r="B251" s="8" t="s">
        <v>1226</v>
      </c>
      <c r="C251" s="8" t="n">
        <v>3</v>
      </c>
      <c r="D251" s="8" t="n">
        <v>126.51</v>
      </c>
      <c r="E251" s="8" t="n">
        <v>0</v>
      </c>
      <c r="F251" s="8" t="n">
        <v>0</v>
      </c>
    </row>
    <row r="252" customFormat="false" ht="15" hidden="false" customHeight="true" outlineLevel="0" collapsed="false">
      <c r="A252" s="8" t="s">
        <v>241</v>
      </c>
      <c r="B252" s="8" t="s">
        <v>1227</v>
      </c>
      <c r="C252" s="8" t="n">
        <v>5</v>
      </c>
      <c r="D252" s="8" t="n">
        <v>85</v>
      </c>
      <c r="E252" s="8" t="n">
        <v>0</v>
      </c>
      <c r="F252" s="8" t="n">
        <v>0</v>
      </c>
    </row>
    <row r="253" customFormat="false" ht="15" hidden="false" customHeight="true" outlineLevel="0" collapsed="false">
      <c r="A253" s="8" t="s">
        <v>219</v>
      </c>
      <c r="B253" s="8" t="s">
        <v>1227</v>
      </c>
      <c r="C253" s="8" t="n">
        <v>15</v>
      </c>
      <c r="D253" s="8" t="n">
        <v>255</v>
      </c>
      <c r="E253" s="8" t="n">
        <v>2</v>
      </c>
      <c r="F253" s="8" t="n">
        <v>34</v>
      </c>
    </row>
    <row r="254" customFormat="false" ht="15" hidden="false" customHeight="true" outlineLevel="0" collapsed="false">
      <c r="A254" s="8" t="s">
        <v>223</v>
      </c>
      <c r="B254" s="8" t="s">
        <v>1227</v>
      </c>
      <c r="C254" s="8" t="n">
        <v>3</v>
      </c>
      <c r="D254" s="8" t="n">
        <v>51</v>
      </c>
      <c r="E254" s="8" t="n">
        <v>0</v>
      </c>
      <c r="F254" s="8" t="n">
        <v>0</v>
      </c>
    </row>
    <row r="255" customFormat="false" ht="15" hidden="false" customHeight="true" outlineLevel="0" collapsed="false">
      <c r="A255" s="8" t="s">
        <v>287</v>
      </c>
      <c r="B255" s="8" t="s">
        <v>1227</v>
      </c>
      <c r="C255" s="8" t="n">
        <v>2</v>
      </c>
      <c r="D255" s="8" t="n">
        <v>34</v>
      </c>
      <c r="E255" s="8" t="n">
        <v>0</v>
      </c>
      <c r="F255" s="8" t="n">
        <v>0</v>
      </c>
    </row>
    <row r="256" customFormat="false" ht="15" hidden="false" customHeight="true" outlineLevel="0" collapsed="false">
      <c r="A256" s="8" t="s">
        <v>229</v>
      </c>
      <c r="B256" s="8" t="s">
        <v>881</v>
      </c>
      <c r="C256" s="8" t="n">
        <v>1</v>
      </c>
      <c r="D256" s="8" t="n">
        <v>41.2</v>
      </c>
      <c r="E256" s="8" t="n">
        <v>2</v>
      </c>
      <c r="F256" s="8" t="n">
        <v>82.4</v>
      </c>
    </row>
    <row r="257" customFormat="false" ht="15" hidden="false" customHeight="true" outlineLevel="0" collapsed="false">
      <c r="A257" s="8" t="s">
        <v>237</v>
      </c>
      <c r="B257" s="8" t="s">
        <v>1259</v>
      </c>
      <c r="C257" s="8" t="n">
        <v>2</v>
      </c>
      <c r="D257" s="8" t="n">
        <v>36.9</v>
      </c>
      <c r="E257" s="8" t="n">
        <v>0</v>
      </c>
      <c r="F257" s="8" t="n">
        <v>0</v>
      </c>
    </row>
    <row r="258" customFormat="false" ht="15" hidden="false" customHeight="true" outlineLevel="0" collapsed="false">
      <c r="A258" s="8" t="s">
        <v>271</v>
      </c>
      <c r="B258" s="8" t="s">
        <v>1260</v>
      </c>
      <c r="C258" s="8" t="n">
        <v>2</v>
      </c>
      <c r="D258" s="8" t="n">
        <v>46.8</v>
      </c>
      <c r="E258" s="8" t="n">
        <v>1</v>
      </c>
      <c r="F258" s="8" t="n">
        <v>23.4</v>
      </c>
    </row>
    <row r="259" customFormat="false" ht="15" hidden="false" customHeight="true" outlineLevel="0" collapsed="false">
      <c r="A259" s="8" t="s">
        <v>266</v>
      </c>
      <c r="B259" s="8" t="s">
        <v>1228</v>
      </c>
      <c r="C259" s="8" t="n">
        <v>7</v>
      </c>
      <c r="D259" s="8" t="n">
        <v>139.44</v>
      </c>
      <c r="E259" s="8" t="n">
        <v>2</v>
      </c>
      <c r="F259" s="8" t="n">
        <v>39.84</v>
      </c>
    </row>
    <row r="260" customFormat="false" ht="15" hidden="false" customHeight="true" outlineLevel="0" collapsed="false">
      <c r="A260" s="8" t="s">
        <v>246</v>
      </c>
      <c r="B260" s="8" t="s">
        <v>1261</v>
      </c>
      <c r="C260" s="8" t="n">
        <v>1</v>
      </c>
      <c r="D260" s="8" t="n">
        <v>17.35</v>
      </c>
      <c r="E260" s="8" t="n">
        <v>0</v>
      </c>
      <c r="F260" s="8" t="n">
        <v>0</v>
      </c>
    </row>
    <row r="261" customFormat="false" ht="15" hidden="false" customHeight="true" outlineLevel="0" collapsed="false">
      <c r="A261" s="8" t="s">
        <v>202</v>
      </c>
      <c r="B261" s="8" t="s">
        <v>1212</v>
      </c>
      <c r="C261" s="8" t="n">
        <v>8</v>
      </c>
      <c r="D261" s="8" t="n">
        <v>76</v>
      </c>
      <c r="E261" s="8" t="n">
        <v>2</v>
      </c>
      <c r="F261" s="8" t="n">
        <v>19</v>
      </c>
    </row>
    <row r="262" customFormat="false" ht="15" hidden="false" customHeight="true" outlineLevel="0" collapsed="false">
      <c r="A262" s="8" t="s">
        <v>244</v>
      </c>
      <c r="B262" s="8" t="s">
        <v>1213</v>
      </c>
      <c r="C262" s="8" t="n">
        <v>5</v>
      </c>
      <c r="D262" s="8" t="n">
        <v>47.5</v>
      </c>
      <c r="E262" s="8" t="n">
        <v>0</v>
      </c>
      <c r="F262" s="8" t="n">
        <v>0</v>
      </c>
    </row>
    <row r="263" customFormat="false" ht="15" hidden="false" customHeight="true" outlineLevel="0" collapsed="false">
      <c r="A263" s="8" t="s">
        <v>243</v>
      </c>
      <c r="B263" s="8" t="s">
        <v>1253</v>
      </c>
      <c r="C263" s="8" t="n">
        <v>3</v>
      </c>
      <c r="D263" s="8" t="n">
        <v>38.85</v>
      </c>
      <c r="E263" s="8" t="n">
        <v>0</v>
      </c>
      <c r="F263" s="8" t="n">
        <v>0</v>
      </c>
    </row>
    <row r="264" customFormat="false" ht="15" hidden="false" customHeight="true" outlineLevel="0" collapsed="false">
      <c r="A264" s="8" t="s">
        <v>251</v>
      </c>
      <c r="B264" s="8" t="s">
        <v>1262</v>
      </c>
      <c r="C264" s="8" t="n">
        <v>3</v>
      </c>
      <c r="D264" s="8" t="n">
        <v>29.13</v>
      </c>
      <c r="E264" s="8" t="n">
        <v>0</v>
      </c>
      <c r="F264" s="8" t="n">
        <v>0</v>
      </c>
    </row>
    <row r="265" customFormat="false" ht="15" hidden="false" customHeight="true" outlineLevel="0" collapsed="false">
      <c r="A265" s="8" t="s">
        <v>308</v>
      </c>
      <c r="B265" s="8" t="s">
        <v>1229</v>
      </c>
      <c r="C265" s="8" t="n">
        <v>5</v>
      </c>
      <c r="D265" s="8" t="n">
        <v>40.4</v>
      </c>
      <c r="E265" s="8" t="n">
        <v>0</v>
      </c>
      <c r="F265" s="8" t="n">
        <v>0</v>
      </c>
    </row>
    <row r="266" customFormat="false" ht="15" hidden="false" customHeight="true" outlineLevel="0" collapsed="false">
      <c r="A266" s="8" t="s">
        <v>172</v>
      </c>
      <c r="B266" s="8" t="s">
        <v>1214</v>
      </c>
      <c r="C266" s="8" t="n">
        <v>0</v>
      </c>
      <c r="D266" s="8" t="n">
        <v>0</v>
      </c>
      <c r="E266" s="8" t="n">
        <v>6</v>
      </c>
      <c r="F266" s="8" t="n">
        <v>73.08</v>
      </c>
    </row>
    <row r="267" customFormat="false" ht="15" hidden="false" customHeight="true" outlineLevel="0" collapsed="false">
      <c r="A267" s="8" t="s">
        <v>261</v>
      </c>
      <c r="B267" s="8" t="s">
        <v>1215</v>
      </c>
      <c r="C267" s="8" t="n">
        <v>2</v>
      </c>
      <c r="D267" s="8" t="n">
        <v>42.42</v>
      </c>
      <c r="E267" s="8" t="n">
        <v>2</v>
      </c>
      <c r="F267" s="8" t="n">
        <v>42.42</v>
      </c>
    </row>
    <row r="268" customFormat="false" ht="15" hidden="false" customHeight="true" outlineLevel="0" collapsed="false">
      <c r="A268" s="8" t="s">
        <v>213</v>
      </c>
      <c r="B268" s="8" t="s">
        <v>1232</v>
      </c>
      <c r="C268" s="8" t="n">
        <v>4</v>
      </c>
      <c r="D268" s="8" t="n">
        <v>110.2</v>
      </c>
      <c r="E268" s="8" t="n">
        <v>0</v>
      </c>
      <c r="F268" s="8" t="n">
        <v>0</v>
      </c>
    </row>
    <row r="269" customFormat="false" ht="15" hidden="false" customHeight="true" outlineLevel="0" collapsed="false">
      <c r="A269" s="8" t="s">
        <v>232</v>
      </c>
      <c r="B269" s="8" t="s">
        <v>1233</v>
      </c>
      <c r="C269" s="8" t="n">
        <v>17</v>
      </c>
      <c r="D269" s="8" t="n">
        <v>275.4</v>
      </c>
      <c r="E269" s="8" t="n">
        <v>2</v>
      </c>
      <c r="F269" s="8" t="n">
        <v>32.4</v>
      </c>
    </row>
    <row r="270" customFormat="false" ht="15" hidden="false" customHeight="true" outlineLevel="0" collapsed="false">
      <c r="A270" s="8" t="s">
        <v>215</v>
      </c>
      <c r="B270" s="8" t="s">
        <v>1233</v>
      </c>
      <c r="C270" s="8" t="n">
        <v>2</v>
      </c>
      <c r="D270" s="8" t="n">
        <v>35.64</v>
      </c>
      <c r="E270" s="8" t="n">
        <v>0</v>
      </c>
      <c r="F270" s="8" t="n">
        <v>0</v>
      </c>
    </row>
    <row r="271" customFormat="false" ht="15" hidden="false" customHeight="true" outlineLevel="0" collapsed="false">
      <c r="A271" s="8" t="s">
        <v>299</v>
      </c>
      <c r="B271" s="8" t="s">
        <v>1263</v>
      </c>
      <c r="C271" s="8" t="n">
        <v>1</v>
      </c>
      <c r="D271" s="8" t="n">
        <v>53.53</v>
      </c>
      <c r="E271" s="8" t="n">
        <v>0</v>
      </c>
      <c r="F271" s="8" t="n">
        <v>0</v>
      </c>
    </row>
    <row r="272" customFormat="false" ht="15" hidden="false" customHeight="true" outlineLevel="0" collapsed="false">
      <c r="A272" s="8" t="s">
        <v>331</v>
      </c>
      <c r="B272" s="8" t="s">
        <v>1255</v>
      </c>
      <c r="C272" s="8" t="n">
        <v>3</v>
      </c>
      <c r="D272" s="8" t="n">
        <v>70.8</v>
      </c>
      <c r="E272" s="8" t="n">
        <v>0</v>
      </c>
      <c r="F272" s="8" t="n">
        <v>0</v>
      </c>
    </row>
    <row r="273" customFormat="false" ht="15" hidden="false" customHeight="true" outlineLevel="0" collapsed="false">
      <c r="A273" s="8" t="s">
        <v>321</v>
      </c>
      <c r="B273" s="8" t="s">
        <v>1256</v>
      </c>
      <c r="C273" s="8" t="n">
        <v>4</v>
      </c>
      <c r="D273" s="8" t="n">
        <v>94.4</v>
      </c>
      <c r="E273" s="8" t="n">
        <v>0</v>
      </c>
      <c r="F273" s="8" t="n">
        <v>0</v>
      </c>
    </row>
    <row r="274" customFormat="false" ht="15" hidden="false" customHeight="true" outlineLevel="0" collapsed="false">
      <c r="A274" s="8" t="s">
        <v>318</v>
      </c>
      <c r="B274" s="8" t="s">
        <v>1256</v>
      </c>
      <c r="C274" s="8" t="n">
        <v>14</v>
      </c>
      <c r="D274" s="8" t="n">
        <v>330.4</v>
      </c>
      <c r="E274" s="8" t="n">
        <v>0</v>
      </c>
      <c r="F274" s="8" t="n">
        <v>0</v>
      </c>
    </row>
    <row r="275" customFormat="false" ht="15" hidden="false" customHeight="true" outlineLevel="0" collapsed="false">
      <c r="A275" s="8" t="s">
        <v>285</v>
      </c>
      <c r="B275" s="8" t="s">
        <v>1237</v>
      </c>
      <c r="C275" s="8" t="n">
        <v>5</v>
      </c>
      <c r="D275" s="8" t="n">
        <v>92</v>
      </c>
      <c r="E275" s="8" t="n">
        <v>0</v>
      </c>
      <c r="F275" s="8" t="n">
        <v>0</v>
      </c>
    </row>
    <row r="276" customFormat="false" ht="15" hidden="false" customHeight="true" outlineLevel="0" collapsed="false">
      <c r="A276" s="8" t="s">
        <v>225</v>
      </c>
      <c r="B276" s="8" t="s">
        <v>1237</v>
      </c>
      <c r="C276" s="8" t="n">
        <v>16</v>
      </c>
      <c r="D276" s="8" t="n">
        <v>294.4</v>
      </c>
      <c r="E276" s="8" t="n">
        <v>0</v>
      </c>
      <c r="F276" s="8" t="n">
        <v>0</v>
      </c>
    </row>
    <row r="277" customFormat="false" ht="15" hidden="false" customHeight="true" outlineLevel="0" collapsed="false">
      <c r="A277" s="8" t="s">
        <v>322</v>
      </c>
      <c r="B277" s="8" t="s">
        <v>1264</v>
      </c>
      <c r="C277" s="8" t="n">
        <v>6</v>
      </c>
      <c r="D277" s="8" t="n">
        <v>110.4</v>
      </c>
      <c r="E277" s="8" t="n">
        <v>0</v>
      </c>
      <c r="F277" s="8" t="n">
        <v>0</v>
      </c>
    </row>
    <row r="278" customFormat="false" ht="15" hidden="false" customHeight="true" outlineLevel="0" collapsed="false">
      <c r="A278" s="8" t="s">
        <v>192</v>
      </c>
      <c r="B278" s="8" t="s">
        <v>1240</v>
      </c>
      <c r="C278" s="8" t="n">
        <v>7</v>
      </c>
      <c r="D278" s="8" t="n">
        <v>292.67</v>
      </c>
      <c r="E278" s="8" t="n">
        <v>0</v>
      </c>
      <c r="F278" s="8" t="n">
        <v>0</v>
      </c>
    </row>
    <row r="279" customFormat="false" ht="15" hidden="false" customHeight="true" outlineLevel="0" collapsed="false">
      <c r="A279" s="8" t="s">
        <v>168</v>
      </c>
      <c r="B279" s="8" t="s">
        <v>1240</v>
      </c>
      <c r="C279" s="8" t="n">
        <v>10</v>
      </c>
      <c r="D279" s="8" t="n">
        <v>418.1</v>
      </c>
      <c r="E279" s="8" t="n">
        <v>0</v>
      </c>
      <c r="F279" s="8" t="n">
        <v>0</v>
      </c>
    </row>
    <row r="280" customFormat="false" ht="15" hidden="false" customHeight="true" outlineLevel="0" collapsed="false">
      <c r="A280" s="8" t="s">
        <v>169</v>
      </c>
      <c r="B280" s="8" t="s">
        <v>1240</v>
      </c>
      <c r="C280" s="8" t="n">
        <v>11</v>
      </c>
      <c r="D280" s="8" t="n">
        <v>459.91</v>
      </c>
      <c r="E280" s="8" t="n">
        <v>0</v>
      </c>
      <c r="F280" s="8" t="n">
        <v>0</v>
      </c>
    </row>
    <row r="281" customFormat="false" ht="15" hidden="false" customHeight="true" outlineLevel="0" collapsed="false">
      <c r="A281" s="8" t="s">
        <v>268</v>
      </c>
      <c r="B281" s="8" t="s">
        <v>1234</v>
      </c>
      <c r="C281" s="8" t="n">
        <v>1</v>
      </c>
      <c r="D281" s="8" t="n">
        <v>35.67</v>
      </c>
      <c r="E281" s="8" t="n">
        <v>1</v>
      </c>
      <c r="F281" s="8" t="n">
        <v>35.67</v>
      </c>
    </row>
    <row r="282" customFormat="false" ht="15" hidden="false" customHeight="true" outlineLevel="0" collapsed="false">
      <c r="A282" s="8" t="s">
        <v>209</v>
      </c>
      <c r="B282" s="8" t="s">
        <v>1245</v>
      </c>
      <c r="C282" s="8" t="n">
        <v>3</v>
      </c>
      <c r="D282" s="8" t="n">
        <v>194.67</v>
      </c>
      <c r="E282" s="8" t="n">
        <v>0</v>
      </c>
      <c r="F282" s="8" t="n">
        <v>0</v>
      </c>
    </row>
    <row r="283" customFormat="false" ht="15" hidden="false" customHeight="true" outlineLevel="0" collapsed="false">
      <c r="A283" s="8" t="s">
        <v>180</v>
      </c>
      <c r="B283" s="8" t="s">
        <v>1216</v>
      </c>
      <c r="C283" s="8" t="n">
        <v>5</v>
      </c>
      <c r="D283" s="8" t="n">
        <v>82.5</v>
      </c>
      <c r="E283" s="8" t="n">
        <v>0</v>
      </c>
      <c r="F283" s="8" t="n">
        <v>0</v>
      </c>
    </row>
    <row r="284" customFormat="false" ht="15" hidden="false" customHeight="true" outlineLevel="0" collapsed="false">
      <c r="A284" s="8" t="s">
        <v>189</v>
      </c>
      <c r="B284" s="8" t="s">
        <v>1216</v>
      </c>
      <c r="C284" s="8" t="n">
        <v>10</v>
      </c>
      <c r="D284" s="8" t="n">
        <v>165</v>
      </c>
      <c r="E284" s="8" t="n">
        <v>0</v>
      </c>
      <c r="F284" s="8" t="n">
        <v>0</v>
      </c>
    </row>
    <row r="285" customFormat="false" ht="15" hidden="false" customHeight="true" outlineLevel="0" collapsed="false">
      <c r="A285" s="8" t="s">
        <v>267</v>
      </c>
      <c r="B285" s="8" t="s">
        <v>1216</v>
      </c>
      <c r="C285" s="8" t="n">
        <v>7</v>
      </c>
      <c r="D285" s="8" t="n">
        <v>115.5</v>
      </c>
      <c r="E285" s="8" t="n">
        <v>0</v>
      </c>
      <c r="F285" s="8" t="n">
        <v>0</v>
      </c>
    </row>
    <row r="286" customFormat="false" ht="15" hidden="false" customHeight="true" outlineLevel="0" collapsed="false">
      <c r="A286" s="8" t="s">
        <v>199</v>
      </c>
      <c r="B286" s="8" t="s">
        <v>1216</v>
      </c>
      <c r="C286" s="8" t="n">
        <v>5</v>
      </c>
      <c r="D286" s="8" t="n">
        <v>82.5</v>
      </c>
      <c r="E286" s="8" t="n">
        <v>2</v>
      </c>
      <c r="F286" s="8" t="n">
        <v>33</v>
      </c>
    </row>
    <row r="287" customFormat="false" ht="15" hidden="false" customHeight="true" outlineLevel="0" collapsed="false">
      <c r="A287" s="8" t="s">
        <v>250</v>
      </c>
      <c r="B287" s="8" t="s">
        <v>1216</v>
      </c>
      <c r="C287" s="8" t="n">
        <v>8</v>
      </c>
      <c r="D287" s="8" t="n">
        <v>132</v>
      </c>
      <c r="E287" s="8" t="n">
        <v>0</v>
      </c>
      <c r="F287" s="8" t="n">
        <v>0</v>
      </c>
    </row>
    <row r="288" customFormat="false" ht="15" hidden="false" customHeight="true" outlineLevel="0" collapsed="false">
      <c r="A288" s="8" t="s">
        <v>198</v>
      </c>
      <c r="B288" s="8" t="s">
        <v>1217</v>
      </c>
      <c r="C288" s="8" t="n">
        <v>2</v>
      </c>
      <c r="D288" s="8" t="n">
        <v>41</v>
      </c>
      <c r="E288" s="8" t="n">
        <v>0</v>
      </c>
      <c r="F288" s="8" t="n">
        <v>0</v>
      </c>
    </row>
    <row r="289" customFormat="false" ht="15" hidden="false" customHeight="true" outlineLevel="0" collapsed="false">
      <c r="A289" s="8" t="s">
        <v>193</v>
      </c>
      <c r="B289" s="8" t="s">
        <v>1217</v>
      </c>
      <c r="C289" s="8" t="n">
        <v>2</v>
      </c>
      <c r="D289" s="8" t="n">
        <v>41</v>
      </c>
      <c r="E289" s="8" t="n">
        <v>0</v>
      </c>
      <c r="F289" s="8" t="n">
        <v>0</v>
      </c>
    </row>
    <row r="290" customFormat="false" ht="15" hidden="false" customHeight="true" outlineLevel="0" collapsed="false">
      <c r="A290" s="8" t="s">
        <v>205</v>
      </c>
      <c r="B290" s="8" t="s">
        <v>1217</v>
      </c>
      <c r="C290" s="8" t="n">
        <v>1</v>
      </c>
      <c r="D290" s="8" t="n">
        <v>20.5</v>
      </c>
      <c r="E290" s="8" t="n">
        <v>2</v>
      </c>
      <c r="F290" s="8" t="n">
        <v>41</v>
      </c>
    </row>
    <row r="291" customFormat="false" ht="15" hidden="false" customHeight="true" outlineLevel="0" collapsed="false">
      <c r="A291" s="8" t="s">
        <v>256</v>
      </c>
      <c r="B291" s="8" t="s">
        <v>1217</v>
      </c>
      <c r="C291" s="8" t="n">
        <v>1</v>
      </c>
      <c r="D291" s="8" t="n">
        <v>20.5</v>
      </c>
      <c r="E291" s="8" t="n">
        <v>0</v>
      </c>
      <c r="F291" s="8" t="n">
        <v>0</v>
      </c>
    </row>
    <row r="292" customFormat="false" ht="15" hidden="false" customHeight="true" outlineLevel="0" collapsed="false">
      <c r="A292" s="8" t="s">
        <v>254</v>
      </c>
      <c r="B292" s="8" t="s">
        <v>1265</v>
      </c>
      <c r="C292" s="8" t="n">
        <v>1</v>
      </c>
      <c r="D292" s="8" t="n">
        <v>126.57</v>
      </c>
      <c r="E292" s="8" t="n">
        <v>0</v>
      </c>
      <c r="F292" s="8" t="n">
        <v>0</v>
      </c>
    </row>
    <row r="293" customFormat="false" ht="15" hidden="false" customHeight="true" outlineLevel="0" collapsed="false">
      <c r="A293" s="8" t="s">
        <v>178</v>
      </c>
      <c r="B293" s="8" t="s">
        <v>1236</v>
      </c>
      <c r="C293" s="8" t="n">
        <v>8</v>
      </c>
      <c r="D293" s="8" t="n">
        <v>280</v>
      </c>
      <c r="E293" s="8" t="n">
        <v>0</v>
      </c>
      <c r="F293" s="8" t="n">
        <v>0</v>
      </c>
    </row>
    <row r="294" customFormat="false" ht="15" hidden="false" customHeight="true" outlineLevel="0" collapsed="false">
      <c r="A294" s="8" t="s">
        <v>176</v>
      </c>
      <c r="B294" s="8" t="s">
        <v>1236</v>
      </c>
      <c r="C294" s="8" t="n">
        <v>9</v>
      </c>
      <c r="D294" s="8" t="n">
        <v>315</v>
      </c>
      <c r="E294" s="8" t="n">
        <v>2</v>
      </c>
      <c r="F294" s="8" t="n">
        <v>70</v>
      </c>
    </row>
    <row r="295" customFormat="false" ht="15" hidden="false" customHeight="true" outlineLevel="0" collapsed="false">
      <c r="A295" s="8" t="s">
        <v>235</v>
      </c>
      <c r="B295" s="8" t="s">
        <v>1236</v>
      </c>
      <c r="C295" s="8" t="n">
        <v>4</v>
      </c>
      <c r="D295" s="8" t="n">
        <v>140</v>
      </c>
      <c r="E295" s="8" t="n">
        <v>0</v>
      </c>
      <c r="F295" s="8" t="n">
        <v>0</v>
      </c>
    </row>
    <row r="296" customFormat="false" ht="15" hidden="false" customHeight="true" outlineLevel="0" collapsed="false">
      <c r="A296" s="8" t="s">
        <v>224</v>
      </c>
      <c r="B296" s="8" t="s">
        <v>1236</v>
      </c>
      <c r="C296" s="8" t="n">
        <v>3</v>
      </c>
      <c r="D296" s="8" t="n">
        <v>105</v>
      </c>
      <c r="E296" s="8" t="n">
        <v>0</v>
      </c>
      <c r="F296" s="8" t="n">
        <v>0</v>
      </c>
    </row>
    <row r="297" customFormat="false" ht="15" hidden="false" customHeight="true" outlineLevel="0" collapsed="false">
      <c r="A297" s="8" t="s">
        <v>240</v>
      </c>
      <c r="B297" s="8" t="s">
        <v>769</v>
      </c>
      <c r="C297" s="8" t="n">
        <v>1</v>
      </c>
      <c r="D297" s="8" t="n">
        <v>17</v>
      </c>
      <c r="E297" s="8" t="n">
        <v>0</v>
      </c>
      <c r="F297" s="8" t="n">
        <v>0</v>
      </c>
    </row>
    <row r="298" customFormat="false" ht="15" hidden="false" customHeight="true" outlineLevel="0" collapsed="false">
      <c r="A298" s="8" t="s">
        <v>234</v>
      </c>
      <c r="B298" s="8" t="s">
        <v>769</v>
      </c>
      <c r="C298" s="8" t="n">
        <v>1</v>
      </c>
      <c r="D298" s="8" t="n">
        <v>17</v>
      </c>
      <c r="E298" s="8" t="n">
        <v>0</v>
      </c>
      <c r="F298" s="8" t="n">
        <v>0</v>
      </c>
    </row>
    <row r="299" customFormat="false" ht="15" hidden="false" customHeight="true" outlineLevel="0" collapsed="false">
      <c r="A299" s="8" t="s">
        <v>247</v>
      </c>
      <c r="B299" s="8" t="s">
        <v>769</v>
      </c>
      <c r="C299" s="8" t="n">
        <v>4</v>
      </c>
      <c r="D299" s="8" t="n">
        <v>68</v>
      </c>
      <c r="E299" s="8" t="n">
        <v>0</v>
      </c>
      <c r="F299" s="8" t="n">
        <v>0</v>
      </c>
    </row>
    <row r="300" customFormat="false" ht="15" hidden="false" customHeight="true" outlineLevel="0" collapsed="false">
      <c r="A300" s="8" t="s">
        <v>300</v>
      </c>
      <c r="B300" s="8" t="s">
        <v>769</v>
      </c>
      <c r="C300" s="8" t="n">
        <v>1</v>
      </c>
      <c r="D300" s="8" t="n">
        <v>17</v>
      </c>
      <c r="E300" s="8" t="n">
        <v>0</v>
      </c>
      <c r="F300" s="8" t="n">
        <v>0</v>
      </c>
    </row>
    <row r="301" customFormat="false" ht="15" hidden="false" customHeight="true" outlineLevel="0" collapsed="false">
      <c r="A301" s="8" t="s">
        <v>182</v>
      </c>
      <c r="B301" s="8" t="s">
        <v>799</v>
      </c>
      <c r="C301" s="8" t="n">
        <v>8</v>
      </c>
      <c r="D301" s="8" t="n">
        <v>160</v>
      </c>
      <c r="E301" s="8" t="n">
        <v>0</v>
      </c>
      <c r="F301" s="8" t="n">
        <v>0</v>
      </c>
    </row>
    <row r="302" customFormat="false" ht="15" hidden="false" customHeight="true" outlineLevel="0" collapsed="false">
      <c r="A302" s="8" t="s">
        <v>167</v>
      </c>
      <c r="B302" s="8" t="s">
        <v>1238</v>
      </c>
      <c r="C302" s="8" t="n">
        <v>2</v>
      </c>
      <c r="D302" s="8" t="n">
        <v>26.8</v>
      </c>
      <c r="E302" s="8" t="n">
        <v>0</v>
      </c>
      <c r="F302" s="8" t="n">
        <v>0</v>
      </c>
    </row>
    <row r="303" customFormat="false" ht="15" hidden="false" customHeight="true" outlineLevel="0" collapsed="false">
      <c r="A303" s="8" t="s">
        <v>252</v>
      </c>
      <c r="B303" s="8" t="s">
        <v>1177</v>
      </c>
      <c r="C303" s="8" t="n">
        <v>1</v>
      </c>
      <c r="D303" s="8" t="n">
        <v>16.6</v>
      </c>
      <c r="E303" s="8" t="n">
        <v>0</v>
      </c>
      <c r="F303" s="8" t="n">
        <v>0</v>
      </c>
    </row>
    <row r="304" customFormat="false" ht="15" hidden="false" customHeight="true" outlineLevel="0" collapsed="false">
      <c r="A304" s="8" t="s">
        <v>203</v>
      </c>
      <c r="B304" s="8" t="s">
        <v>1177</v>
      </c>
      <c r="C304" s="8" t="n">
        <v>4</v>
      </c>
      <c r="D304" s="8" t="n">
        <v>74</v>
      </c>
      <c r="E304" s="8" t="n">
        <v>0</v>
      </c>
      <c r="F304" s="8" t="n">
        <v>0</v>
      </c>
    </row>
    <row r="305" customFormat="false" ht="15" hidden="false" customHeight="true" outlineLevel="0" collapsed="false">
      <c r="A305" s="8" t="s">
        <v>211</v>
      </c>
      <c r="B305" s="8" t="s">
        <v>1250</v>
      </c>
      <c r="C305" s="8" t="n">
        <v>6</v>
      </c>
      <c r="D305" s="8" t="n">
        <v>150</v>
      </c>
      <c r="E305" s="8" t="n">
        <v>0</v>
      </c>
      <c r="F305" s="8" t="n">
        <v>0</v>
      </c>
    </row>
    <row r="306" customFormat="false" ht="15" hidden="false" customHeight="true" outlineLevel="0" collapsed="false">
      <c r="A306" s="8" t="s">
        <v>196</v>
      </c>
      <c r="B306" s="8" t="s">
        <v>1243</v>
      </c>
      <c r="C306" s="8" t="n">
        <v>11</v>
      </c>
      <c r="D306" s="8" t="n">
        <v>588.5</v>
      </c>
      <c r="E306" s="8" t="n">
        <v>3</v>
      </c>
      <c r="F306" s="8" t="n">
        <v>160.5</v>
      </c>
    </row>
    <row r="307" customFormat="false" ht="15" hidden="false" customHeight="true" outlineLevel="0" collapsed="false">
      <c r="A307" s="8" t="s">
        <v>177</v>
      </c>
      <c r="B307" s="8" t="s">
        <v>1244</v>
      </c>
      <c r="C307" s="8" t="n">
        <v>2</v>
      </c>
      <c r="D307" s="8" t="n">
        <v>351</v>
      </c>
      <c r="E307" s="8" t="n">
        <v>0</v>
      </c>
      <c r="F307" s="8" t="n">
        <v>0</v>
      </c>
    </row>
    <row r="308" customFormat="false" ht="15" hidden="false" customHeight="true" outlineLevel="0" collapsed="false">
      <c r="A308" s="8" t="s">
        <v>190</v>
      </c>
      <c r="B308" s="8" t="s">
        <v>1224</v>
      </c>
      <c r="C308" s="8" t="n">
        <v>2</v>
      </c>
      <c r="D308" s="8" t="n">
        <v>48.86</v>
      </c>
      <c r="E308" s="8" t="n">
        <v>0</v>
      </c>
      <c r="F308" s="8" t="n">
        <v>0</v>
      </c>
    </row>
    <row r="309" customFormat="false" ht="15" hidden="false" customHeight="true" outlineLevel="0" collapsed="false">
      <c r="A309" s="8" t="s">
        <v>183</v>
      </c>
      <c r="B309" s="8" t="s">
        <v>1224</v>
      </c>
      <c r="C309" s="8" t="n">
        <v>2</v>
      </c>
      <c r="D309" s="8" t="n">
        <v>48.86</v>
      </c>
      <c r="E309" s="8" t="n">
        <v>0</v>
      </c>
      <c r="F309" s="8" t="n">
        <v>0</v>
      </c>
    </row>
    <row r="310" customFormat="false" ht="15" hidden="false" customHeight="true" outlineLevel="0" collapsed="false">
      <c r="A310" s="8" t="s">
        <v>231</v>
      </c>
      <c r="B310" s="8" t="s">
        <v>1224</v>
      </c>
      <c r="C310" s="8" t="n">
        <v>1</v>
      </c>
      <c r="D310" s="8" t="n">
        <v>24.43</v>
      </c>
      <c r="E310" s="8" t="n">
        <v>0</v>
      </c>
      <c r="F310" s="8" t="n">
        <v>0</v>
      </c>
    </row>
    <row r="311" customFormat="false" ht="15" hidden="false" customHeight="true" outlineLevel="0" collapsed="false">
      <c r="A311" s="8" t="s">
        <v>161</v>
      </c>
      <c r="B311" s="8" t="s">
        <v>1208</v>
      </c>
      <c r="C311" s="8" t="n">
        <v>3</v>
      </c>
      <c r="D311" s="8" t="n">
        <v>136.5</v>
      </c>
      <c r="E311" s="8" t="n">
        <v>0</v>
      </c>
      <c r="F311" s="8" t="n">
        <v>0</v>
      </c>
    </row>
    <row r="312" customFormat="false" ht="15" hidden="false" customHeight="true" outlineLevel="0" collapsed="false">
      <c r="A312" s="8" t="s">
        <v>241</v>
      </c>
      <c r="B312" s="8" t="s">
        <v>1227</v>
      </c>
      <c r="C312" s="8" t="n">
        <v>3</v>
      </c>
      <c r="D312" s="8" t="n">
        <v>51</v>
      </c>
      <c r="E312" s="8" t="n">
        <v>0</v>
      </c>
      <c r="F312" s="8" t="n">
        <v>0</v>
      </c>
    </row>
    <row r="313" customFormat="false" ht="15" hidden="false" customHeight="true" outlineLevel="0" collapsed="false">
      <c r="A313" s="8" t="s">
        <v>219</v>
      </c>
      <c r="B313" s="8" t="s">
        <v>1227</v>
      </c>
      <c r="C313" s="8" t="n">
        <v>3</v>
      </c>
      <c r="D313" s="8" t="n">
        <v>51</v>
      </c>
      <c r="E313" s="8" t="n">
        <v>0</v>
      </c>
      <c r="F313" s="8" t="n">
        <v>0</v>
      </c>
    </row>
    <row r="314" customFormat="false" ht="15" hidden="false" customHeight="true" outlineLevel="0" collapsed="false">
      <c r="A314" s="8" t="s">
        <v>292</v>
      </c>
      <c r="B314" s="8" t="s">
        <v>1227</v>
      </c>
      <c r="C314" s="8" t="n">
        <v>2</v>
      </c>
      <c r="D314" s="8" t="n">
        <v>34</v>
      </c>
      <c r="E314" s="8" t="n">
        <v>0</v>
      </c>
      <c r="F314" s="8" t="n">
        <v>0</v>
      </c>
    </row>
    <row r="315" customFormat="false" ht="15" hidden="false" customHeight="true" outlineLevel="0" collapsed="false">
      <c r="A315" s="8" t="s">
        <v>223</v>
      </c>
      <c r="B315" s="8" t="s">
        <v>1227</v>
      </c>
      <c r="C315" s="8" t="n">
        <v>3</v>
      </c>
      <c r="D315" s="8" t="n">
        <v>51</v>
      </c>
      <c r="E315" s="8" t="n">
        <v>0</v>
      </c>
      <c r="F315" s="8" t="n">
        <v>0</v>
      </c>
    </row>
    <row r="316" customFormat="false" ht="15" hidden="false" customHeight="true" outlineLevel="0" collapsed="false">
      <c r="A316" s="8" t="s">
        <v>287</v>
      </c>
      <c r="B316" s="8" t="s">
        <v>1227</v>
      </c>
      <c r="C316" s="8" t="n">
        <v>1</v>
      </c>
      <c r="D316" s="8" t="n">
        <v>17</v>
      </c>
      <c r="E316" s="8" t="n">
        <v>0</v>
      </c>
      <c r="F316" s="8" t="n">
        <v>0</v>
      </c>
    </row>
    <row r="317" customFormat="false" ht="15" hidden="false" customHeight="true" outlineLevel="0" collapsed="false">
      <c r="A317" s="8" t="s">
        <v>355</v>
      </c>
      <c r="B317" s="8" t="s">
        <v>1241</v>
      </c>
      <c r="C317" s="8" t="n">
        <v>1</v>
      </c>
      <c r="D317" s="8" t="n">
        <v>77.24</v>
      </c>
      <c r="E317" s="8" t="n">
        <v>0</v>
      </c>
      <c r="F317" s="8" t="n">
        <v>0</v>
      </c>
    </row>
    <row r="318" customFormat="false" ht="15" hidden="false" customHeight="true" outlineLevel="0" collapsed="false">
      <c r="A318" s="8" t="s">
        <v>180</v>
      </c>
      <c r="B318" s="8" t="s">
        <v>1216</v>
      </c>
      <c r="C318" s="8" t="n">
        <v>3</v>
      </c>
      <c r="D318" s="8" t="n">
        <v>49.5</v>
      </c>
      <c r="E318" s="8" t="n">
        <v>0</v>
      </c>
      <c r="F318" s="8" t="n">
        <v>0</v>
      </c>
    </row>
    <row r="319" customFormat="false" ht="15" hidden="false" customHeight="true" outlineLevel="0" collapsed="false">
      <c r="A319" s="8" t="s">
        <v>189</v>
      </c>
      <c r="B319" s="8" t="s">
        <v>1216</v>
      </c>
      <c r="C319" s="8" t="n">
        <v>3</v>
      </c>
      <c r="D319" s="8" t="n">
        <v>49.5</v>
      </c>
      <c r="E319" s="8" t="n">
        <v>0</v>
      </c>
      <c r="F319" s="8" t="n">
        <v>0</v>
      </c>
    </row>
    <row r="320" customFormat="false" ht="15" hidden="false" customHeight="true" outlineLevel="0" collapsed="false">
      <c r="A320" s="8" t="s">
        <v>267</v>
      </c>
      <c r="B320" s="8" t="s">
        <v>1216</v>
      </c>
      <c r="C320" s="8" t="n">
        <v>2</v>
      </c>
      <c r="D320" s="8" t="n">
        <v>33</v>
      </c>
      <c r="E320" s="8" t="n">
        <v>0</v>
      </c>
      <c r="F320" s="8" t="n">
        <v>0</v>
      </c>
    </row>
    <row r="321" customFormat="false" ht="15" hidden="false" customHeight="true" outlineLevel="0" collapsed="false">
      <c r="A321" s="8" t="s">
        <v>199</v>
      </c>
      <c r="B321" s="8" t="s">
        <v>1216</v>
      </c>
      <c r="C321" s="8" t="n">
        <v>3</v>
      </c>
      <c r="D321" s="8" t="n">
        <v>49.5</v>
      </c>
      <c r="E321" s="8" t="n">
        <v>0</v>
      </c>
      <c r="F321" s="8" t="n">
        <v>0</v>
      </c>
    </row>
    <row r="322" customFormat="false" ht="15" hidden="false" customHeight="true" outlineLevel="0" collapsed="false">
      <c r="A322" s="8" t="s">
        <v>250</v>
      </c>
      <c r="B322" s="8" t="s">
        <v>1216</v>
      </c>
      <c r="C322" s="8" t="n">
        <v>1</v>
      </c>
      <c r="D322" s="8" t="n">
        <v>16.5</v>
      </c>
      <c r="E322" s="8" t="n">
        <v>0</v>
      </c>
      <c r="F322" s="8" t="n">
        <v>0</v>
      </c>
    </row>
    <row r="323" customFormat="false" ht="15" hidden="false" customHeight="true" outlineLevel="0" collapsed="false">
      <c r="A323" s="8" t="s">
        <v>182</v>
      </c>
      <c r="B323" s="8" t="s">
        <v>799</v>
      </c>
      <c r="C323" s="8" t="n">
        <v>10</v>
      </c>
      <c r="D323" s="8" t="n">
        <v>200</v>
      </c>
      <c r="E323" s="8" t="n">
        <v>0</v>
      </c>
      <c r="F323" s="8" t="n">
        <v>0</v>
      </c>
    </row>
    <row r="324" customFormat="false" ht="15" hidden="false" customHeight="true" outlineLevel="0" collapsed="false">
      <c r="A324" s="8" t="s">
        <v>163</v>
      </c>
      <c r="B324" s="8" t="s">
        <v>897</v>
      </c>
      <c r="C324" s="8" t="n">
        <v>12</v>
      </c>
      <c r="D324" s="8" t="n">
        <v>780</v>
      </c>
      <c r="E324" s="8" t="n">
        <v>4</v>
      </c>
      <c r="F324" s="8" t="n">
        <v>260</v>
      </c>
    </row>
    <row r="325" customFormat="false" ht="15" hidden="false" customHeight="true" outlineLevel="0" collapsed="false">
      <c r="A325" s="8" t="s">
        <v>181</v>
      </c>
      <c r="B325" s="8" t="s">
        <v>897</v>
      </c>
      <c r="C325" s="8" t="n">
        <v>4</v>
      </c>
      <c r="D325" s="8" t="n">
        <v>260</v>
      </c>
      <c r="E325" s="8" t="n">
        <v>3</v>
      </c>
      <c r="F325" s="8" t="n">
        <v>195</v>
      </c>
    </row>
    <row r="326" customFormat="false" ht="15" hidden="false" customHeight="true" outlineLevel="0" collapsed="false">
      <c r="A326" s="8" t="s">
        <v>165</v>
      </c>
      <c r="B326" s="8" t="s">
        <v>897</v>
      </c>
      <c r="C326" s="8" t="n">
        <v>16</v>
      </c>
      <c r="D326" s="8" t="n">
        <v>1040</v>
      </c>
      <c r="E326" s="8" t="n">
        <v>4</v>
      </c>
      <c r="F326" s="8" t="n">
        <v>260</v>
      </c>
    </row>
    <row r="327" customFormat="false" ht="15" hidden="false" customHeight="true" outlineLevel="0" collapsed="false">
      <c r="A327" s="8" t="s">
        <v>230</v>
      </c>
      <c r="B327" s="8" t="s">
        <v>1244</v>
      </c>
      <c r="C327" s="8" t="n">
        <v>4</v>
      </c>
      <c r="D327" s="8" t="n">
        <v>702</v>
      </c>
      <c r="E327" s="8" t="n">
        <v>0</v>
      </c>
      <c r="F327" s="8" t="n">
        <v>0</v>
      </c>
    </row>
    <row r="328" customFormat="false" ht="15" hidden="false" customHeight="true" outlineLevel="0" collapsed="false">
      <c r="A328" s="8" t="s">
        <v>329</v>
      </c>
      <c r="B328" s="8" t="s">
        <v>1244</v>
      </c>
      <c r="C328" s="8" t="n">
        <v>2</v>
      </c>
      <c r="D328" s="8" t="n">
        <v>351</v>
      </c>
      <c r="E328" s="8" t="n">
        <v>0</v>
      </c>
      <c r="F328" s="8" t="n">
        <v>0</v>
      </c>
    </row>
    <row r="329" customFormat="false" ht="15" hidden="false" customHeight="true" outlineLevel="0" collapsed="false">
      <c r="A329" s="8" t="s">
        <v>173</v>
      </c>
      <c r="B329" s="8" t="s">
        <v>1244</v>
      </c>
      <c r="C329" s="8" t="n">
        <v>4</v>
      </c>
      <c r="D329" s="8" t="n">
        <v>702</v>
      </c>
      <c r="E329" s="8" t="n">
        <v>-1</v>
      </c>
      <c r="F329" s="8" t="n">
        <v>-175.5</v>
      </c>
    </row>
    <row r="330" customFormat="false" ht="15" hidden="false" customHeight="true" outlineLevel="0" collapsed="false">
      <c r="A330" s="8" t="s">
        <v>208</v>
      </c>
      <c r="B330" s="8" t="s">
        <v>1179</v>
      </c>
      <c r="C330" s="8" t="n">
        <v>3</v>
      </c>
      <c r="D330" s="8" t="n">
        <v>217.02</v>
      </c>
      <c r="E330" s="8" t="n">
        <v>0</v>
      </c>
      <c r="F330" s="8" t="n">
        <v>0</v>
      </c>
    </row>
    <row r="331" customFormat="false" ht="15" hidden="false" customHeight="true" outlineLevel="0" collapsed="false">
      <c r="A331" s="8" t="s">
        <v>221</v>
      </c>
      <c r="B331" s="8" t="s">
        <v>1179</v>
      </c>
      <c r="C331" s="8" t="n">
        <v>0</v>
      </c>
      <c r="D331" s="8" t="n">
        <v>0</v>
      </c>
      <c r="E331" s="8" t="n">
        <v>1</v>
      </c>
      <c r="F331" s="8" t="n">
        <v>72.34</v>
      </c>
    </row>
    <row r="332" customFormat="false" ht="15" hidden="false" customHeight="true" outlineLevel="0" collapsed="false">
      <c r="A332" s="8" t="s">
        <v>245</v>
      </c>
      <c r="B332" s="8" t="s">
        <v>1179</v>
      </c>
      <c r="C332" s="8" t="n">
        <v>1</v>
      </c>
      <c r="D332" s="8" t="n">
        <v>72.34</v>
      </c>
      <c r="E332" s="8" t="n">
        <v>0</v>
      </c>
      <c r="F332" s="8" t="n">
        <v>0</v>
      </c>
    </row>
    <row r="333" customFormat="false" ht="15" hidden="false" customHeight="true" outlineLevel="0" collapsed="false">
      <c r="A333" s="8" t="s">
        <v>191</v>
      </c>
      <c r="B333" s="8" t="s">
        <v>1179</v>
      </c>
      <c r="C333" s="8" t="n">
        <v>1</v>
      </c>
      <c r="D333" s="8" t="n">
        <v>72.34</v>
      </c>
      <c r="E333" s="8" t="n">
        <v>3</v>
      </c>
      <c r="F333" s="8" t="n">
        <v>217.02</v>
      </c>
    </row>
    <row r="334" customFormat="false" ht="15" hidden="false" customHeight="true" outlineLevel="0" collapsed="false">
      <c r="A334" s="8" t="s">
        <v>236</v>
      </c>
      <c r="B334" s="8" t="s">
        <v>1223</v>
      </c>
      <c r="C334" s="8" t="n">
        <v>2</v>
      </c>
      <c r="D334" s="8" t="n">
        <v>155.6</v>
      </c>
      <c r="E334" s="8" t="n">
        <v>0</v>
      </c>
      <c r="F334" s="8" t="n">
        <v>0</v>
      </c>
    </row>
    <row r="335" customFormat="false" ht="15" hidden="false" customHeight="true" outlineLevel="0" collapsed="false">
      <c r="A335" s="8" t="s">
        <v>190</v>
      </c>
      <c r="B335" s="8" t="s">
        <v>1224</v>
      </c>
      <c r="C335" s="8" t="n">
        <v>4</v>
      </c>
      <c r="D335" s="8" t="n">
        <v>97.72</v>
      </c>
      <c r="E335" s="8" t="n">
        <v>1</v>
      </c>
      <c r="F335" s="8" t="n">
        <v>24.43</v>
      </c>
    </row>
    <row r="336" customFormat="false" ht="15" hidden="false" customHeight="true" outlineLevel="0" collapsed="false">
      <c r="A336" s="8" t="s">
        <v>183</v>
      </c>
      <c r="B336" s="8" t="s">
        <v>1224</v>
      </c>
      <c r="C336" s="8" t="n">
        <v>4</v>
      </c>
      <c r="D336" s="8" t="n">
        <v>97.72</v>
      </c>
      <c r="E336" s="8" t="n">
        <v>0</v>
      </c>
      <c r="F336" s="8" t="n">
        <v>0</v>
      </c>
    </row>
    <row r="337" customFormat="false" ht="15" hidden="false" customHeight="true" outlineLevel="0" collapsed="false">
      <c r="A337" s="8" t="s">
        <v>231</v>
      </c>
      <c r="B337" s="8" t="s">
        <v>1224</v>
      </c>
      <c r="C337" s="8" t="n">
        <v>4</v>
      </c>
      <c r="D337" s="8" t="n">
        <v>97.72</v>
      </c>
      <c r="E337" s="8" t="n">
        <v>0</v>
      </c>
      <c r="F337" s="8" t="n">
        <v>0</v>
      </c>
    </row>
    <row r="338" customFormat="false" ht="15" hidden="false" customHeight="true" outlineLevel="0" collapsed="false">
      <c r="A338" s="8" t="s">
        <v>161</v>
      </c>
      <c r="B338" s="8" t="s">
        <v>1208</v>
      </c>
      <c r="C338" s="8" t="n">
        <v>28</v>
      </c>
      <c r="D338" s="8" t="n">
        <v>1274</v>
      </c>
      <c r="E338" s="8" t="n">
        <v>11</v>
      </c>
      <c r="F338" s="8" t="n">
        <v>500.5</v>
      </c>
    </row>
    <row r="339" customFormat="false" ht="15" hidden="false" customHeight="true" outlineLevel="0" collapsed="false">
      <c r="A339" s="8" t="s">
        <v>162</v>
      </c>
      <c r="B339" s="8" t="s">
        <v>1209</v>
      </c>
      <c r="C339" s="8" t="n">
        <v>15</v>
      </c>
      <c r="D339" s="8" t="n">
        <v>1167</v>
      </c>
      <c r="E339" s="8" t="n">
        <v>7</v>
      </c>
      <c r="F339" s="8" t="n">
        <v>544.6</v>
      </c>
    </row>
    <row r="340" customFormat="false" ht="15" hidden="false" customHeight="true" outlineLevel="0" collapsed="false">
      <c r="A340" s="8" t="s">
        <v>166</v>
      </c>
      <c r="B340" s="8" t="s">
        <v>1211</v>
      </c>
      <c r="C340" s="8" t="n">
        <v>3</v>
      </c>
      <c r="D340" s="8" t="n">
        <v>189.81</v>
      </c>
      <c r="E340" s="8" t="n">
        <v>0</v>
      </c>
      <c r="F340" s="8" t="n">
        <v>0</v>
      </c>
    </row>
    <row r="341" customFormat="false" ht="15" hidden="false" customHeight="true" outlineLevel="0" collapsed="false">
      <c r="A341" s="8" t="s">
        <v>164</v>
      </c>
      <c r="B341" s="8" t="s">
        <v>1211</v>
      </c>
      <c r="C341" s="8" t="n">
        <v>6</v>
      </c>
      <c r="D341" s="8" t="n">
        <v>379.62</v>
      </c>
      <c r="E341" s="8" t="n">
        <v>0</v>
      </c>
      <c r="F341" s="8" t="n">
        <v>0</v>
      </c>
    </row>
    <row r="342" customFormat="false" ht="15" hidden="false" customHeight="true" outlineLevel="0" collapsed="false">
      <c r="A342" s="8" t="s">
        <v>222</v>
      </c>
      <c r="B342" s="8" t="s">
        <v>1211</v>
      </c>
      <c r="C342" s="8" t="n">
        <v>2</v>
      </c>
      <c r="D342" s="8" t="n">
        <v>126.54</v>
      </c>
      <c r="E342" s="8" t="n">
        <v>0</v>
      </c>
      <c r="F342" s="8" t="n">
        <v>0</v>
      </c>
    </row>
    <row r="343" customFormat="false" ht="15" hidden="false" customHeight="true" outlineLevel="0" collapsed="false">
      <c r="A343" s="8" t="s">
        <v>278</v>
      </c>
      <c r="B343" s="8" t="s">
        <v>1225</v>
      </c>
      <c r="C343" s="8" t="n">
        <v>4</v>
      </c>
      <c r="D343" s="8" t="n">
        <v>115.72</v>
      </c>
      <c r="E343" s="8" t="n">
        <v>0</v>
      </c>
      <c r="F343" s="8" t="n">
        <v>0</v>
      </c>
    </row>
    <row r="344" customFormat="false" ht="15" hidden="false" customHeight="true" outlineLevel="0" collapsed="false">
      <c r="A344" s="8" t="s">
        <v>241</v>
      </c>
      <c r="B344" s="8" t="s">
        <v>1227</v>
      </c>
      <c r="C344" s="8" t="n">
        <v>4</v>
      </c>
      <c r="D344" s="8" t="n">
        <v>68</v>
      </c>
      <c r="E344" s="8" t="n">
        <v>6</v>
      </c>
      <c r="F344" s="8" t="n">
        <v>102</v>
      </c>
    </row>
    <row r="345" customFormat="false" ht="15" hidden="false" customHeight="true" outlineLevel="0" collapsed="false">
      <c r="A345" s="8" t="s">
        <v>271</v>
      </c>
      <c r="B345" s="8" t="s">
        <v>1260</v>
      </c>
      <c r="C345" s="8" t="n">
        <v>12</v>
      </c>
      <c r="D345" s="8" t="n">
        <v>280.8</v>
      </c>
      <c r="E345" s="8" t="n">
        <v>0</v>
      </c>
      <c r="F345" s="8" t="n">
        <v>0</v>
      </c>
    </row>
    <row r="346" customFormat="false" ht="15" hidden="false" customHeight="true" outlineLevel="0" collapsed="false">
      <c r="A346" s="8" t="s">
        <v>202</v>
      </c>
      <c r="B346" s="8" t="s">
        <v>1212</v>
      </c>
      <c r="C346" s="8" t="n">
        <v>21</v>
      </c>
      <c r="D346" s="8" t="n">
        <v>199.5</v>
      </c>
      <c r="E346" s="8" t="n">
        <v>3</v>
      </c>
      <c r="F346" s="8" t="n">
        <v>28.5</v>
      </c>
    </row>
    <row r="347" customFormat="false" ht="15" hidden="false" customHeight="true" outlineLevel="0" collapsed="false">
      <c r="A347" s="8" t="s">
        <v>244</v>
      </c>
      <c r="B347" s="8" t="s">
        <v>1213</v>
      </c>
      <c r="C347" s="8" t="n">
        <v>11</v>
      </c>
      <c r="D347" s="8" t="n">
        <v>104.5</v>
      </c>
      <c r="E347" s="8" t="n">
        <v>2</v>
      </c>
      <c r="F347" s="8" t="n">
        <v>19</v>
      </c>
    </row>
    <row r="348" customFormat="false" ht="15" hidden="false" customHeight="true" outlineLevel="0" collapsed="false">
      <c r="A348" s="8" t="s">
        <v>251</v>
      </c>
      <c r="B348" s="8" t="s">
        <v>1262</v>
      </c>
      <c r="C348" s="8" t="n">
        <v>5</v>
      </c>
      <c r="D348" s="8" t="n">
        <v>48.55</v>
      </c>
      <c r="E348" s="8" t="n">
        <v>6</v>
      </c>
      <c r="F348" s="8" t="n">
        <v>58.26</v>
      </c>
    </row>
    <row r="349" customFormat="false" ht="15" hidden="false" customHeight="true" outlineLevel="0" collapsed="false">
      <c r="A349" s="8" t="s">
        <v>308</v>
      </c>
      <c r="B349" s="8" t="s">
        <v>1229</v>
      </c>
      <c r="C349" s="8" t="n">
        <v>0</v>
      </c>
      <c r="D349" s="8" t="n">
        <v>0</v>
      </c>
      <c r="E349" s="8" t="n">
        <v>4</v>
      </c>
      <c r="F349" s="8" t="n">
        <v>32.32</v>
      </c>
    </row>
    <row r="350" customFormat="false" ht="15" hidden="false" customHeight="true" outlineLevel="0" collapsed="false">
      <c r="A350" s="8" t="s">
        <v>172</v>
      </c>
      <c r="B350" s="8" t="s">
        <v>1214</v>
      </c>
      <c r="C350" s="8" t="n">
        <v>13</v>
      </c>
      <c r="D350" s="8" t="n">
        <v>158.34</v>
      </c>
      <c r="E350" s="8" t="n">
        <v>9</v>
      </c>
      <c r="F350" s="8" t="n">
        <v>109.62</v>
      </c>
    </row>
    <row r="351" customFormat="false" ht="15" hidden="false" customHeight="true" outlineLevel="0" collapsed="false">
      <c r="A351" s="8" t="s">
        <v>242</v>
      </c>
      <c r="B351" s="8" t="s">
        <v>1230</v>
      </c>
      <c r="C351" s="8" t="n">
        <v>2</v>
      </c>
      <c r="D351" s="8" t="n">
        <v>77.4</v>
      </c>
      <c r="E351" s="8" t="n">
        <v>0</v>
      </c>
      <c r="F351" s="8" t="n">
        <v>0</v>
      </c>
    </row>
    <row r="352" customFormat="false" ht="15" hidden="false" customHeight="true" outlineLevel="0" collapsed="false">
      <c r="A352" s="8" t="s">
        <v>269</v>
      </c>
      <c r="B352" s="8" t="s">
        <v>1231</v>
      </c>
      <c r="C352" s="8" t="n">
        <v>7</v>
      </c>
      <c r="D352" s="8" t="n">
        <v>79.31</v>
      </c>
      <c r="E352" s="8" t="n">
        <v>0</v>
      </c>
      <c r="F352" s="8" t="n">
        <v>0</v>
      </c>
    </row>
    <row r="353" customFormat="false" ht="15" hidden="false" customHeight="true" outlineLevel="0" collapsed="false">
      <c r="A353" s="8" t="s">
        <v>213</v>
      </c>
      <c r="B353" s="8" t="s">
        <v>1232</v>
      </c>
      <c r="C353" s="8" t="n">
        <v>8</v>
      </c>
      <c r="D353" s="8" t="n">
        <v>220.4</v>
      </c>
      <c r="E353" s="8" t="n">
        <v>4</v>
      </c>
      <c r="F353" s="8" t="n">
        <v>110.2</v>
      </c>
    </row>
    <row r="354" customFormat="false" ht="15" hidden="false" customHeight="true" outlineLevel="0" collapsed="false">
      <c r="A354" s="8" t="s">
        <v>281</v>
      </c>
      <c r="B354" s="8" t="s">
        <v>1254</v>
      </c>
      <c r="C354" s="8" t="n">
        <v>0</v>
      </c>
      <c r="D354" s="8" t="n">
        <v>0</v>
      </c>
      <c r="E354" s="8" t="n">
        <v>3</v>
      </c>
      <c r="F354" s="8" t="n">
        <v>41.52</v>
      </c>
    </row>
    <row r="355" customFormat="false" ht="15" hidden="false" customHeight="true" outlineLevel="0" collapsed="false">
      <c r="A355" s="8" t="s">
        <v>232</v>
      </c>
      <c r="B355" s="8" t="s">
        <v>1233</v>
      </c>
      <c r="C355" s="8" t="n">
        <v>3</v>
      </c>
      <c r="D355" s="8" t="n">
        <v>48.6</v>
      </c>
      <c r="E355" s="8" t="n">
        <v>0</v>
      </c>
      <c r="F355" s="8" t="n">
        <v>0</v>
      </c>
    </row>
    <row r="356" customFormat="false" ht="15" hidden="false" customHeight="true" outlineLevel="0" collapsed="false">
      <c r="A356" s="8" t="s">
        <v>215</v>
      </c>
      <c r="B356" s="8" t="s">
        <v>1233</v>
      </c>
      <c r="C356" s="8" t="n">
        <v>4</v>
      </c>
      <c r="D356" s="8" t="n">
        <v>71.28</v>
      </c>
      <c r="E356" s="8" t="n">
        <v>0</v>
      </c>
      <c r="F356" s="8" t="n">
        <v>0</v>
      </c>
    </row>
    <row r="357" customFormat="false" ht="15" hidden="false" customHeight="true" outlineLevel="0" collapsed="false">
      <c r="A357" s="8" t="s">
        <v>299</v>
      </c>
      <c r="B357" s="8" t="s">
        <v>1263</v>
      </c>
      <c r="C357" s="8" t="n">
        <v>0</v>
      </c>
      <c r="D357" s="8" t="n">
        <v>0</v>
      </c>
      <c r="E357" s="8" t="n">
        <v>3</v>
      </c>
      <c r="F357" s="8" t="n">
        <v>160.59</v>
      </c>
    </row>
    <row r="358" customFormat="false" ht="15" hidden="false" customHeight="true" outlineLevel="0" collapsed="false">
      <c r="A358" s="8" t="s">
        <v>225</v>
      </c>
      <c r="B358" s="8" t="s">
        <v>1237</v>
      </c>
      <c r="C358" s="8" t="n">
        <v>15</v>
      </c>
      <c r="D358" s="8" t="n">
        <v>276</v>
      </c>
      <c r="E358" s="8" t="n">
        <v>11</v>
      </c>
      <c r="F358" s="8" t="n">
        <v>202.4</v>
      </c>
    </row>
    <row r="359" customFormat="false" ht="15" hidden="false" customHeight="true" outlineLevel="0" collapsed="false">
      <c r="A359" s="8" t="s">
        <v>217</v>
      </c>
      <c r="B359" s="8" t="s">
        <v>1237</v>
      </c>
      <c r="C359" s="8" t="n">
        <v>8</v>
      </c>
      <c r="D359" s="8" t="n">
        <v>147.2</v>
      </c>
      <c r="E359" s="8" t="n">
        <v>0</v>
      </c>
      <c r="F359" s="8" t="n">
        <v>0</v>
      </c>
    </row>
    <row r="360" customFormat="false" ht="15" hidden="false" customHeight="true" outlineLevel="0" collapsed="false">
      <c r="A360" s="8" t="s">
        <v>325</v>
      </c>
      <c r="B360" s="8" t="s">
        <v>1264</v>
      </c>
      <c r="C360" s="8" t="n">
        <v>9</v>
      </c>
      <c r="D360" s="8" t="n">
        <v>165.6</v>
      </c>
      <c r="E360" s="8" t="n">
        <v>3</v>
      </c>
      <c r="F360" s="8" t="n">
        <v>55.2</v>
      </c>
    </row>
    <row r="361" customFormat="false" ht="15" hidden="false" customHeight="true" outlineLevel="0" collapsed="false">
      <c r="A361" s="8" t="s">
        <v>192</v>
      </c>
      <c r="B361" s="8" t="s">
        <v>1240</v>
      </c>
      <c r="C361" s="8" t="n">
        <v>3</v>
      </c>
      <c r="D361" s="8" t="n">
        <v>125.43</v>
      </c>
      <c r="E361" s="8" t="n">
        <v>0</v>
      </c>
      <c r="F361" s="8" t="n">
        <v>0</v>
      </c>
    </row>
    <row r="362" customFormat="false" ht="15" hidden="false" customHeight="true" outlineLevel="0" collapsed="false">
      <c r="A362" s="8" t="s">
        <v>168</v>
      </c>
      <c r="B362" s="8" t="s">
        <v>1240</v>
      </c>
      <c r="C362" s="8" t="n">
        <v>6</v>
      </c>
      <c r="D362" s="8" t="n">
        <v>250.86</v>
      </c>
      <c r="E362" s="8" t="n">
        <v>0</v>
      </c>
      <c r="F362" s="8" t="n">
        <v>0</v>
      </c>
    </row>
    <row r="363" customFormat="false" ht="15" hidden="false" customHeight="true" outlineLevel="0" collapsed="false">
      <c r="A363" s="8" t="s">
        <v>180</v>
      </c>
      <c r="B363" s="8" t="s">
        <v>1216</v>
      </c>
      <c r="C363" s="8" t="n">
        <v>3</v>
      </c>
      <c r="D363" s="8" t="n">
        <v>49.5</v>
      </c>
      <c r="E363" s="8" t="n">
        <v>6</v>
      </c>
      <c r="F363" s="8" t="n">
        <v>99</v>
      </c>
    </row>
    <row r="364" customFormat="false" ht="15" hidden="false" customHeight="true" outlineLevel="0" collapsed="false">
      <c r="A364" s="8" t="s">
        <v>189</v>
      </c>
      <c r="B364" s="8" t="s">
        <v>1216</v>
      </c>
      <c r="C364" s="8" t="n">
        <v>7</v>
      </c>
      <c r="D364" s="8" t="n">
        <v>115.5</v>
      </c>
      <c r="E364" s="8" t="n">
        <v>2</v>
      </c>
      <c r="F364" s="8" t="n">
        <v>33</v>
      </c>
    </row>
    <row r="365" customFormat="false" ht="15" hidden="false" customHeight="true" outlineLevel="0" collapsed="false">
      <c r="A365" s="8" t="s">
        <v>198</v>
      </c>
      <c r="B365" s="8" t="s">
        <v>1217</v>
      </c>
      <c r="C365" s="8" t="n">
        <v>3</v>
      </c>
      <c r="D365" s="8" t="n">
        <v>61.5</v>
      </c>
      <c r="E365" s="8" t="n">
        <v>7</v>
      </c>
      <c r="F365" s="8" t="n">
        <v>143.5</v>
      </c>
    </row>
    <row r="366" customFormat="false" ht="15" hidden="false" customHeight="true" outlineLevel="0" collapsed="false">
      <c r="A366" s="8" t="s">
        <v>193</v>
      </c>
      <c r="B366" s="8" t="s">
        <v>1217</v>
      </c>
      <c r="C366" s="8" t="n">
        <v>6</v>
      </c>
      <c r="D366" s="8" t="n">
        <v>123</v>
      </c>
      <c r="E366" s="8" t="n">
        <v>0</v>
      </c>
      <c r="F366" s="8" t="n">
        <v>0</v>
      </c>
    </row>
    <row r="367" customFormat="false" ht="15" hidden="false" customHeight="true" outlineLevel="0" collapsed="false">
      <c r="A367" s="8" t="s">
        <v>302</v>
      </c>
      <c r="B367" s="8" t="s">
        <v>1217</v>
      </c>
      <c r="C367" s="8" t="n">
        <v>6</v>
      </c>
      <c r="D367" s="8" t="n">
        <v>123</v>
      </c>
      <c r="E367" s="8" t="n">
        <v>0</v>
      </c>
      <c r="F367" s="8" t="n">
        <v>0</v>
      </c>
    </row>
    <row r="368" customFormat="false" ht="15" hidden="false" customHeight="true" outlineLevel="0" collapsed="false">
      <c r="A368" s="8" t="s">
        <v>205</v>
      </c>
      <c r="B368" s="8" t="s">
        <v>1217</v>
      </c>
      <c r="C368" s="8" t="n">
        <v>5</v>
      </c>
      <c r="D368" s="8" t="n">
        <v>102.5</v>
      </c>
      <c r="E368" s="8" t="n">
        <v>4</v>
      </c>
      <c r="F368" s="8" t="n">
        <v>82</v>
      </c>
    </row>
    <row r="369" customFormat="false" ht="15" hidden="false" customHeight="true" outlineLevel="0" collapsed="false">
      <c r="A369" s="8" t="s">
        <v>369</v>
      </c>
      <c r="B369" s="8" t="s">
        <v>767</v>
      </c>
      <c r="C369" s="8" t="n">
        <v>2</v>
      </c>
      <c r="D369" s="8" t="n">
        <v>42</v>
      </c>
      <c r="E369" s="8" t="n">
        <v>0</v>
      </c>
      <c r="F369" s="8" t="n">
        <v>0</v>
      </c>
    </row>
    <row r="370" customFormat="false" ht="15" hidden="false" customHeight="true" outlineLevel="0" collapsed="false">
      <c r="A370" s="8" t="s">
        <v>259</v>
      </c>
      <c r="B370" s="8" t="s">
        <v>1265</v>
      </c>
      <c r="C370" s="8" t="n">
        <v>1</v>
      </c>
      <c r="D370" s="8" t="n">
        <v>126.57</v>
      </c>
      <c r="E370" s="8" t="n">
        <v>0</v>
      </c>
      <c r="F370" s="8" t="n">
        <v>0</v>
      </c>
    </row>
    <row r="371" customFormat="false" ht="15" hidden="false" customHeight="true" outlineLevel="0" collapsed="false">
      <c r="A371" s="8" t="s">
        <v>254</v>
      </c>
      <c r="B371" s="8" t="s">
        <v>1265</v>
      </c>
      <c r="C371" s="8" t="n">
        <v>1</v>
      </c>
      <c r="D371" s="8" t="n">
        <v>126.57</v>
      </c>
      <c r="E371" s="8" t="n">
        <v>1</v>
      </c>
      <c r="F371" s="8" t="n">
        <v>126.57</v>
      </c>
    </row>
    <row r="372" customFormat="false" ht="15" hidden="false" customHeight="true" outlineLevel="0" collapsed="false">
      <c r="A372" s="8" t="s">
        <v>178</v>
      </c>
      <c r="B372" s="8" t="s">
        <v>1236</v>
      </c>
      <c r="C372" s="8" t="n">
        <v>5</v>
      </c>
      <c r="D372" s="8" t="n">
        <v>175</v>
      </c>
      <c r="E372" s="8" t="n">
        <v>0</v>
      </c>
      <c r="F372" s="8" t="n">
        <v>0</v>
      </c>
    </row>
    <row r="373" customFormat="false" ht="15" hidden="false" customHeight="true" outlineLevel="0" collapsed="false">
      <c r="A373" s="8" t="s">
        <v>176</v>
      </c>
      <c r="B373" s="8" t="s">
        <v>1236</v>
      </c>
      <c r="C373" s="8" t="n">
        <v>3</v>
      </c>
      <c r="D373" s="8" t="n">
        <v>105</v>
      </c>
      <c r="E373" s="8" t="n">
        <v>0</v>
      </c>
      <c r="F373" s="8" t="n">
        <v>0</v>
      </c>
    </row>
    <row r="374" customFormat="false" ht="15" hidden="false" customHeight="true" outlineLevel="0" collapsed="false">
      <c r="A374" s="8" t="s">
        <v>224</v>
      </c>
      <c r="B374" s="8" t="s">
        <v>1236</v>
      </c>
      <c r="C374" s="8" t="n">
        <v>2</v>
      </c>
      <c r="D374" s="8" t="n">
        <v>70</v>
      </c>
      <c r="E374" s="8" t="n">
        <v>2</v>
      </c>
      <c r="F374" s="8" t="n">
        <v>70</v>
      </c>
    </row>
    <row r="375" customFormat="false" ht="15" hidden="false" customHeight="true" outlineLevel="0" collapsed="false">
      <c r="A375" s="8" t="s">
        <v>240</v>
      </c>
      <c r="B375" s="8" t="s">
        <v>769</v>
      </c>
      <c r="C375" s="8" t="n">
        <v>7</v>
      </c>
      <c r="D375" s="8" t="n">
        <v>119</v>
      </c>
      <c r="E375" s="8" t="n">
        <v>0</v>
      </c>
      <c r="F375" s="8" t="n">
        <v>0</v>
      </c>
    </row>
    <row r="376" customFormat="false" ht="15" hidden="false" customHeight="true" outlineLevel="0" collapsed="false">
      <c r="A376" s="8" t="s">
        <v>234</v>
      </c>
      <c r="B376" s="8" t="s">
        <v>769</v>
      </c>
      <c r="C376" s="8" t="n">
        <v>4</v>
      </c>
      <c r="D376" s="8" t="n">
        <v>68</v>
      </c>
      <c r="E376" s="8" t="n">
        <v>2</v>
      </c>
      <c r="F376" s="8" t="n">
        <v>34</v>
      </c>
    </row>
    <row r="377" customFormat="false" ht="15" hidden="false" customHeight="true" outlineLevel="0" collapsed="false">
      <c r="A377" s="8" t="s">
        <v>182</v>
      </c>
      <c r="B377" s="8" t="s">
        <v>799</v>
      </c>
      <c r="C377" s="8" t="n">
        <v>8</v>
      </c>
      <c r="D377" s="8" t="n">
        <v>160</v>
      </c>
      <c r="E377" s="8" t="n">
        <v>8</v>
      </c>
      <c r="F377" s="8" t="n">
        <v>160</v>
      </c>
    </row>
    <row r="378" customFormat="false" ht="15" hidden="false" customHeight="true" outlineLevel="0" collapsed="false">
      <c r="A378" s="8" t="s">
        <v>170</v>
      </c>
      <c r="B378" s="8" t="s">
        <v>1220</v>
      </c>
      <c r="C378" s="8" t="n">
        <v>6</v>
      </c>
      <c r="D378" s="8" t="n">
        <v>88.8</v>
      </c>
      <c r="E378" s="8" t="n">
        <v>0</v>
      </c>
      <c r="F378" s="8" t="n">
        <v>0</v>
      </c>
    </row>
    <row r="379" customFormat="false" ht="15" hidden="false" customHeight="true" outlineLevel="0" collapsed="false">
      <c r="A379" s="8" t="s">
        <v>167</v>
      </c>
      <c r="B379" s="8" t="s">
        <v>1238</v>
      </c>
      <c r="C379" s="8" t="n">
        <v>30</v>
      </c>
      <c r="D379" s="8" t="n">
        <v>402</v>
      </c>
      <c r="E379" s="8" t="n">
        <v>0</v>
      </c>
      <c r="F379" s="8" t="n">
        <v>0</v>
      </c>
    </row>
    <row r="380" customFormat="false" ht="15" hidden="false" customHeight="true" outlineLevel="0" collapsed="false">
      <c r="A380" s="8" t="s">
        <v>315</v>
      </c>
      <c r="B380" s="8" t="s">
        <v>1266</v>
      </c>
      <c r="C380" s="8" t="n">
        <v>6</v>
      </c>
      <c r="D380" s="8" t="n">
        <v>95.46</v>
      </c>
      <c r="E380" s="8" t="n">
        <v>4</v>
      </c>
      <c r="F380" s="8" t="n">
        <v>63.64</v>
      </c>
    </row>
    <row r="381" customFormat="false" ht="15" hidden="false" customHeight="true" outlineLevel="0" collapsed="false">
      <c r="A381" s="8" t="s">
        <v>252</v>
      </c>
      <c r="B381" s="8" t="s">
        <v>1177</v>
      </c>
      <c r="C381" s="8" t="n">
        <v>2</v>
      </c>
      <c r="D381" s="8" t="n">
        <v>33.2</v>
      </c>
      <c r="E381" s="8" t="n">
        <v>0</v>
      </c>
      <c r="F381" s="8" t="n">
        <v>0</v>
      </c>
    </row>
    <row r="382" customFormat="false" ht="15" hidden="false" customHeight="true" outlineLevel="0" collapsed="false">
      <c r="A382" s="8" t="s">
        <v>203</v>
      </c>
      <c r="B382" s="8" t="s">
        <v>1177</v>
      </c>
      <c r="C382" s="8" t="n">
        <v>9</v>
      </c>
      <c r="D382" s="8" t="n">
        <v>166.5</v>
      </c>
      <c r="E382" s="8" t="n">
        <v>0</v>
      </c>
      <c r="F382" s="8" t="n">
        <v>0</v>
      </c>
    </row>
    <row r="383" customFormat="false" ht="15" hidden="false" customHeight="true" outlineLevel="0" collapsed="false">
      <c r="A383" s="8" t="s">
        <v>248</v>
      </c>
      <c r="B383" s="8" t="s">
        <v>1242</v>
      </c>
      <c r="C383" s="8" t="n">
        <v>8</v>
      </c>
      <c r="D383" s="8" t="n">
        <v>168</v>
      </c>
      <c r="E383" s="8" t="n">
        <v>4</v>
      </c>
      <c r="F383" s="8" t="n">
        <v>84</v>
      </c>
    </row>
    <row r="384" customFormat="false" ht="15" hidden="false" customHeight="true" outlineLevel="0" collapsed="false">
      <c r="A384" s="8" t="s">
        <v>284</v>
      </c>
      <c r="B384" s="8" t="s">
        <v>1267</v>
      </c>
      <c r="C384" s="8" t="n">
        <v>4</v>
      </c>
      <c r="D384" s="8" t="n">
        <v>514.84</v>
      </c>
      <c r="E384" s="8" t="n">
        <v>0</v>
      </c>
      <c r="F384" s="8" t="n">
        <v>0</v>
      </c>
    </row>
    <row r="385" customFormat="false" ht="15" hidden="false" customHeight="true" outlineLevel="0" collapsed="false">
      <c r="A385" s="8" t="s">
        <v>197</v>
      </c>
      <c r="B385" s="8" t="s">
        <v>1222</v>
      </c>
      <c r="C385" s="8" t="n">
        <v>2</v>
      </c>
      <c r="D385" s="8" t="n">
        <v>130</v>
      </c>
      <c r="E385" s="8" t="n">
        <v>0</v>
      </c>
      <c r="F385" s="8" t="n">
        <v>0</v>
      </c>
    </row>
    <row r="386" customFormat="false" ht="15" hidden="false" customHeight="true" outlineLevel="0" collapsed="false">
      <c r="A386" s="8" t="s">
        <v>163</v>
      </c>
      <c r="B386" s="8" t="s">
        <v>897</v>
      </c>
      <c r="C386" s="8" t="n">
        <v>6</v>
      </c>
      <c r="D386" s="8" t="n">
        <v>390</v>
      </c>
      <c r="E386" s="8" t="n">
        <v>2</v>
      </c>
      <c r="F386" s="8" t="n">
        <v>130</v>
      </c>
    </row>
    <row r="387" customFormat="false" ht="15" hidden="false" customHeight="true" outlineLevel="0" collapsed="false">
      <c r="A387" s="8" t="s">
        <v>181</v>
      </c>
      <c r="B387" s="8" t="s">
        <v>897</v>
      </c>
      <c r="C387" s="8" t="n">
        <v>1</v>
      </c>
      <c r="D387" s="8" t="n">
        <v>65</v>
      </c>
      <c r="E387" s="8" t="n">
        <v>0</v>
      </c>
      <c r="F387" s="8" t="n">
        <v>0</v>
      </c>
    </row>
    <row r="388" customFormat="false" ht="15" hidden="false" customHeight="true" outlineLevel="0" collapsed="false">
      <c r="A388" s="8" t="s">
        <v>165</v>
      </c>
      <c r="B388" s="8" t="s">
        <v>897</v>
      </c>
      <c r="C388" s="8" t="n">
        <v>3</v>
      </c>
      <c r="D388" s="8" t="n">
        <v>195</v>
      </c>
      <c r="E388" s="8" t="n">
        <v>2</v>
      </c>
      <c r="F388" s="8" t="n">
        <v>130</v>
      </c>
    </row>
    <row r="389" customFormat="false" ht="15" hidden="false" customHeight="true" outlineLevel="0" collapsed="false">
      <c r="A389" s="8" t="s">
        <v>184</v>
      </c>
      <c r="B389" s="8" t="s">
        <v>897</v>
      </c>
      <c r="C389" s="8" t="n">
        <v>2</v>
      </c>
      <c r="D389" s="8" t="n">
        <v>130</v>
      </c>
      <c r="E389" s="8" t="n">
        <v>2</v>
      </c>
      <c r="F389" s="8" t="n">
        <v>130</v>
      </c>
    </row>
    <row r="390" customFormat="false" ht="15" hidden="false" customHeight="true" outlineLevel="0" collapsed="false">
      <c r="A390" s="8" t="s">
        <v>221</v>
      </c>
      <c r="B390" s="8" t="s">
        <v>1179</v>
      </c>
      <c r="C390" s="8" t="n">
        <v>2</v>
      </c>
      <c r="D390" s="8" t="n">
        <v>144.68</v>
      </c>
      <c r="E390" s="8" t="n">
        <v>0</v>
      </c>
      <c r="F390" s="8" t="n">
        <v>0</v>
      </c>
    </row>
    <row r="391" customFormat="false" ht="15" hidden="false" customHeight="true" outlineLevel="0" collapsed="false">
      <c r="A391" s="8" t="s">
        <v>190</v>
      </c>
      <c r="B391" s="8" t="s">
        <v>1224</v>
      </c>
      <c r="C391" s="8" t="n">
        <v>4</v>
      </c>
      <c r="D391" s="8" t="n">
        <v>97.72</v>
      </c>
      <c r="E391" s="8" t="n">
        <v>0</v>
      </c>
      <c r="F391" s="8" t="n">
        <v>0</v>
      </c>
    </row>
    <row r="392" customFormat="false" ht="15" hidden="false" customHeight="true" outlineLevel="0" collapsed="false">
      <c r="A392" s="8" t="s">
        <v>183</v>
      </c>
      <c r="B392" s="8" t="s">
        <v>1224</v>
      </c>
      <c r="C392" s="8" t="n">
        <v>3</v>
      </c>
      <c r="D392" s="8" t="n">
        <v>73.29</v>
      </c>
      <c r="E392" s="8" t="n">
        <v>0</v>
      </c>
      <c r="F392" s="8" t="n">
        <v>0</v>
      </c>
    </row>
    <row r="393" customFormat="false" ht="15" hidden="false" customHeight="true" outlineLevel="0" collapsed="false">
      <c r="A393" s="8" t="s">
        <v>188</v>
      </c>
      <c r="B393" s="8" t="s">
        <v>1225</v>
      </c>
      <c r="C393" s="8" t="n">
        <v>1</v>
      </c>
      <c r="D393" s="8" t="n">
        <v>28.93</v>
      </c>
      <c r="E393" s="8" t="n">
        <v>2</v>
      </c>
      <c r="F393" s="8" t="n">
        <v>57.86</v>
      </c>
    </row>
    <row r="394" customFormat="false" ht="15" hidden="false" customHeight="true" outlineLevel="0" collapsed="false">
      <c r="A394" s="8" t="s">
        <v>292</v>
      </c>
      <c r="B394" s="8" t="s">
        <v>1227</v>
      </c>
      <c r="C394" s="8" t="n">
        <v>2</v>
      </c>
      <c r="D394" s="8" t="n">
        <v>34</v>
      </c>
      <c r="E394" s="8" t="n">
        <v>0</v>
      </c>
      <c r="F394" s="8" t="n">
        <v>0</v>
      </c>
    </row>
    <row r="395" customFormat="false" ht="15" hidden="false" customHeight="true" outlineLevel="0" collapsed="false">
      <c r="A395" s="8" t="s">
        <v>223</v>
      </c>
      <c r="B395" s="8" t="s">
        <v>1227</v>
      </c>
      <c r="C395" s="8" t="n">
        <v>1</v>
      </c>
      <c r="D395" s="8" t="n">
        <v>17</v>
      </c>
      <c r="E395" s="8" t="n">
        <v>0</v>
      </c>
      <c r="F395" s="8" t="n">
        <v>0</v>
      </c>
    </row>
    <row r="396" customFormat="false" ht="15" hidden="false" customHeight="true" outlineLevel="0" collapsed="false">
      <c r="A396" s="8" t="s">
        <v>244</v>
      </c>
      <c r="B396" s="8" t="s">
        <v>1213</v>
      </c>
      <c r="C396" s="8" t="n">
        <v>5</v>
      </c>
      <c r="D396" s="8" t="n">
        <v>47.5</v>
      </c>
      <c r="E396" s="8" t="n">
        <v>0</v>
      </c>
      <c r="F396" s="8" t="n">
        <v>0</v>
      </c>
    </row>
    <row r="397" customFormat="false" ht="15" hidden="false" customHeight="true" outlineLevel="0" collapsed="false">
      <c r="A397" s="8" t="s">
        <v>251</v>
      </c>
      <c r="B397" s="8" t="s">
        <v>1262</v>
      </c>
      <c r="C397" s="8" t="n">
        <v>0</v>
      </c>
      <c r="D397" s="8" t="n">
        <v>0</v>
      </c>
      <c r="E397" s="8" t="n">
        <v>2</v>
      </c>
      <c r="F397" s="8" t="n">
        <v>19.42</v>
      </c>
    </row>
    <row r="398" customFormat="false" ht="15" hidden="false" customHeight="true" outlineLevel="0" collapsed="false">
      <c r="A398" s="8" t="s">
        <v>308</v>
      </c>
      <c r="B398" s="8" t="s">
        <v>1229</v>
      </c>
      <c r="C398" s="8" t="n">
        <v>0</v>
      </c>
      <c r="D398" s="8" t="n">
        <v>0</v>
      </c>
      <c r="E398" s="8" t="n">
        <v>2</v>
      </c>
      <c r="F398" s="8" t="n">
        <v>16.16</v>
      </c>
    </row>
    <row r="399" customFormat="false" ht="15" hidden="false" customHeight="true" outlineLevel="0" collapsed="false">
      <c r="A399" s="8" t="s">
        <v>172</v>
      </c>
      <c r="B399" s="8" t="s">
        <v>1214</v>
      </c>
      <c r="C399" s="8" t="n">
        <v>0</v>
      </c>
      <c r="D399" s="8" t="n">
        <v>0</v>
      </c>
      <c r="E399" s="8" t="n">
        <v>2</v>
      </c>
      <c r="F399" s="8" t="n">
        <v>24.36</v>
      </c>
    </row>
    <row r="400" customFormat="false" ht="15" hidden="false" customHeight="true" outlineLevel="0" collapsed="false">
      <c r="A400" s="8" t="s">
        <v>215</v>
      </c>
      <c r="B400" s="8" t="s">
        <v>1233</v>
      </c>
      <c r="C400" s="8" t="n">
        <v>0</v>
      </c>
      <c r="D400" s="8" t="n">
        <v>0</v>
      </c>
      <c r="E400" s="8" t="n">
        <v>2</v>
      </c>
      <c r="F400" s="8" t="n">
        <v>35.64</v>
      </c>
    </row>
    <row r="401" customFormat="false" ht="15" hidden="false" customHeight="true" outlineLevel="0" collapsed="false">
      <c r="A401" s="8" t="s">
        <v>169</v>
      </c>
      <c r="B401" s="8" t="s">
        <v>1240</v>
      </c>
      <c r="C401" s="8" t="n">
        <v>1</v>
      </c>
      <c r="D401" s="8" t="n">
        <v>41.81</v>
      </c>
      <c r="E401" s="8" t="n">
        <v>0</v>
      </c>
      <c r="F401" s="8" t="n">
        <v>0</v>
      </c>
    </row>
    <row r="402" customFormat="false" ht="15" hidden="false" customHeight="true" outlineLevel="0" collapsed="false">
      <c r="A402" s="8" t="s">
        <v>180</v>
      </c>
      <c r="B402" s="8" t="s">
        <v>1216</v>
      </c>
      <c r="C402" s="8" t="n">
        <v>1</v>
      </c>
      <c r="D402" s="8" t="n">
        <v>16.5</v>
      </c>
      <c r="E402" s="8" t="n">
        <v>2</v>
      </c>
      <c r="F402" s="8" t="n">
        <v>33</v>
      </c>
    </row>
    <row r="403" customFormat="false" ht="15" hidden="false" customHeight="true" outlineLevel="0" collapsed="false">
      <c r="A403" s="8" t="s">
        <v>189</v>
      </c>
      <c r="B403" s="8" t="s">
        <v>1216</v>
      </c>
      <c r="C403" s="8" t="n">
        <v>3</v>
      </c>
      <c r="D403" s="8" t="n">
        <v>49.5</v>
      </c>
      <c r="E403" s="8" t="n">
        <v>0</v>
      </c>
      <c r="F403" s="8" t="n">
        <v>0</v>
      </c>
    </row>
    <row r="404" customFormat="false" ht="15" hidden="false" customHeight="true" outlineLevel="0" collapsed="false">
      <c r="A404" s="8" t="s">
        <v>267</v>
      </c>
      <c r="B404" s="8" t="s">
        <v>1216</v>
      </c>
      <c r="C404" s="8" t="n">
        <v>5</v>
      </c>
      <c r="D404" s="8" t="n">
        <v>82.5</v>
      </c>
      <c r="E404" s="8" t="n">
        <v>0</v>
      </c>
      <c r="F404" s="8" t="n">
        <v>0</v>
      </c>
    </row>
    <row r="405" customFormat="false" ht="15" hidden="false" customHeight="true" outlineLevel="0" collapsed="false">
      <c r="A405" s="8" t="s">
        <v>198</v>
      </c>
      <c r="B405" s="8" t="s">
        <v>1217</v>
      </c>
      <c r="C405" s="8" t="n">
        <v>3</v>
      </c>
      <c r="D405" s="8" t="n">
        <v>61.5</v>
      </c>
      <c r="E405" s="8" t="n">
        <v>0</v>
      </c>
      <c r="F405" s="8" t="n">
        <v>0</v>
      </c>
    </row>
    <row r="406" customFormat="false" ht="15" hidden="false" customHeight="true" outlineLevel="0" collapsed="false">
      <c r="A406" s="8" t="s">
        <v>302</v>
      </c>
      <c r="B406" s="8" t="s">
        <v>1217</v>
      </c>
      <c r="C406" s="8" t="n">
        <v>2</v>
      </c>
      <c r="D406" s="8" t="n">
        <v>41</v>
      </c>
      <c r="E406" s="8" t="n">
        <v>0</v>
      </c>
      <c r="F406" s="8" t="n">
        <v>0</v>
      </c>
    </row>
    <row r="407" customFormat="false" ht="15" hidden="false" customHeight="true" outlineLevel="0" collapsed="false">
      <c r="A407" s="8" t="s">
        <v>205</v>
      </c>
      <c r="B407" s="8" t="s">
        <v>1217</v>
      </c>
      <c r="C407" s="8" t="n">
        <v>1</v>
      </c>
      <c r="D407" s="8" t="n">
        <v>20.5</v>
      </c>
      <c r="E407" s="8" t="n">
        <v>0</v>
      </c>
      <c r="F407" s="8" t="n">
        <v>0</v>
      </c>
    </row>
    <row r="408" customFormat="false" ht="15" hidden="false" customHeight="true" outlineLevel="0" collapsed="false">
      <c r="A408" s="8" t="s">
        <v>176</v>
      </c>
      <c r="B408" s="8" t="s">
        <v>1236</v>
      </c>
      <c r="C408" s="8" t="n">
        <v>2</v>
      </c>
      <c r="D408" s="8" t="n">
        <v>70</v>
      </c>
      <c r="E408" s="8" t="n">
        <v>0</v>
      </c>
      <c r="F408" s="8" t="n">
        <v>0</v>
      </c>
    </row>
    <row r="409" customFormat="false" ht="15" hidden="false" customHeight="true" outlineLevel="0" collapsed="false">
      <c r="A409" s="8" t="s">
        <v>240</v>
      </c>
      <c r="B409" s="8" t="s">
        <v>769</v>
      </c>
      <c r="C409" s="8" t="n">
        <v>3</v>
      </c>
      <c r="D409" s="8" t="n">
        <v>51</v>
      </c>
      <c r="E409" s="8" t="n">
        <v>0</v>
      </c>
      <c r="F409" s="8" t="n">
        <v>0</v>
      </c>
    </row>
    <row r="410" customFormat="false" ht="15" hidden="false" customHeight="true" outlineLevel="0" collapsed="false">
      <c r="A410" s="8" t="s">
        <v>234</v>
      </c>
      <c r="B410" s="8" t="s">
        <v>769</v>
      </c>
      <c r="C410" s="8" t="n">
        <v>3</v>
      </c>
      <c r="D410" s="8" t="n">
        <v>51</v>
      </c>
      <c r="E410" s="8" t="n">
        <v>0</v>
      </c>
      <c r="F410" s="8" t="n">
        <v>0</v>
      </c>
    </row>
    <row r="411" customFormat="false" ht="15" hidden="false" customHeight="true" outlineLevel="0" collapsed="false">
      <c r="A411" s="8" t="s">
        <v>167</v>
      </c>
      <c r="B411" s="8" t="s">
        <v>1238</v>
      </c>
      <c r="C411" s="8" t="n">
        <v>3</v>
      </c>
      <c r="D411" s="8" t="n">
        <v>40.2</v>
      </c>
      <c r="E411" s="8" t="n">
        <v>0</v>
      </c>
      <c r="F411" s="8" t="n">
        <v>0</v>
      </c>
    </row>
    <row r="412" customFormat="false" ht="15" hidden="false" customHeight="true" outlineLevel="0" collapsed="false">
      <c r="A412" s="8" t="s">
        <v>197</v>
      </c>
      <c r="B412" s="8" t="s">
        <v>1222</v>
      </c>
      <c r="C412" s="8" t="n">
        <v>4</v>
      </c>
      <c r="D412" s="8" t="n">
        <v>260</v>
      </c>
      <c r="E412" s="8" t="n">
        <v>0</v>
      </c>
      <c r="F412" s="8" t="n">
        <v>0</v>
      </c>
    </row>
    <row r="413" customFormat="false" ht="15" hidden="false" customHeight="true" outlineLevel="0" collapsed="false">
      <c r="A413" s="8" t="s">
        <v>253</v>
      </c>
      <c r="B413" s="8" t="s">
        <v>1222</v>
      </c>
      <c r="C413" s="8" t="n">
        <v>3</v>
      </c>
      <c r="D413" s="8" t="n">
        <v>195</v>
      </c>
      <c r="E413" s="8" t="n">
        <v>0</v>
      </c>
      <c r="F413" s="8" t="n">
        <v>0</v>
      </c>
    </row>
    <row r="414" customFormat="false" ht="15" hidden="false" customHeight="true" outlineLevel="0" collapsed="false">
      <c r="A414" s="8" t="s">
        <v>207</v>
      </c>
      <c r="B414" s="8" t="s">
        <v>1222</v>
      </c>
      <c r="C414" s="8" t="n">
        <v>5</v>
      </c>
      <c r="D414" s="8" t="n">
        <v>325</v>
      </c>
      <c r="E414" s="8" t="n">
        <v>1</v>
      </c>
      <c r="F414" s="8" t="n">
        <v>65</v>
      </c>
    </row>
    <row r="415" customFormat="false" ht="15" hidden="false" customHeight="true" outlineLevel="0" collapsed="false">
      <c r="A415" s="8" t="s">
        <v>163</v>
      </c>
      <c r="B415" s="8" t="s">
        <v>897</v>
      </c>
      <c r="C415" s="8" t="n">
        <v>2</v>
      </c>
      <c r="D415" s="8" t="n">
        <v>130</v>
      </c>
      <c r="E415" s="8" t="n">
        <v>0</v>
      </c>
      <c r="F415" s="8" t="n">
        <v>0</v>
      </c>
    </row>
    <row r="416" customFormat="false" ht="15" hidden="false" customHeight="true" outlineLevel="0" collapsed="false">
      <c r="A416" s="8" t="s">
        <v>165</v>
      </c>
      <c r="B416" s="8" t="s">
        <v>897</v>
      </c>
      <c r="C416" s="8" t="n">
        <v>3</v>
      </c>
      <c r="D416" s="8" t="n">
        <v>195</v>
      </c>
      <c r="E416" s="8" t="n">
        <v>-1</v>
      </c>
      <c r="F416" s="8" t="n">
        <v>-65</v>
      </c>
    </row>
    <row r="417" customFormat="false" ht="15" hidden="false" customHeight="true" outlineLevel="0" collapsed="false">
      <c r="A417" s="8" t="s">
        <v>184</v>
      </c>
      <c r="B417" s="8" t="s">
        <v>897</v>
      </c>
      <c r="C417" s="8" t="n">
        <v>2</v>
      </c>
      <c r="D417" s="8" t="n">
        <v>130</v>
      </c>
      <c r="E417" s="8" t="n">
        <v>2</v>
      </c>
      <c r="F417" s="8" t="n">
        <v>130</v>
      </c>
    </row>
    <row r="418" customFormat="false" ht="15" hidden="false" customHeight="true" outlineLevel="0" collapsed="false">
      <c r="A418" s="8" t="s">
        <v>173</v>
      </c>
      <c r="B418" s="8" t="s">
        <v>1244</v>
      </c>
      <c r="C418" s="8" t="n">
        <v>1</v>
      </c>
      <c r="D418" s="8" t="n">
        <v>175.5</v>
      </c>
      <c r="E418" s="8" t="n">
        <v>0</v>
      </c>
      <c r="F418" s="8" t="n">
        <v>0</v>
      </c>
    </row>
    <row r="419" customFormat="false" ht="15" hidden="false" customHeight="true" outlineLevel="0" collapsed="false">
      <c r="A419" s="8" t="s">
        <v>177</v>
      </c>
      <c r="B419" s="8" t="s">
        <v>1244</v>
      </c>
      <c r="C419" s="8" t="n">
        <v>2</v>
      </c>
      <c r="D419" s="8" t="n">
        <v>351</v>
      </c>
      <c r="E419" s="8" t="n">
        <v>0</v>
      </c>
      <c r="F419" s="8" t="n">
        <v>0</v>
      </c>
    </row>
    <row r="420" customFormat="false" ht="15" hidden="false" customHeight="true" outlineLevel="0" collapsed="false">
      <c r="A420" s="8" t="s">
        <v>204</v>
      </c>
      <c r="B420" s="8" t="s">
        <v>1179</v>
      </c>
      <c r="C420" s="8" t="n">
        <v>1</v>
      </c>
      <c r="D420" s="8" t="n">
        <v>72.34</v>
      </c>
      <c r="E420" s="8" t="n">
        <v>0</v>
      </c>
      <c r="F420" s="8" t="n">
        <v>0</v>
      </c>
    </row>
    <row r="421" customFormat="false" ht="15" hidden="false" customHeight="true" outlineLevel="0" collapsed="false">
      <c r="A421" s="8" t="s">
        <v>319</v>
      </c>
      <c r="B421" s="8" t="s">
        <v>1268</v>
      </c>
      <c r="C421" s="8" t="n">
        <v>1</v>
      </c>
      <c r="D421" s="8" t="n">
        <v>113.58</v>
      </c>
      <c r="E421" s="8" t="n">
        <v>0</v>
      </c>
      <c r="F421" s="8" t="n">
        <v>0</v>
      </c>
    </row>
    <row r="422" customFormat="false" ht="15" hidden="false" customHeight="true" outlineLevel="0" collapsed="false">
      <c r="A422" s="8" t="s">
        <v>283</v>
      </c>
      <c r="B422" s="8" t="s">
        <v>1223</v>
      </c>
      <c r="C422" s="8" t="n">
        <v>1</v>
      </c>
      <c r="D422" s="8" t="n">
        <v>77.8</v>
      </c>
      <c r="E422" s="8" t="n">
        <v>0</v>
      </c>
      <c r="F422" s="8" t="n">
        <v>0</v>
      </c>
    </row>
    <row r="423" customFormat="false" ht="15" hidden="false" customHeight="true" outlineLevel="0" collapsed="false">
      <c r="A423" s="8" t="s">
        <v>216</v>
      </c>
      <c r="B423" s="8" t="s">
        <v>1223</v>
      </c>
      <c r="C423" s="8" t="n">
        <v>4</v>
      </c>
      <c r="D423" s="8" t="n">
        <v>311.2</v>
      </c>
      <c r="E423" s="8" t="n">
        <v>0</v>
      </c>
      <c r="F423" s="8" t="n">
        <v>0</v>
      </c>
    </row>
    <row r="424" customFormat="false" ht="15" hidden="false" customHeight="true" outlineLevel="0" collapsed="false">
      <c r="A424" s="8" t="s">
        <v>190</v>
      </c>
      <c r="B424" s="8" t="s">
        <v>1224</v>
      </c>
      <c r="C424" s="8" t="n">
        <v>8</v>
      </c>
      <c r="D424" s="8" t="n">
        <v>195.44</v>
      </c>
      <c r="E424" s="8" t="n">
        <v>2</v>
      </c>
      <c r="F424" s="8" t="n">
        <v>48.86</v>
      </c>
    </row>
    <row r="425" customFormat="false" ht="15" hidden="false" customHeight="true" outlineLevel="0" collapsed="false">
      <c r="A425" s="8" t="s">
        <v>183</v>
      </c>
      <c r="B425" s="8" t="s">
        <v>1224</v>
      </c>
      <c r="C425" s="8" t="n">
        <v>17</v>
      </c>
      <c r="D425" s="8" t="n">
        <v>415.31</v>
      </c>
      <c r="E425" s="8" t="n">
        <v>2</v>
      </c>
      <c r="F425" s="8" t="n">
        <v>48.86</v>
      </c>
    </row>
    <row r="426" customFormat="false" ht="15" hidden="false" customHeight="true" outlineLevel="0" collapsed="false">
      <c r="A426" s="8" t="s">
        <v>218</v>
      </c>
      <c r="B426" s="8" t="s">
        <v>1224</v>
      </c>
      <c r="C426" s="8" t="n">
        <v>11</v>
      </c>
      <c r="D426" s="8" t="n">
        <v>268.73</v>
      </c>
      <c r="E426" s="8" t="n">
        <v>0</v>
      </c>
      <c r="F426" s="8" t="n">
        <v>0</v>
      </c>
    </row>
    <row r="427" customFormat="false" ht="15" hidden="false" customHeight="true" outlineLevel="0" collapsed="false">
      <c r="A427" s="8" t="s">
        <v>231</v>
      </c>
      <c r="B427" s="8" t="s">
        <v>1224</v>
      </c>
      <c r="C427" s="8" t="n">
        <v>2</v>
      </c>
      <c r="D427" s="8" t="n">
        <v>48.86</v>
      </c>
      <c r="E427" s="8" t="n">
        <v>1</v>
      </c>
      <c r="F427" s="8" t="n">
        <v>24.43</v>
      </c>
    </row>
    <row r="428" customFormat="false" ht="15" hidden="false" customHeight="true" outlineLevel="0" collapsed="false">
      <c r="A428" s="8" t="s">
        <v>286</v>
      </c>
      <c r="B428" s="8" t="s">
        <v>1269</v>
      </c>
      <c r="C428" s="8" t="n">
        <v>6</v>
      </c>
      <c r="D428" s="8" t="n">
        <v>66</v>
      </c>
      <c r="E428" s="8" t="n">
        <v>0</v>
      </c>
      <c r="F428" s="8" t="n">
        <v>0</v>
      </c>
    </row>
    <row r="429" customFormat="false" ht="15" hidden="false" customHeight="true" outlineLevel="0" collapsed="false">
      <c r="A429" s="8" t="s">
        <v>289</v>
      </c>
      <c r="B429" s="8" t="s">
        <v>1270</v>
      </c>
      <c r="C429" s="8" t="n">
        <v>6</v>
      </c>
      <c r="D429" s="8" t="n">
        <v>66</v>
      </c>
      <c r="E429" s="8" t="n">
        <v>0</v>
      </c>
      <c r="F429" s="8" t="n">
        <v>0</v>
      </c>
    </row>
    <row r="430" customFormat="false" ht="15" hidden="false" customHeight="true" outlineLevel="0" collapsed="false">
      <c r="A430" s="8" t="s">
        <v>324</v>
      </c>
      <c r="B430" s="8" t="s">
        <v>1271</v>
      </c>
      <c r="C430" s="8" t="n">
        <v>6</v>
      </c>
      <c r="D430" s="8" t="n">
        <v>66</v>
      </c>
      <c r="E430" s="8" t="n">
        <v>0</v>
      </c>
      <c r="F430" s="8" t="n">
        <v>0</v>
      </c>
    </row>
    <row r="431" customFormat="false" ht="15" hidden="false" customHeight="true" outlineLevel="0" collapsed="false">
      <c r="A431" s="8" t="s">
        <v>337</v>
      </c>
      <c r="B431" s="8" t="s">
        <v>1272</v>
      </c>
      <c r="C431" s="8" t="n">
        <v>6</v>
      </c>
      <c r="D431" s="8" t="n">
        <v>66</v>
      </c>
      <c r="E431" s="8" t="n">
        <v>0</v>
      </c>
      <c r="F431" s="8" t="n">
        <v>0</v>
      </c>
    </row>
    <row r="432" customFormat="false" ht="15" hidden="false" customHeight="true" outlineLevel="0" collapsed="false">
      <c r="A432" s="8" t="s">
        <v>161</v>
      </c>
      <c r="B432" s="8" t="s">
        <v>1208</v>
      </c>
      <c r="C432" s="8" t="n">
        <v>27</v>
      </c>
      <c r="D432" s="8" t="n">
        <v>1228.5</v>
      </c>
      <c r="E432" s="8" t="n">
        <v>2</v>
      </c>
      <c r="F432" s="8" t="n">
        <v>91</v>
      </c>
    </row>
    <row r="433" customFormat="false" ht="15" hidden="false" customHeight="true" outlineLevel="0" collapsed="false">
      <c r="A433" s="8" t="s">
        <v>162</v>
      </c>
      <c r="B433" s="8" t="s">
        <v>1209</v>
      </c>
      <c r="C433" s="8" t="n">
        <v>12</v>
      </c>
      <c r="D433" s="8" t="n">
        <v>933.6</v>
      </c>
      <c r="E433" s="8" t="n">
        <v>4</v>
      </c>
      <c r="F433" s="8" t="n">
        <v>311.2</v>
      </c>
    </row>
    <row r="434" customFormat="false" ht="15" hidden="false" customHeight="true" outlineLevel="0" collapsed="false">
      <c r="A434" s="8" t="s">
        <v>171</v>
      </c>
      <c r="B434" s="8" t="s">
        <v>1210</v>
      </c>
      <c r="C434" s="8" t="n">
        <v>23</v>
      </c>
      <c r="D434" s="8" t="n">
        <v>1086.29</v>
      </c>
      <c r="E434" s="8" t="n">
        <v>0</v>
      </c>
      <c r="F434" s="8" t="n">
        <v>0</v>
      </c>
    </row>
    <row r="435" customFormat="false" ht="15" hidden="false" customHeight="true" outlineLevel="0" collapsed="false">
      <c r="A435" s="8" t="s">
        <v>174</v>
      </c>
      <c r="B435" s="8" t="s">
        <v>1210</v>
      </c>
      <c r="C435" s="8" t="n">
        <v>10</v>
      </c>
      <c r="D435" s="8" t="n">
        <v>472.3</v>
      </c>
      <c r="E435" s="8" t="n">
        <v>2</v>
      </c>
      <c r="F435" s="8" t="n">
        <v>94.46</v>
      </c>
    </row>
    <row r="436" customFormat="false" ht="15" hidden="false" customHeight="true" outlineLevel="0" collapsed="false">
      <c r="A436" s="8" t="s">
        <v>166</v>
      </c>
      <c r="B436" s="8" t="s">
        <v>1211</v>
      </c>
      <c r="C436" s="8" t="n">
        <v>6</v>
      </c>
      <c r="D436" s="8" t="n">
        <v>379.62</v>
      </c>
      <c r="E436" s="8" t="n">
        <v>2</v>
      </c>
      <c r="F436" s="8" t="n">
        <v>126.54</v>
      </c>
    </row>
    <row r="437" customFormat="false" ht="15" hidden="false" customHeight="true" outlineLevel="0" collapsed="false">
      <c r="A437" s="8" t="s">
        <v>164</v>
      </c>
      <c r="B437" s="8" t="s">
        <v>1211</v>
      </c>
      <c r="C437" s="8" t="n">
        <v>13</v>
      </c>
      <c r="D437" s="8" t="n">
        <v>822.51</v>
      </c>
      <c r="E437" s="8" t="n">
        <v>-1</v>
      </c>
      <c r="F437" s="8" t="n">
        <v>-63.27</v>
      </c>
    </row>
    <row r="438" customFormat="false" ht="15" hidden="false" customHeight="true" outlineLevel="0" collapsed="false">
      <c r="A438" s="8" t="s">
        <v>222</v>
      </c>
      <c r="B438" s="8" t="s">
        <v>1211</v>
      </c>
      <c r="C438" s="8" t="n">
        <v>3</v>
      </c>
      <c r="D438" s="8" t="n">
        <v>189.81</v>
      </c>
      <c r="E438" s="8" t="n">
        <v>0</v>
      </c>
      <c r="F438" s="8" t="n">
        <v>0</v>
      </c>
    </row>
    <row r="439" customFormat="false" ht="15" hidden="false" customHeight="true" outlineLevel="0" collapsed="false">
      <c r="A439" s="8" t="s">
        <v>187</v>
      </c>
      <c r="B439" s="8" t="s">
        <v>1211</v>
      </c>
      <c r="C439" s="8" t="n">
        <v>7</v>
      </c>
      <c r="D439" s="8" t="n">
        <v>442.89</v>
      </c>
      <c r="E439" s="8" t="n">
        <v>0</v>
      </c>
      <c r="F439" s="8" t="n">
        <v>0</v>
      </c>
    </row>
    <row r="440" customFormat="false" ht="15" hidden="false" customHeight="true" outlineLevel="0" collapsed="false">
      <c r="A440" s="8" t="s">
        <v>270</v>
      </c>
      <c r="B440" s="8" t="s">
        <v>1251</v>
      </c>
      <c r="C440" s="8" t="n">
        <v>10</v>
      </c>
      <c r="D440" s="8" t="n">
        <v>98.2</v>
      </c>
      <c r="E440" s="8" t="n">
        <v>0</v>
      </c>
      <c r="F440" s="8" t="n">
        <v>0</v>
      </c>
    </row>
    <row r="441" customFormat="false" ht="15" hidden="false" customHeight="true" outlineLevel="0" collapsed="false">
      <c r="A441" s="8" t="s">
        <v>263</v>
      </c>
      <c r="B441" s="8" t="s">
        <v>407</v>
      </c>
      <c r="C441" s="8" t="n">
        <v>8</v>
      </c>
      <c r="D441" s="8" t="n">
        <v>102.56</v>
      </c>
      <c r="E441" s="8" t="n">
        <v>5</v>
      </c>
      <c r="F441" s="8" t="n">
        <v>64.1</v>
      </c>
    </row>
    <row r="442" customFormat="false" ht="15" hidden="false" customHeight="true" outlineLevel="0" collapsed="false">
      <c r="A442" s="8" t="s">
        <v>188</v>
      </c>
      <c r="B442" s="8" t="s">
        <v>1225</v>
      </c>
      <c r="C442" s="8" t="n">
        <v>15</v>
      </c>
      <c r="D442" s="8" t="n">
        <v>433.95</v>
      </c>
      <c r="E442" s="8" t="n">
        <v>5</v>
      </c>
      <c r="F442" s="8" t="n">
        <v>144.65</v>
      </c>
    </row>
    <row r="443" customFormat="false" ht="15" hidden="false" customHeight="true" outlineLevel="0" collapsed="false">
      <c r="A443" s="8" t="s">
        <v>186</v>
      </c>
      <c r="B443" s="8" t="s">
        <v>1225</v>
      </c>
      <c r="C443" s="8" t="n">
        <v>5</v>
      </c>
      <c r="D443" s="8" t="n">
        <v>144.65</v>
      </c>
      <c r="E443" s="8" t="n">
        <v>0</v>
      </c>
      <c r="F443" s="8" t="n">
        <v>0</v>
      </c>
    </row>
    <row r="444" customFormat="false" ht="15" hidden="false" customHeight="true" outlineLevel="0" collapsed="false">
      <c r="A444" s="8" t="s">
        <v>239</v>
      </c>
      <c r="B444" s="8" t="s">
        <v>1225</v>
      </c>
      <c r="C444" s="8" t="n">
        <v>6</v>
      </c>
      <c r="D444" s="8" t="n">
        <v>173.58</v>
      </c>
      <c r="E444" s="8" t="n">
        <v>0</v>
      </c>
      <c r="F444" s="8" t="n">
        <v>0</v>
      </c>
    </row>
    <row r="445" customFormat="false" ht="15" hidden="false" customHeight="true" outlineLevel="0" collapsed="false">
      <c r="A445" s="8" t="s">
        <v>210</v>
      </c>
      <c r="B445" s="8" t="s">
        <v>1225</v>
      </c>
      <c r="C445" s="8" t="n">
        <v>5</v>
      </c>
      <c r="D445" s="8" t="n">
        <v>144.65</v>
      </c>
      <c r="E445" s="8" t="n">
        <v>2</v>
      </c>
      <c r="F445" s="8" t="n">
        <v>57.86</v>
      </c>
    </row>
    <row r="446" customFormat="false" ht="15" hidden="false" customHeight="true" outlineLevel="0" collapsed="false">
      <c r="A446" s="8" t="s">
        <v>320</v>
      </c>
      <c r="B446" s="8" t="s">
        <v>1225</v>
      </c>
      <c r="C446" s="8" t="n">
        <v>2</v>
      </c>
      <c r="D446" s="8" t="n">
        <v>57.86</v>
      </c>
      <c r="E446" s="8" t="n">
        <v>0</v>
      </c>
      <c r="F446" s="8" t="n">
        <v>0</v>
      </c>
    </row>
    <row r="447" customFormat="false" ht="15" hidden="false" customHeight="true" outlineLevel="0" collapsed="false">
      <c r="A447" s="8" t="s">
        <v>238</v>
      </c>
      <c r="B447" s="8" t="s">
        <v>1226</v>
      </c>
      <c r="C447" s="8" t="n">
        <v>4</v>
      </c>
      <c r="D447" s="8" t="n">
        <v>168.68</v>
      </c>
      <c r="E447" s="8" t="n">
        <v>2</v>
      </c>
      <c r="F447" s="8" t="n">
        <v>84.34</v>
      </c>
    </row>
    <row r="448" customFormat="false" ht="15" hidden="false" customHeight="true" outlineLevel="0" collapsed="false">
      <c r="A448" s="8" t="s">
        <v>201</v>
      </c>
      <c r="B448" s="8" t="s">
        <v>1226</v>
      </c>
      <c r="C448" s="8" t="n">
        <v>11</v>
      </c>
      <c r="D448" s="8" t="n">
        <v>463.87</v>
      </c>
      <c r="E448" s="8" t="n">
        <v>2</v>
      </c>
      <c r="F448" s="8" t="n">
        <v>84.34</v>
      </c>
    </row>
    <row r="449" customFormat="false" ht="15" hidden="false" customHeight="true" outlineLevel="0" collapsed="false">
      <c r="A449" s="8" t="s">
        <v>314</v>
      </c>
      <c r="B449" s="8" t="s">
        <v>1226</v>
      </c>
      <c r="C449" s="8" t="n">
        <v>4</v>
      </c>
      <c r="D449" s="8" t="n">
        <v>168.68</v>
      </c>
      <c r="E449" s="8" t="n">
        <v>0</v>
      </c>
      <c r="F449" s="8" t="n">
        <v>0</v>
      </c>
    </row>
    <row r="450" customFormat="false" ht="15" hidden="false" customHeight="true" outlineLevel="0" collapsed="false">
      <c r="A450" s="8" t="s">
        <v>214</v>
      </c>
      <c r="B450" s="8" t="s">
        <v>1226</v>
      </c>
      <c r="C450" s="8" t="n">
        <v>3</v>
      </c>
      <c r="D450" s="8" t="n">
        <v>126.51</v>
      </c>
      <c r="E450" s="8" t="n">
        <v>0</v>
      </c>
      <c r="F450" s="8" t="n">
        <v>0</v>
      </c>
    </row>
    <row r="451" customFormat="false" ht="15" hidden="false" customHeight="true" outlineLevel="0" collapsed="false">
      <c r="A451" s="8" t="s">
        <v>309</v>
      </c>
      <c r="B451" s="8" t="s">
        <v>1226</v>
      </c>
      <c r="C451" s="8" t="n">
        <v>2</v>
      </c>
      <c r="D451" s="8" t="n">
        <v>84.34</v>
      </c>
      <c r="E451" s="8" t="n">
        <v>0</v>
      </c>
      <c r="F451" s="8" t="n">
        <v>0</v>
      </c>
    </row>
    <row r="452" customFormat="false" ht="15" hidden="false" customHeight="true" outlineLevel="0" collapsed="false">
      <c r="A452" s="8" t="s">
        <v>241</v>
      </c>
      <c r="B452" s="8" t="s">
        <v>1227</v>
      </c>
      <c r="C452" s="8" t="n">
        <v>11</v>
      </c>
      <c r="D452" s="8" t="n">
        <v>187</v>
      </c>
      <c r="E452" s="8" t="n">
        <v>4</v>
      </c>
      <c r="F452" s="8" t="n">
        <v>68</v>
      </c>
    </row>
    <row r="453" customFormat="false" ht="15" hidden="false" customHeight="true" outlineLevel="0" collapsed="false">
      <c r="A453" s="8" t="s">
        <v>219</v>
      </c>
      <c r="B453" s="8" t="s">
        <v>1227</v>
      </c>
      <c r="C453" s="8" t="n">
        <v>12</v>
      </c>
      <c r="D453" s="8" t="n">
        <v>204</v>
      </c>
      <c r="E453" s="8" t="n">
        <v>2</v>
      </c>
      <c r="F453" s="8" t="n">
        <v>34</v>
      </c>
    </row>
    <row r="454" customFormat="false" ht="15" hidden="false" customHeight="true" outlineLevel="0" collapsed="false">
      <c r="A454" s="8" t="s">
        <v>292</v>
      </c>
      <c r="B454" s="8" t="s">
        <v>1227</v>
      </c>
      <c r="C454" s="8" t="n">
        <v>6</v>
      </c>
      <c r="D454" s="8" t="n">
        <v>102</v>
      </c>
      <c r="E454" s="8" t="n">
        <v>0</v>
      </c>
      <c r="F454" s="8" t="n">
        <v>0</v>
      </c>
    </row>
    <row r="455" customFormat="false" ht="15" hidden="false" customHeight="true" outlineLevel="0" collapsed="false">
      <c r="A455" s="8" t="s">
        <v>368</v>
      </c>
      <c r="B455" s="8" t="s">
        <v>1227</v>
      </c>
      <c r="C455" s="8" t="n">
        <v>1</v>
      </c>
      <c r="D455" s="8" t="n">
        <v>17</v>
      </c>
      <c r="E455" s="8" t="n">
        <v>0</v>
      </c>
      <c r="F455" s="8" t="n">
        <v>0</v>
      </c>
    </row>
    <row r="456" customFormat="false" ht="15" hidden="false" customHeight="true" outlineLevel="0" collapsed="false">
      <c r="A456" s="8" t="s">
        <v>287</v>
      </c>
      <c r="B456" s="8" t="s">
        <v>1227</v>
      </c>
      <c r="C456" s="8" t="n">
        <v>2</v>
      </c>
      <c r="D456" s="8" t="n">
        <v>34</v>
      </c>
      <c r="E456" s="8" t="n">
        <v>0</v>
      </c>
      <c r="F456" s="8" t="n">
        <v>0</v>
      </c>
    </row>
    <row r="457" customFormat="false" ht="15" hidden="false" customHeight="true" outlineLevel="0" collapsed="false">
      <c r="A457" s="8" t="s">
        <v>229</v>
      </c>
      <c r="B457" s="8" t="s">
        <v>881</v>
      </c>
      <c r="C457" s="8" t="n">
        <v>4</v>
      </c>
      <c r="D457" s="8" t="n">
        <v>164.8</v>
      </c>
      <c r="E457" s="8" t="n">
        <v>4</v>
      </c>
      <c r="F457" s="8" t="n">
        <v>164.8</v>
      </c>
    </row>
    <row r="458" customFormat="false" ht="15" hidden="false" customHeight="true" outlineLevel="0" collapsed="false">
      <c r="A458" s="8" t="s">
        <v>237</v>
      </c>
      <c r="B458" s="8" t="s">
        <v>1259</v>
      </c>
      <c r="C458" s="8" t="n">
        <v>13</v>
      </c>
      <c r="D458" s="8" t="n">
        <v>239.85</v>
      </c>
      <c r="E458" s="8" t="n">
        <v>-2</v>
      </c>
      <c r="F458" s="8" t="n">
        <v>-36.9</v>
      </c>
    </row>
    <row r="459" customFormat="false" ht="15" hidden="false" customHeight="true" outlineLevel="0" collapsed="false">
      <c r="A459" s="8" t="s">
        <v>271</v>
      </c>
      <c r="B459" s="8" t="s">
        <v>1260</v>
      </c>
      <c r="C459" s="8" t="n">
        <v>0</v>
      </c>
      <c r="D459" s="8" t="n">
        <v>0</v>
      </c>
      <c r="E459" s="8" t="n">
        <v>2</v>
      </c>
      <c r="F459" s="8" t="n">
        <v>46.8</v>
      </c>
    </row>
    <row r="460" customFormat="false" ht="15" hidden="false" customHeight="true" outlineLevel="0" collapsed="false">
      <c r="A460" s="8" t="s">
        <v>266</v>
      </c>
      <c r="B460" s="8" t="s">
        <v>1228</v>
      </c>
      <c r="C460" s="8" t="n">
        <v>7</v>
      </c>
      <c r="D460" s="8" t="n">
        <v>139.44</v>
      </c>
      <c r="E460" s="8" t="n">
        <v>0</v>
      </c>
      <c r="F460" s="8" t="n">
        <v>0</v>
      </c>
    </row>
    <row r="461" customFormat="false" ht="15" hidden="false" customHeight="true" outlineLevel="0" collapsed="false">
      <c r="A461" s="8" t="s">
        <v>202</v>
      </c>
      <c r="B461" s="8" t="s">
        <v>1212</v>
      </c>
      <c r="C461" s="8" t="n">
        <v>35</v>
      </c>
      <c r="D461" s="8" t="n">
        <v>332.5</v>
      </c>
      <c r="E461" s="8" t="n">
        <v>0</v>
      </c>
      <c r="F461" s="8" t="n">
        <v>0</v>
      </c>
    </row>
    <row r="462" customFormat="false" ht="15" hidden="false" customHeight="true" outlineLevel="0" collapsed="false">
      <c r="A462" s="8" t="s">
        <v>244</v>
      </c>
      <c r="B462" s="8" t="s">
        <v>1213</v>
      </c>
      <c r="C462" s="8" t="n">
        <v>14</v>
      </c>
      <c r="D462" s="8" t="n">
        <v>133</v>
      </c>
      <c r="E462" s="8" t="n">
        <v>1</v>
      </c>
      <c r="F462" s="8" t="n">
        <v>9.5</v>
      </c>
    </row>
    <row r="463" customFormat="false" ht="15" hidden="false" customHeight="true" outlineLevel="0" collapsed="false">
      <c r="A463" s="8" t="s">
        <v>243</v>
      </c>
      <c r="B463" s="8" t="s">
        <v>1253</v>
      </c>
      <c r="C463" s="8" t="n">
        <v>10</v>
      </c>
      <c r="D463" s="8" t="n">
        <v>129.5</v>
      </c>
      <c r="E463" s="8" t="n">
        <v>0</v>
      </c>
      <c r="F463" s="8" t="n">
        <v>0</v>
      </c>
    </row>
    <row r="464" customFormat="false" ht="15" hidden="false" customHeight="true" outlineLevel="0" collapsed="false">
      <c r="A464" s="8" t="s">
        <v>251</v>
      </c>
      <c r="B464" s="8" t="s">
        <v>1262</v>
      </c>
      <c r="C464" s="8" t="n">
        <v>0</v>
      </c>
      <c r="D464" s="8" t="n">
        <v>0</v>
      </c>
      <c r="E464" s="8" t="n">
        <v>2</v>
      </c>
      <c r="F464" s="8" t="n">
        <v>19.42</v>
      </c>
    </row>
    <row r="465" customFormat="false" ht="15" hidden="false" customHeight="true" outlineLevel="0" collapsed="false">
      <c r="A465" s="8" t="s">
        <v>308</v>
      </c>
      <c r="B465" s="8" t="s">
        <v>1229</v>
      </c>
      <c r="C465" s="8" t="n">
        <v>7</v>
      </c>
      <c r="D465" s="8" t="n">
        <v>56.56</v>
      </c>
      <c r="E465" s="8" t="n">
        <v>3</v>
      </c>
      <c r="F465" s="8" t="n">
        <v>24.24</v>
      </c>
    </row>
    <row r="466" customFormat="false" ht="15" hidden="false" customHeight="true" outlineLevel="0" collapsed="false">
      <c r="A466" s="8" t="s">
        <v>172</v>
      </c>
      <c r="B466" s="8" t="s">
        <v>1214</v>
      </c>
      <c r="C466" s="8" t="n">
        <v>68</v>
      </c>
      <c r="D466" s="8" t="n">
        <v>828.24</v>
      </c>
      <c r="E466" s="8" t="n">
        <v>-2</v>
      </c>
      <c r="F466" s="8" t="n">
        <v>-24.36</v>
      </c>
    </row>
    <row r="467" customFormat="false" ht="15" hidden="false" customHeight="true" outlineLevel="0" collapsed="false">
      <c r="A467" s="8" t="s">
        <v>242</v>
      </c>
      <c r="B467" s="8" t="s">
        <v>1230</v>
      </c>
      <c r="C467" s="8" t="n">
        <v>2</v>
      </c>
      <c r="D467" s="8" t="n">
        <v>77.4</v>
      </c>
      <c r="E467" s="8" t="n">
        <v>0</v>
      </c>
      <c r="F467" s="8" t="n">
        <v>0</v>
      </c>
    </row>
    <row r="468" customFormat="false" ht="15" hidden="false" customHeight="true" outlineLevel="0" collapsed="false">
      <c r="A468" s="8" t="s">
        <v>261</v>
      </c>
      <c r="B468" s="8" t="s">
        <v>1215</v>
      </c>
      <c r="C468" s="8" t="n">
        <v>0</v>
      </c>
      <c r="D468" s="8" t="n">
        <v>0</v>
      </c>
      <c r="E468" s="8" t="n">
        <v>1</v>
      </c>
      <c r="F468" s="8" t="n">
        <v>21.21</v>
      </c>
    </row>
    <row r="469" customFormat="false" ht="15" hidden="false" customHeight="true" outlineLevel="0" collapsed="false">
      <c r="A469" s="8" t="s">
        <v>269</v>
      </c>
      <c r="B469" s="8" t="s">
        <v>1231</v>
      </c>
      <c r="C469" s="8" t="n">
        <v>19</v>
      </c>
      <c r="D469" s="8" t="n">
        <v>215.27</v>
      </c>
      <c r="E469" s="8" t="n">
        <v>2</v>
      </c>
      <c r="F469" s="8" t="n">
        <v>22.66</v>
      </c>
    </row>
    <row r="470" customFormat="false" ht="15" hidden="false" customHeight="true" outlineLevel="0" collapsed="false">
      <c r="A470" s="8" t="s">
        <v>213</v>
      </c>
      <c r="B470" s="8" t="s">
        <v>1232</v>
      </c>
      <c r="C470" s="8" t="n">
        <v>6</v>
      </c>
      <c r="D470" s="8" t="n">
        <v>165.3</v>
      </c>
      <c r="E470" s="8" t="n">
        <v>0</v>
      </c>
      <c r="F470" s="8" t="n">
        <v>0</v>
      </c>
    </row>
    <row r="471" customFormat="false" ht="15" hidden="false" customHeight="true" outlineLevel="0" collapsed="false">
      <c r="A471" s="8" t="s">
        <v>288</v>
      </c>
      <c r="B471" s="8" t="s">
        <v>939</v>
      </c>
      <c r="C471" s="8" t="n">
        <v>6</v>
      </c>
      <c r="D471" s="8" t="n">
        <v>121.44</v>
      </c>
      <c r="E471" s="8" t="n">
        <v>0</v>
      </c>
      <c r="F471" s="8" t="n">
        <v>0</v>
      </c>
    </row>
    <row r="472" customFormat="false" ht="15" hidden="false" customHeight="true" outlineLevel="0" collapsed="false">
      <c r="A472" s="8" t="s">
        <v>281</v>
      </c>
      <c r="B472" s="8" t="s">
        <v>1254</v>
      </c>
      <c r="C472" s="8" t="n">
        <v>4</v>
      </c>
      <c r="D472" s="8" t="n">
        <v>55.36</v>
      </c>
      <c r="E472" s="8" t="n">
        <v>0</v>
      </c>
      <c r="F472" s="8" t="n">
        <v>0</v>
      </c>
    </row>
    <row r="473" customFormat="false" ht="15" hidden="false" customHeight="true" outlineLevel="0" collapsed="false">
      <c r="A473" s="8" t="s">
        <v>232</v>
      </c>
      <c r="B473" s="8" t="s">
        <v>1233</v>
      </c>
      <c r="C473" s="8" t="n">
        <v>8</v>
      </c>
      <c r="D473" s="8" t="n">
        <v>129.6</v>
      </c>
      <c r="E473" s="8" t="n">
        <v>4</v>
      </c>
      <c r="F473" s="8" t="n">
        <v>64.8</v>
      </c>
    </row>
    <row r="474" customFormat="false" ht="15" hidden="false" customHeight="true" outlineLevel="0" collapsed="false">
      <c r="A474" s="8" t="s">
        <v>215</v>
      </c>
      <c r="B474" s="8" t="s">
        <v>1233</v>
      </c>
      <c r="C474" s="8" t="n">
        <v>35</v>
      </c>
      <c r="D474" s="8" t="n">
        <v>623.7</v>
      </c>
      <c r="E474" s="8" t="n">
        <v>2</v>
      </c>
      <c r="F474" s="8" t="n">
        <v>35.64</v>
      </c>
    </row>
    <row r="475" customFormat="false" ht="15" hidden="false" customHeight="true" outlineLevel="0" collapsed="false">
      <c r="A475" s="8" t="s">
        <v>255</v>
      </c>
      <c r="B475" s="8" t="s">
        <v>1273</v>
      </c>
      <c r="C475" s="8" t="n">
        <v>30</v>
      </c>
      <c r="D475" s="8" t="n">
        <v>246</v>
      </c>
      <c r="E475" s="8" t="n">
        <v>3</v>
      </c>
      <c r="F475" s="8" t="n">
        <v>24.6</v>
      </c>
    </row>
    <row r="476" customFormat="false" ht="15" hidden="false" customHeight="true" outlineLevel="0" collapsed="false">
      <c r="A476" s="8" t="s">
        <v>194</v>
      </c>
      <c r="B476" s="8" t="s">
        <v>1239</v>
      </c>
      <c r="C476" s="8" t="n">
        <v>65</v>
      </c>
      <c r="D476" s="8" t="n">
        <v>638.3</v>
      </c>
      <c r="E476" s="8" t="n">
        <v>0</v>
      </c>
      <c r="F476" s="8" t="n">
        <v>0</v>
      </c>
    </row>
    <row r="477" customFormat="false" ht="15" hidden="false" customHeight="true" outlineLevel="0" collapsed="false">
      <c r="A477" s="8" t="s">
        <v>279</v>
      </c>
      <c r="B477" s="8" t="s">
        <v>1274</v>
      </c>
      <c r="C477" s="8" t="n">
        <v>13</v>
      </c>
      <c r="D477" s="8" t="n">
        <v>127.66</v>
      </c>
      <c r="E477" s="8" t="n">
        <v>2</v>
      </c>
      <c r="F477" s="8" t="n">
        <v>19.64</v>
      </c>
    </row>
    <row r="478" customFormat="false" ht="15" hidden="false" customHeight="true" outlineLevel="0" collapsed="false">
      <c r="A478" s="8" t="s">
        <v>317</v>
      </c>
      <c r="B478" s="8" t="s">
        <v>621</v>
      </c>
      <c r="C478" s="8" t="n">
        <v>2</v>
      </c>
      <c r="D478" s="8" t="n">
        <v>98.6</v>
      </c>
      <c r="E478" s="8" t="n">
        <v>0</v>
      </c>
      <c r="F478" s="8" t="n">
        <v>0</v>
      </c>
    </row>
    <row r="479" customFormat="false" ht="15" hidden="false" customHeight="true" outlineLevel="0" collapsed="false">
      <c r="A479" s="8" t="s">
        <v>265</v>
      </c>
      <c r="B479" s="8" t="s">
        <v>621</v>
      </c>
      <c r="C479" s="8" t="n">
        <v>1</v>
      </c>
      <c r="D479" s="8" t="n">
        <v>42</v>
      </c>
      <c r="E479" s="8" t="n">
        <v>0</v>
      </c>
      <c r="F479" s="8" t="n">
        <v>0</v>
      </c>
    </row>
    <row r="480" customFormat="false" ht="15" hidden="false" customHeight="true" outlineLevel="0" collapsed="false">
      <c r="A480" s="8" t="s">
        <v>276</v>
      </c>
      <c r="B480" s="8" t="s">
        <v>621</v>
      </c>
      <c r="C480" s="8" t="n">
        <v>1</v>
      </c>
      <c r="D480" s="8" t="n">
        <v>42</v>
      </c>
      <c r="E480" s="8" t="n">
        <v>0</v>
      </c>
      <c r="F480" s="8" t="n">
        <v>0</v>
      </c>
    </row>
    <row r="481" customFormat="false" ht="15" hidden="false" customHeight="true" outlineLevel="0" collapsed="false">
      <c r="A481" s="8" t="s">
        <v>217</v>
      </c>
      <c r="B481" s="8" t="s">
        <v>1237</v>
      </c>
      <c r="C481" s="8" t="n">
        <v>9</v>
      </c>
      <c r="D481" s="8" t="n">
        <v>165.6</v>
      </c>
      <c r="E481" s="8" t="n">
        <v>0</v>
      </c>
      <c r="F481" s="8" t="n">
        <v>0</v>
      </c>
    </row>
    <row r="482" customFormat="false" ht="15" hidden="false" customHeight="true" outlineLevel="0" collapsed="false">
      <c r="A482" s="8" t="s">
        <v>168</v>
      </c>
      <c r="B482" s="8" t="s">
        <v>1240</v>
      </c>
      <c r="C482" s="8" t="n">
        <v>6</v>
      </c>
      <c r="D482" s="8" t="n">
        <v>250.86</v>
      </c>
      <c r="E482" s="8" t="n">
        <v>0</v>
      </c>
      <c r="F482" s="8" t="n">
        <v>0</v>
      </c>
    </row>
    <row r="483" customFormat="false" ht="15" hidden="false" customHeight="true" outlineLevel="0" collapsed="false">
      <c r="A483" s="8" t="s">
        <v>169</v>
      </c>
      <c r="B483" s="8" t="s">
        <v>1240</v>
      </c>
      <c r="C483" s="8" t="n">
        <v>24</v>
      </c>
      <c r="D483" s="8" t="n">
        <v>1003.44</v>
      </c>
      <c r="E483" s="8" t="n">
        <v>-2</v>
      </c>
      <c r="F483" s="8" t="n">
        <v>-83.62</v>
      </c>
    </row>
    <row r="484" customFormat="false" ht="15" hidden="false" customHeight="true" outlineLevel="0" collapsed="false">
      <c r="A484" s="8" t="s">
        <v>209</v>
      </c>
      <c r="B484" s="8" t="s">
        <v>1245</v>
      </c>
      <c r="C484" s="8" t="n">
        <v>2</v>
      </c>
      <c r="D484" s="8" t="n">
        <v>129.78</v>
      </c>
      <c r="E484" s="8" t="n">
        <v>1</v>
      </c>
      <c r="F484" s="8" t="n">
        <v>64.89</v>
      </c>
    </row>
    <row r="485" customFormat="false" ht="15" hidden="false" customHeight="true" outlineLevel="0" collapsed="false">
      <c r="A485" s="8" t="s">
        <v>180</v>
      </c>
      <c r="B485" s="8" t="s">
        <v>1216</v>
      </c>
      <c r="C485" s="8" t="n">
        <v>18</v>
      </c>
      <c r="D485" s="8" t="n">
        <v>297</v>
      </c>
      <c r="E485" s="8" t="n">
        <v>0</v>
      </c>
      <c r="F485" s="8" t="n">
        <v>0</v>
      </c>
    </row>
    <row r="486" customFormat="false" ht="15" hidden="false" customHeight="true" outlineLevel="0" collapsed="false">
      <c r="A486" s="8" t="s">
        <v>189</v>
      </c>
      <c r="B486" s="8" t="s">
        <v>1216</v>
      </c>
      <c r="C486" s="8" t="n">
        <v>9</v>
      </c>
      <c r="D486" s="8" t="n">
        <v>148.5</v>
      </c>
      <c r="E486" s="8" t="n">
        <v>0</v>
      </c>
      <c r="F486" s="8" t="n">
        <v>0</v>
      </c>
    </row>
    <row r="487" customFormat="false" ht="15" hidden="false" customHeight="true" outlineLevel="0" collapsed="false">
      <c r="A487" s="8" t="s">
        <v>267</v>
      </c>
      <c r="B487" s="8" t="s">
        <v>1216</v>
      </c>
      <c r="C487" s="8" t="n">
        <v>2</v>
      </c>
      <c r="D487" s="8" t="n">
        <v>33</v>
      </c>
      <c r="E487" s="8" t="n">
        <v>0</v>
      </c>
      <c r="F487" s="8" t="n">
        <v>0</v>
      </c>
    </row>
    <row r="488" customFormat="false" ht="15" hidden="false" customHeight="true" outlineLevel="0" collapsed="false">
      <c r="A488" s="8" t="s">
        <v>199</v>
      </c>
      <c r="B488" s="8" t="s">
        <v>1216</v>
      </c>
      <c r="C488" s="8" t="n">
        <v>3</v>
      </c>
      <c r="D488" s="8" t="n">
        <v>49.5</v>
      </c>
      <c r="E488" s="8" t="n">
        <v>-1</v>
      </c>
      <c r="F488" s="8" t="n">
        <v>-16.5</v>
      </c>
    </row>
    <row r="489" customFormat="false" ht="15" hidden="false" customHeight="true" outlineLevel="0" collapsed="false">
      <c r="A489" s="8" t="s">
        <v>250</v>
      </c>
      <c r="B489" s="8" t="s">
        <v>1216</v>
      </c>
      <c r="C489" s="8" t="n">
        <v>6</v>
      </c>
      <c r="D489" s="8" t="n">
        <v>99</v>
      </c>
      <c r="E489" s="8" t="n">
        <v>-1</v>
      </c>
      <c r="F489" s="8" t="n">
        <v>-16.5</v>
      </c>
    </row>
    <row r="490" customFormat="false" ht="15" hidden="false" customHeight="true" outlineLevel="0" collapsed="false">
      <c r="A490" s="8" t="s">
        <v>198</v>
      </c>
      <c r="B490" s="8" t="s">
        <v>1217</v>
      </c>
      <c r="C490" s="8" t="n">
        <v>9</v>
      </c>
      <c r="D490" s="8" t="n">
        <v>184.5</v>
      </c>
      <c r="E490" s="8" t="n">
        <v>4</v>
      </c>
      <c r="F490" s="8" t="n">
        <v>82</v>
      </c>
    </row>
    <row r="491" customFormat="false" ht="15" hidden="false" customHeight="true" outlineLevel="0" collapsed="false">
      <c r="A491" s="8" t="s">
        <v>193</v>
      </c>
      <c r="B491" s="8" t="s">
        <v>1217</v>
      </c>
      <c r="C491" s="8" t="n">
        <v>9</v>
      </c>
      <c r="D491" s="8" t="n">
        <v>184.5</v>
      </c>
      <c r="E491" s="8" t="n">
        <v>2</v>
      </c>
      <c r="F491" s="8" t="n">
        <v>41</v>
      </c>
    </row>
    <row r="492" customFormat="false" ht="15" hidden="false" customHeight="true" outlineLevel="0" collapsed="false">
      <c r="A492" s="8" t="s">
        <v>302</v>
      </c>
      <c r="B492" s="8" t="s">
        <v>1217</v>
      </c>
      <c r="C492" s="8" t="n">
        <v>2</v>
      </c>
      <c r="D492" s="8" t="n">
        <v>41</v>
      </c>
      <c r="E492" s="8" t="n">
        <v>0</v>
      </c>
      <c r="F492" s="8" t="n">
        <v>0</v>
      </c>
    </row>
    <row r="493" customFormat="false" ht="15" hidden="false" customHeight="true" outlineLevel="0" collapsed="false">
      <c r="A493" s="8" t="s">
        <v>205</v>
      </c>
      <c r="B493" s="8" t="s">
        <v>1217</v>
      </c>
      <c r="C493" s="8" t="n">
        <v>3</v>
      </c>
      <c r="D493" s="8" t="n">
        <v>61.5</v>
      </c>
      <c r="E493" s="8" t="n">
        <v>0</v>
      </c>
      <c r="F493" s="8" t="n">
        <v>0</v>
      </c>
    </row>
    <row r="494" customFormat="false" ht="15" hidden="false" customHeight="true" outlineLevel="0" collapsed="false">
      <c r="A494" s="8" t="s">
        <v>256</v>
      </c>
      <c r="B494" s="8" t="s">
        <v>1217</v>
      </c>
      <c r="C494" s="8" t="n">
        <v>4</v>
      </c>
      <c r="D494" s="8" t="n">
        <v>82</v>
      </c>
      <c r="E494" s="8" t="n">
        <v>0</v>
      </c>
      <c r="F494" s="8" t="n">
        <v>0</v>
      </c>
    </row>
    <row r="495" customFormat="false" ht="15" hidden="false" customHeight="true" outlineLevel="0" collapsed="false">
      <c r="A495" s="8" t="s">
        <v>378</v>
      </c>
      <c r="B495" s="8" t="s">
        <v>767</v>
      </c>
      <c r="C495" s="8" t="n">
        <v>0</v>
      </c>
      <c r="D495" s="8" t="n">
        <v>0</v>
      </c>
      <c r="E495" s="8" t="n">
        <v>1</v>
      </c>
      <c r="F495" s="8" t="n">
        <v>21</v>
      </c>
    </row>
    <row r="496" customFormat="false" ht="15" hidden="false" customHeight="true" outlineLevel="0" collapsed="false">
      <c r="A496" s="8" t="s">
        <v>369</v>
      </c>
      <c r="B496" s="8" t="s">
        <v>767</v>
      </c>
      <c r="C496" s="8" t="n">
        <v>1</v>
      </c>
      <c r="D496" s="8" t="n">
        <v>21</v>
      </c>
      <c r="E496" s="8" t="n">
        <v>0</v>
      </c>
      <c r="F496" s="8" t="n">
        <v>0</v>
      </c>
    </row>
    <row r="497" customFormat="false" ht="15" hidden="false" customHeight="true" outlineLevel="0" collapsed="false">
      <c r="A497" s="8" t="s">
        <v>259</v>
      </c>
      <c r="B497" s="8" t="s">
        <v>1265</v>
      </c>
      <c r="C497" s="8" t="n">
        <v>4</v>
      </c>
      <c r="D497" s="8" t="n">
        <v>506.28</v>
      </c>
      <c r="E497" s="8" t="n">
        <v>0</v>
      </c>
      <c r="F497" s="8" t="n">
        <v>0</v>
      </c>
    </row>
    <row r="498" customFormat="false" ht="15" hidden="false" customHeight="true" outlineLevel="0" collapsed="false">
      <c r="A498" s="8" t="s">
        <v>228</v>
      </c>
      <c r="B498" s="8" t="s">
        <v>1275</v>
      </c>
      <c r="C498" s="8" t="n">
        <v>3</v>
      </c>
      <c r="D498" s="8" t="n">
        <v>42.75</v>
      </c>
      <c r="E498" s="8" t="n">
        <v>0</v>
      </c>
      <c r="F498" s="8" t="n">
        <v>0</v>
      </c>
    </row>
    <row r="499" customFormat="false" ht="15" hidden="false" customHeight="true" outlineLevel="0" collapsed="false">
      <c r="A499" s="8" t="s">
        <v>95</v>
      </c>
      <c r="B499" s="8" t="s">
        <v>1247</v>
      </c>
      <c r="C499" s="8" t="n">
        <v>10</v>
      </c>
      <c r="D499" s="8" t="n">
        <v>250</v>
      </c>
      <c r="E499" s="8" t="n">
        <v>0</v>
      </c>
      <c r="F499" s="8" t="n">
        <v>0</v>
      </c>
    </row>
    <row r="500" customFormat="false" ht="15" hidden="false" customHeight="true" outlineLevel="0" collapsed="false">
      <c r="A500" s="8" t="s">
        <v>113</v>
      </c>
      <c r="B500" s="8" t="s">
        <v>1247</v>
      </c>
      <c r="C500" s="8" t="n">
        <v>8</v>
      </c>
      <c r="D500" s="8" t="n">
        <v>200</v>
      </c>
      <c r="E500" s="8" t="n">
        <v>0</v>
      </c>
      <c r="F500" s="8" t="n">
        <v>0</v>
      </c>
    </row>
    <row r="501" customFormat="false" ht="15" hidden="false" customHeight="true" outlineLevel="0" collapsed="false">
      <c r="A501" s="8" t="s">
        <v>99</v>
      </c>
      <c r="B501" s="8" t="s">
        <v>1247</v>
      </c>
      <c r="C501" s="8" t="n">
        <v>2</v>
      </c>
      <c r="D501" s="8" t="n">
        <v>50</v>
      </c>
      <c r="E501" s="8" t="n">
        <v>0</v>
      </c>
      <c r="F501" s="8" t="n">
        <v>0</v>
      </c>
    </row>
    <row r="502" customFormat="false" ht="15" hidden="false" customHeight="true" outlineLevel="0" collapsed="false">
      <c r="A502" s="8" t="s">
        <v>120</v>
      </c>
      <c r="B502" s="8" t="s">
        <v>1247</v>
      </c>
      <c r="C502" s="8" t="n">
        <v>2</v>
      </c>
      <c r="D502" s="8" t="n">
        <v>50</v>
      </c>
      <c r="E502" s="8" t="n">
        <v>0</v>
      </c>
      <c r="F502" s="8" t="n">
        <v>0</v>
      </c>
    </row>
    <row r="503" customFormat="false" ht="15" hidden="false" customHeight="true" outlineLevel="0" collapsed="false">
      <c r="A503" s="8" t="s">
        <v>178</v>
      </c>
      <c r="B503" s="8" t="s">
        <v>1236</v>
      </c>
      <c r="C503" s="8" t="n">
        <v>5</v>
      </c>
      <c r="D503" s="8" t="n">
        <v>175</v>
      </c>
      <c r="E503" s="8" t="n">
        <v>0</v>
      </c>
      <c r="F503" s="8" t="n">
        <v>0</v>
      </c>
    </row>
    <row r="504" customFormat="false" ht="15" hidden="false" customHeight="true" outlineLevel="0" collapsed="false">
      <c r="A504" s="8" t="s">
        <v>235</v>
      </c>
      <c r="B504" s="8" t="s">
        <v>1236</v>
      </c>
      <c r="C504" s="8" t="n">
        <v>4</v>
      </c>
      <c r="D504" s="8" t="n">
        <v>140</v>
      </c>
      <c r="E504" s="8" t="n">
        <v>0</v>
      </c>
      <c r="F504" s="8" t="n">
        <v>0</v>
      </c>
    </row>
    <row r="505" customFormat="false" ht="15" hidden="false" customHeight="true" outlineLevel="0" collapsed="false">
      <c r="A505" s="8" t="s">
        <v>224</v>
      </c>
      <c r="B505" s="8" t="s">
        <v>1236</v>
      </c>
      <c r="C505" s="8" t="n">
        <v>2</v>
      </c>
      <c r="D505" s="8" t="n">
        <v>70</v>
      </c>
      <c r="E505" s="8" t="n">
        <v>0</v>
      </c>
      <c r="F505" s="8" t="n">
        <v>0</v>
      </c>
    </row>
    <row r="506" customFormat="false" ht="15" hidden="false" customHeight="true" outlineLevel="0" collapsed="false">
      <c r="A506" s="8" t="s">
        <v>179</v>
      </c>
      <c r="B506" s="8" t="s">
        <v>1218</v>
      </c>
      <c r="C506" s="8" t="n">
        <v>2</v>
      </c>
      <c r="D506" s="8" t="n">
        <v>253</v>
      </c>
      <c r="E506" s="8" t="n">
        <v>0</v>
      </c>
      <c r="F506" s="8" t="n">
        <v>0</v>
      </c>
    </row>
    <row r="507" customFormat="false" ht="15" hidden="false" customHeight="true" outlineLevel="0" collapsed="false">
      <c r="A507" s="8" t="s">
        <v>185</v>
      </c>
      <c r="B507" s="8" t="s">
        <v>1218</v>
      </c>
      <c r="C507" s="8" t="n">
        <v>0</v>
      </c>
      <c r="D507" s="8" t="n">
        <v>0</v>
      </c>
      <c r="E507" s="8" t="n">
        <v>1</v>
      </c>
      <c r="F507" s="8" t="n">
        <v>126.5</v>
      </c>
    </row>
    <row r="508" customFormat="false" ht="15" hidden="false" customHeight="true" outlineLevel="0" collapsed="false">
      <c r="A508" s="8" t="s">
        <v>195</v>
      </c>
      <c r="B508" s="8" t="s">
        <v>1218</v>
      </c>
      <c r="C508" s="8" t="n">
        <v>1</v>
      </c>
      <c r="D508" s="8" t="n">
        <v>126.5</v>
      </c>
      <c r="E508" s="8" t="n">
        <v>0</v>
      </c>
      <c r="F508" s="8" t="n">
        <v>0</v>
      </c>
    </row>
    <row r="509" customFormat="false" ht="15" hidden="false" customHeight="true" outlineLevel="0" collapsed="false">
      <c r="A509" s="8" t="s">
        <v>273</v>
      </c>
      <c r="B509" s="8" t="s">
        <v>1218</v>
      </c>
      <c r="C509" s="8" t="n">
        <v>3</v>
      </c>
      <c r="D509" s="8" t="n">
        <v>379.5</v>
      </c>
      <c r="E509" s="8" t="n">
        <v>0</v>
      </c>
      <c r="F509" s="8" t="n">
        <v>0</v>
      </c>
    </row>
    <row r="510" customFormat="false" ht="15" hidden="false" customHeight="true" outlineLevel="0" collapsed="false">
      <c r="A510" s="8" t="s">
        <v>240</v>
      </c>
      <c r="B510" s="8" t="s">
        <v>769</v>
      </c>
      <c r="C510" s="8" t="n">
        <v>6</v>
      </c>
      <c r="D510" s="8" t="n">
        <v>102</v>
      </c>
      <c r="E510" s="8" t="n">
        <v>0</v>
      </c>
      <c r="F510" s="8" t="n">
        <v>0</v>
      </c>
    </row>
    <row r="511" customFormat="false" ht="15" hidden="false" customHeight="true" outlineLevel="0" collapsed="false">
      <c r="A511" s="8" t="s">
        <v>234</v>
      </c>
      <c r="B511" s="8" t="s">
        <v>769</v>
      </c>
      <c r="C511" s="8" t="n">
        <v>5</v>
      </c>
      <c r="D511" s="8" t="n">
        <v>85</v>
      </c>
      <c r="E511" s="8" t="n">
        <v>0</v>
      </c>
      <c r="F511" s="8" t="n">
        <v>0</v>
      </c>
    </row>
    <row r="512" customFormat="false" ht="15" hidden="false" customHeight="true" outlineLevel="0" collapsed="false">
      <c r="A512" s="8" t="s">
        <v>247</v>
      </c>
      <c r="B512" s="8" t="s">
        <v>769</v>
      </c>
      <c r="C512" s="8" t="n">
        <v>9</v>
      </c>
      <c r="D512" s="8" t="n">
        <v>153</v>
      </c>
      <c r="E512" s="8" t="n">
        <v>0</v>
      </c>
      <c r="F512" s="8" t="n">
        <v>0</v>
      </c>
    </row>
    <row r="513" customFormat="false" ht="15" hidden="false" customHeight="true" outlineLevel="0" collapsed="false">
      <c r="A513" s="8" t="s">
        <v>300</v>
      </c>
      <c r="B513" s="8" t="s">
        <v>769</v>
      </c>
      <c r="C513" s="8" t="n">
        <v>1</v>
      </c>
      <c r="D513" s="8" t="n">
        <v>17</v>
      </c>
      <c r="E513" s="8" t="n">
        <v>0</v>
      </c>
      <c r="F513" s="8" t="n">
        <v>0</v>
      </c>
    </row>
    <row r="514" customFormat="false" ht="15" hidden="false" customHeight="true" outlineLevel="0" collapsed="false">
      <c r="A514" s="8" t="s">
        <v>367</v>
      </c>
      <c r="B514" s="8" t="s">
        <v>769</v>
      </c>
      <c r="C514" s="8" t="n">
        <v>1</v>
      </c>
      <c r="D514" s="8" t="n">
        <v>17</v>
      </c>
      <c r="E514" s="8" t="n">
        <v>0</v>
      </c>
      <c r="F514" s="8" t="n">
        <v>0</v>
      </c>
    </row>
    <row r="515" customFormat="false" ht="15" hidden="false" customHeight="true" outlineLevel="0" collapsed="false">
      <c r="A515" s="8" t="s">
        <v>182</v>
      </c>
      <c r="B515" s="8" t="s">
        <v>799</v>
      </c>
      <c r="C515" s="8" t="n">
        <v>12</v>
      </c>
      <c r="D515" s="8" t="n">
        <v>240</v>
      </c>
      <c r="E515" s="8" t="n">
        <v>1</v>
      </c>
      <c r="F515" s="8" t="n">
        <v>20</v>
      </c>
    </row>
    <row r="516" customFormat="false" ht="15" hidden="false" customHeight="true" outlineLevel="0" collapsed="false">
      <c r="A516" s="8" t="s">
        <v>274</v>
      </c>
      <c r="B516" s="8" t="s">
        <v>1219</v>
      </c>
      <c r="C516" s="8" t="n">
        <v>12</v>
      </c>
      <c r="D516" s="8" t="n">
        <v>104.76</v>
      </c>
      <c r="E516" s="8" t="n">
        <v>2</v>
      </c>
      <c r="F516" s="8" t="n">
        <v>17.46</v>
      </c>
    </row>
    <row r="517" customFormat="false" ht="15" hidden="false" customHeight="true" outlineLevel="0" collapsed="false">
      <c r="A517" s="8" t="s">
        <v>170</v>
      </c>
      <c r="B517" s="8" t="s">
        <v>1220</v>
      </c>
      <c r="C517" s="8" t="n">
        <v>36</v>
      </c>
      <c r="D517" s="8" t="n">
        <v>532.8</v>
      </c>
      <c r="E517" s="8" t="n">
        <v>0</v>
      </c>
      <c r="F517" s="8" t="n">
        <v>0</v>
      </c>
    </row>
    <row r="518" customFormat="false" ht="15" hidden="false" customHeight="true" outlineLevel="0" collapsed="false">
      <c r="A518" s="8" t="s">
        <v>167</v>
      </c>
      <c r="B518" s="8" t="s">
        <v>1238</v>
      </c>
      <c r="C518" s="8" t="n">
        <v>94</v>
      </c>
      <c r="D518" s="8" t="n">
        <v>1259.6</v>
      </c>
      <c r="E518" s="8" t="n">
        <v>0</v>
      </c>
      <c r="F518" s="8" t="n">
        <v>0</v>
      </c>
    </row>
    <row r="519" customFormat="false" ht="15" hidden="false" customHeight="true" outlineLevel="0" collapsed="false">
      <c r="A519" s="8" t="s">
        <v>334</v>
      </c>
      <c r="B519" s="8" t="s">
        <v>1276</v>
      </c>
      <c r="C519" s="8" t="n">
        <v>3</v>
      </c>
      <c r="D519" s="8" t="n">
        <v>48.6</v>
      </c>
      <c r="E519" s="8" t="n">
        <v>-1</v>
      </c>
      <c r="F519" s="8" t="n">
        <v>-16.2</v>
      </c>
    </row>
    <row r="520" customFormat="false" ht="15" hidden="false" customHeight="true" outlineLevel="0" collapsed="false">
      <c r="A520" s="8" t="s">
        <v>323</v>
      </c>
      <c r="B520" s="8" t="s">
        <v>875</v>
      </c>
      <c r="C520" s="8" t="n">
        <v>7</v>
      </c>
      <c r="D520" s="8" t="n">
        <v>111.37</v>
      </c>
      <c r="E520" s="8" t="n">
        <v>0</v>
      </c>
      <c r="F520" s="8" t="n">
        <v>0</v>
      </c>
    </row>
    <row r="521" customFormat="false" ht="15" hidden="false" customHeight="true" outlineLevel="0" collapsed="false">
      <c r="A521" s="8" t="s">
        <v>315</v>
      </c>
      <c r="B521" s="8" t="s">
        <v>1266</v>
      </c>
      <c r="C521" s="8" t="n">
        <v>5</v>
      </c>
      <c r="D521" s="8" t="n">
        <v>79.55</v>
      </c>
      <c r="E521" s="8" t="n">
        <v>0</v>
      </c>
      <c r="F521" s="8" t="n">
        <v>0</v>
      </c>
    </row>
    <row r="522" customFormat="false" ht="15" hidden="false" customHeight="true" outlineLevel="0" collapsed="false">
      <c r="A522" s="8" t="s">
        <v>220</v>
      </c>
      <c r="B522" s="8" t="s">
        <v>1248</v>
      </c>
      <c r="C522" s="8" t="n">
        <v>30</v>
      </c>
      <c r="D522" s="8" t="n">
        <v>312</v>
      </c>
      <c r="E522" s="8" t="n">
        <v>0</v>
      </c>
      <c r="F522" s="8" t="n">
        <v>0</v>
      </c>
    </row>
    <row r="523" customFormat="false" ht="15" hidden="false" customHeight="true" outlineLevel="0" collapsed="false">
      <c r="A523" s="8" t="s">
        <v>275</v>
      </c>
      <c r="B523" s="8" t="s">
        <v>1257</v>
      </c>
      <c r="C523" s="8" t="n">
        <v>5</v>
      </c>
      <c r="D523" s="8" t="n">
        <v>108</v>
      </c>
      <c r="E523" s="8" t="n">
        <v>0</v>
      </c>
      <c r="F523" s="8" t="n">
        <v>0</v>
      </c>
    </row>
    <row r="524" customFormat="false" ht="15" hidden="false" customHeight="true" outlineLevel="0" collapsed="false">
      <c r="A524" s="8" t="s">
        <v>233</v>
      </c>
      <c r="B524" s="8" t="s">
        <v>1249</v>
      </c>
      <c r="C524" s="8" t="n">
        <v>21</v>
      </c>
      <c r="D524" s="8" t="n">
        <v>376.95</v>
      </c>
      <c r="E524" s="8" t="n">
        <v>0</v>
      </c>
      <c r="F524" s="8" t="n">
        <v>0</v>
      </c>
    </row>
    <row r="525" customFormat="false" ht="15" hidden="false" customHeight="true" outlineLevel="0" collapsed="false">
      <c r="A525" s="8" t="s">
        <v>264</v>
      </c>
      <c r="B525" s="8" t="s">
        <v>1221</v>
      </c>
      <c r="C525" s="8" t="n">
        <v>39</v>
      </c>
      <c r="D525" s="8" t="n">
        <v>226.59</v>
      </c>
      <c r="E525" s="8" t="n">
        <v>5</v>
      </c>
      <c r="F525" s="8" t="n">
        <v>29.05</v>
      </c>
    </row>
    <row r="526" customFormat="false" ht="15" hidden="false" customHeight="true" outlineLevel="0" collapsed="false">
      <c r="A526" s="8" t="s">
        <v>348</v>
      </c>
      <c r="B526" s="8" t="s">
        <v>1277</v>
      </c>
      <c r="C526" s="8" t="n">
        <v>4</v>
      </c>
      <c r="D526" s="8" t="n">
        <v>27.2</v>
      </c>
      <c r="E526" s="8" t="n">
        <v>0</v>
      </c>
      <c r="F526" s="8" t="n">
        <v>0</v>
      </c>
    </row>
    <row r="527" customFormat="false" ht="15" hidden="false" customHeight="true" outlineLevel="0" collapsed="false">
      <c r="A527" s="8" t="s">
        <v>258</v>
      </c>
      <c r="B527" s="8" t="s">
        <v>562</v>
      </c>
      <c r="C527" s="8" t="n">
        <v>2</v>
      </c>
      <c r="D527" s="8" t="n">
        <v>72</v>
      </c>
      <c r="E527" s="8" t="n">
        <v>0</v>
      </c>
      <c r="F527" s="8" t="n">
        <v>0</v>
      </c>
    </row>
    <row r="528" customFormat="false" ht="15" hidden="false" customHeight="true" outlineLevel="0" collapsed="false">
      <c r="A528" s="8" t="s">
        <v>252</v>
      </c>
      <c r="B528" s="8" t="s">
        <v>1177</v>
      </c>
      <c r="C528" s="8" t="n">
        <v>6</v>
      </c>
      <c r="D528" s="8" t="n">
        <v>99.6</v>
      </c>
      <c r="E528" s="8" t="n">
        <v>0</v>
      </c>
      <c r="F528" s="8" t="n">
        <v>0</v>
      </c>
    </row>
    <row r="529" customFormat="false" ht="15" hidden="false" customHeight="true" outlineLevel="0" collapsed="false">
      <c r="A529" s="8" t="s">
        <v>203</v>
      </c>
      <c r="B529" s="8" t="s">
        <v>1177</v>
      </c>
      <c r="C529" s="8" t="n">
        <v>34</v>
      </c>
      <c r="D529" s="8" t="n">
        <v>629</v>
      </c>
      <c r="E529" s="8" t="n">
        <v>10</v>
      </c>
      <c r="F529" s="8" t="n">
        <v>185</v>
      </c>
    </row>
    <row r="530" customFormat="false" ht="15" hidden="false" customHeight="true" outlineLevel="0" collapsed="false">
      <c r="A530" s="8" t="s">
        <v>211</v>
      </c>
      <c r="B530" s="8" t="s">
        <v>1250</v>
      </c>
      <c r="C530" s="8" t="n">
        <v>14</v>
      </c>
      <c r="D530" s="8" t="n">
        <v>350</v>
      </c>
      <c r="E530" s="8" t="n">
        <v>-3</v>
      </c>
      <c r="F530" s="8" t="n">
        <v>-75</v>
      </c>
    </row>
    <row r="531" customFormat="false" ht="15" hidden="false" customHeight="true" outlineLevel="0" collapsed="false">
      <c r="A531" s="8" t="s">
        <v>248</v>
      </c>
      <c r="B531" s="8" t="s">
        <v>1242</v>
      </c>
      <c r="C531" s="8" t="n">
        <v>6</v>
      </c>
      <c r="D531" s="8" t="n">
        <v>126</v>
      </c>
      <c r="E531" s="8" t="n">
        <v>0</v>
      </c>
      <c r="F531" s="8" t="n">
        <v>0</v>
      </c>
    </row>
    <row r="532" customFormat="false" ht="15" hidden="false" customHeight="true" outlineLevel="0" collapsed="false">
      <c r="A532" s="8" t="s">
        <v>196</v>
      </c>
      <c r="B532" s="8" t="s">
        <v>1243</v>
      </c>
      <c r="C532" s="8" t="n">
        <v>8</v>
      </c>
      <c r="D532" s="8" t="n">
        <v>428</v>
      </c>
      <c r="E532" s="8" t="n">
        <v>0</v>
      </c>
      <c r="F532" s="8" t="n">
        <v>0</v>
      </c>
    </row>
    <row r="533" customFormat="false" ht="15" hidden="false" customHeight="true" outlineLevel="0" collapsed="false">
      <c r="A533" s="8" t="s">
        <v>212</v>
      </c>
      <c r="B533" s="8" t="s">
        <v>1278</v>
      </c>
      <c r="C533" s="8" t="n">
        <v>4</v>
      </c>
      <c r="D533" s="8" t="n">
        <v>374</v>
      </c>
      <c r="E533" s="8" t="n">
        <v>-1</v>
      </c>
      <c r="F533" s="8" t="n">
        <v>-93.5</v>
      </c>
    </row>
    <row r="534" customFormat="false" ht="15" hidden="false" customHeight="true" outlineLevel="0" collapsed="false">
      <c r="A534" s="8" t="s">
        <v>312</v>
      </c>
      <c r="B534" s="8" t="s">
        <v>767</v>
      </c>
      <c r="C534" s="8" t="n">
        <v>2</v>
      </c>
      <c r="D534" s="8" t="n">
        <v>41</v>
      </c>
      <c r="E534" s="8" t="n">
        <v>0</v>
      </c>
      <c r="F534" s="8" t="n">
        <v>0</v>
      </c>
    </row>
    <row r="535" customFormat="false" ht="15" hidden="false" customHeight="true" outlineLevel="0" collapsed="false">
      <c r="A535" s="8" t="s">
        <v>226</v>
      </c>
      <c r="B535" s="8" t="s">
        <v>566</v>
      </c>
      <c r="C535" s="8" t="n">
        <v>11</v>
      </c>
      <c r="D535" s="8" t="n">
        <v>228.8</v>
      </c>
      <c r="E535" s="8" t="n">
        <v>-1</v>
      </c>
      <c r="F535" s="8" t="n">
        <v>-20.8</v>
      </c>
    </row>
    <row r="536" customFormat="false" ht="15" hidden="false" customHeight="true" outlineLevel="0" collapsed="false">
      <c r="A536" s="8" t="s">
        <v>301</v>
      </c>
      <c r="B536" s="8" t="s">
        <v>1258</v>
      </c>
      <c r="C536" s="8" t="n">
        <v>3</v>
      </c>
      <c r="D536" s="8" t="n">
        <v>282.3</v>
      </c>
      <c r="E536" s="8" t="n">
        <v>0</v>
      </c>
      <c r="F536" s="8" t="n">
        <v>0</v>
      </c>
    </row>
    <row r="537" customFormat="false" ht="15" hidden="false" customHeight="true" outlineLevel="0" collapsed="false">
      <c r="A537" s="8" t="s">
        <v>310</v>
      </c>
      <c r="B537" s="8" t="s">
        <v>1258</v>
      </c>
      <c r="C537" s="8" t="n">
        <v>1</v>
      </c>
      <c r="D537" s="8" t="n">
        <v>94.1</v>
      </c>
      <c r="E537" s="8" t="n">
        <v>0</v>
      </c>
      <c r="F537" s="8" t="n">
        <v>0</v>
      </c>
    </row>
    <row r="538" customFormat="false" ht="15" hidden="false" customHeight="true" outlineLevel="0" collapsed="false">
      <c r="A538" s="8" t="s">
        <v>343</v>
      </c>
      <c r="B538" s="8" t="s">
        <v>1258</v>
      </c>
      <c r="C538" s="8" t="n">
        <v>3</v>
      </c>
      <c r="D538" s="8" t="n">
        <v>282.3</v>
      </c>
      <c r="E538" s="8" t="n">
        <v>0</v>
      </c>
      <c r="F538" s="8" t="n">
        <v>0</v>
      </c>
    </row>
    <row r="539" customFormat="false" ht="15" hidden="false" customHeight="true" outlineLevel="0" collapsed="false">
      <c r="A539" s="8" t="s">
        <v>366</v>
      </c>
      <c r="B539" s="8" t="s">
        <v>1258</v>
      </c>
      <c r="C539" s="8" t="n">
        <v>0</v>
      </c>
      <c r="D539" s="8" t="n">
        <v>0</v>
      </c>
      <c r="E539" s="8" t="n">
        <v>1</v>
      </c>
      <c r="F539" s="8" t="n">
        <v>94.1</v>
      </c>
    </row>
    <row r="540" customFormat="false" ht="15" hidden="false" customHeight="true" outlineLevel="0" collapsed="false">
      <c r="A540" s="8" t="s">
        <v>200</v>
      </c>
      <c r="B540" s="8" t="s">
        <v>1279</v>
      </c>
      <c r="C540" s="8" t="n">
        <v>5</v>
      </c>
      <c r="D540" s="8" t="n">
        <v>386.2</v>
      </c>
      <c r="E540" s="8" t="n">
        <v>0</v>
      </c>
      <c r="F540" s="8" t="n">
        <v>0</v>
      </c>
    </row>
    <row r="541" customFormat="false" ht="15" hidden="false" customHeight="true" outlineLevel="0" collapsed="false">
      <c r="A541" s="8" t="s">
        <v>190</v>
      </c>
      <c r="B541" s="8" t="s">
        <v>1224</v>
      </c>
      <c r="C541" s="8" t="n">
        <v>0</v>
      </c>
      <c r="D541" s="8" t="n">
        <v>0</v>
      </c>
      <c r="E541" s="8" t="n">
        <v>4</v>
      </c>
      <c r="F541" s="8" t="n">
        <v>97.72</v>
      </c>
    </row>
    <row r="542" customFormat="false" ht="15" hidden="false" customHeight="true" outlineLevel="0" collapsed="false">
      <c r="A542" s="8" t="s">
        <v>183</v>
      </c>
      <c r="B542" s="8" t="s">
        <v>1224</v>
      </c>
      <c r="C542" s="8" t="n">
        <v>3</v>
      </c>
      <c r="D542" s="8" t="n">
        <v>73.29</v>
      </c>
      <c r="E542" s="8" t="n">
        <v>4</v>
      </c>
      <c r="F542" s="8" t="n">
        <v>97.72</v>
      </c>
    </row>
    <row r="543" customFormat="false" ht="15" hidden="false" customHeight="true" outlineLevel="0" collapsed="false">
      <c r="A543" s="8" t="s">
        <v>164</v>
      </c>
      <c r="B543" s="8" t="s">
        <v>1211</v>
      </c>
      <c r="C543" s="8" t="n">
        <v>3</v>
      </c>
      <c r="D543" s="8" t="n">
        <v>189.81</v>
      </c>
      <c r="E543" s="8" t="n">
        <v>0</v>
      </c>
      <c r="F543" s="8" t="n">
        <v>0</v>
      </c>
    </row>
    <row r="544" customFormat="false" ht="15" hidden="false" customHeight="true" outlineLevel="0" collapsed="false">
      <c r="A544" s="8" t="s">
        <v>187</v>
      </c>
      <c r="B544" s="8" t="s">
        <v>1211</v>
      </c>
      <c r="C544" s="8" t="n">
        <v>3</v>
      </c>
      <c r="D544" s="8" t="n">
        <v>189.81</v>
      </c>
      <c r="E544" s="8" t="n">
        <v>0</v>
      </c>
      <c r="F544" s="8" t="n">
        <v>0</v>
      </c>
    </row>
    <row r="545" customFormat="false" ht="15" hidden="false" customHeight="true" outlineLevel="0" collapsed="false">
      <c r="A545" s="8" t="s">
        <v>188</v>
      </c>
      <c r="B545" s="8" t="s">
        <v>1225</v>
      </c>
      <c r="C545" s="8" t="n">
        <v>0</v>
      </c>
      <c r="D545" s="8" t="n">
        <v>0</v>
      </c>
      <c r="E545" s="8" t="n">
        <v>2</v>
      </c>
      <c r="F545" s="8" t="n">
        <v>57.86</v>
      </c>
    </row>
    <row r="546" customFormat="false" ht="15" hidden="false" customHeight="true" outlineLevel="0" collapsed="false">
      <c r="A546" s="8" t="s">
        <v>186</v>
      </c>
      <c r="B546" s="8" t="s">
        <v>1225</v>
      </c>
      <c r="C546" s="8" t="n">
        <v>0</v>
      </c>
      <c r="D546" s="8" t="n">
        <v>0</v>
      </c>
      <c r="E546" s="8" t="n">
        <v>3</v>
      </c>
      <c r="F546" s="8" t="n">
        <v>86.79</v>
      </c>
    </row>
    <row r="547" customFormat="false" ht="15" hidden="false" customHeight="true" outlineLevel="0" collapsed="false">
      <c r="A547" s="8" t="s">
        <v>255</v>
      </c>
      <c r="B547" s="8" t="s">
        <v>1273</v>
      </c>
      <c r="C547" s="8" t="n">
        <v>5</v>
      </c>
      <c r="D547" s="8" t="n">
        <v>41</v>
      </c>
      <c r="E547" s="8" t="n">
        <v>0</v>
      </c>
      <c r="F547" s="8" t="n">
        <v>0</v>
      </c>
    </row>
    <row r="548" customFormat="false" ht="15" hidden="false" customHeight="true" outlineLevel="0" collapsed="false">
      <c r="A548" s="8" t="s">
        <v>279</v>
      </c>
      <c r="B548" s="8" t="s">
        <v>1274</v>
      </c>
      <c r="C548" s="8" t="n">
        <v>5</v>
      </c>
      <c r="D548" s="8" t="n">
        <v>49.1</v>
      </c>
      <c r="E548" s="8" t="n">
        <v>0</v>
      </c>
      <c r="F548" s="8" t="n">
        <v>0</v>
      </c>
    </row>
    <row r="549" customFormat="false" ht="15" hidden="false" customHeight="true" outlineLevel="0" collapsed="false">
      <c r="A549" s="8" t="s">
        <v>168</v>
      </c>
      <c r="B549" s="8" t="s">
        <v>1240</v>
      </c>
      <c r="C549" s="8" t="n">
        <v>2</v>
      </c>
      <c r="D549" s="8" t="n">
        <v>83.62</v>
      </c>
      <c r="E549" s="8" t="n">
        <v>0</v>
      </c>
      <c r="F549" s="8" t="n">
        <v>0</v>
      </c>
    </row>
    <row r="550" customFormat="false" ht="15" hidden="false" customHeight="true" outlineLevel="0" collapsed="false">
      <c r="A550" s="8" t="s">
        <v>169</v>
      </c>
      <c r="B550" s="8" t="s">
        <v>1240</v>
      </c>
      <c r="C550" s="8" t="n">
        <v>1</v>
      </c>
      <c r="D550" s="8" t="n">
        <v>41.81</v>
      </c>
      <c r="E550" s="8" t="n">
        <v>0</v>
      </c>
      <c r="F550" s="8" t="n">
        <v>0</v>
      </c>
    </row>
    <row r="551" customFormat="false" ht="15" hidden="false" customHeight="true" outlineLevel="0" collapsed="false">
      <c r="A551" s="8" t="s">
        <v>180</v>
      </c>
      <c r="B551" s="8" t="s">
        <v>1216</v>
      </c>
      <c r="C551" s="8" t="n">
        <v>0</v>
      </c>
      <c r="D551" s="8" t="n">
        <v>0</v>
      </c>
      <c r="E551" s="8" t="n">
        <v>2</v>
      </c>
      <c r="F551" s="8" t="n">
        <v>33</v>
      </c>
    </row>
    <row r="552" customFormat="false" ht="15" hidden="false" customHeight="true" outlineLevel="0" collapsed="false">
      <c r="A552" s="8" t="s">
        <v>189</v>
      </c>
      <c r="B552" s="8" t="s">
        <v>1216</v>
      </c>
      <c r="C552" s="8" t="n">
        <v>0</v>
      </c>
      <c r="D552" s="8" t="n">
        <v>0</v>
      </c>
      <c r="E552" s="8" t="n">
        <v>2</v>
      </c>
      <c r="F552" s="8" t="n">
        <v>33</v>
      </c>
    </row>
    <row r="553" customFormat="false" ht="15" hidden="false" customHeight="true" outlineLevel="0" collapsed="false">
      <c r="A553" s="8" t="s">
        <v>358</v>
      </c>
      <c r="B553" s="8" t="s">
        <v>1280</v>
      </c>
      <c r="C553" s="8" t="n">
        <v>1</v>
      </c>
      <c r="D553" s="8" t="n">
        <v>65</v>
      </c>
      <c r="E553" s="8" t="n">
        <v>0</v>
      </c>
      <c r="F553" s="8" t="n">
        <v>0</v>
      </c>
    </row>
    <row r="554" customFormat="false" ht="15" hidden="false" customHeight="true" outlineLevel="0" collapsed="false">
      <c r="A554" s="8" t="s">
        <v>163</v>
      </c>
      <c r="B554" s="8" t="s">
        <v>897</v>
      </c>
      <c r="C554" s="8" t="n">
        <v>3</v>
      </c>
      <c r="D554" s="8" t="n">
        <v>195</v>
      </c>
      <c r="E554" s="8" t="n">
        <v>0</v>
      </c>
      <c r="F554" s="8" t="n">
        <v>0</v>
      </c>
    </row>
    <row r="555" customFormat="false" ht="15" hidden="false" customHeight="true" outlineLevel="0" collapsed="false">
      <c r="A555" s="8" t="s">
        <v>181</v>
      </c>
      <c r="B555" s="8" t="s">
        <v>897</v>
      </c>
      <c r="C555" s="8" t="n">
        <v>2</v>
      </c>
      <c r="D555" s="8" t="n">
        <v>130</v>
      </c>
      <c r="E555" s="8" t="n">
        <v>1</v>
      </c>
      <c r="F555" s="8" t="n">
        <v>65</v>
      </c>
    </row>
    <row r="556" customFormat="false" ht="15" hidden="false" customHeight="true" outlineLevel="0" collapsed="false">
      <c r="A556" s="8" t="s">
        <v>183</v>
      </c>
      <c r="B556" s="8" t="s">
        <v>1224</v>
      </c>
      <c r="C556" s="8" t="n">
        <v>4</v>
      </c>
      <c r="D556" s="8" t="n">
        <v>97.72</v>
      </c>
      <c r="E556" s="8" t="n">
        <v>1</v>
      </c>
      <c r="F556" s="8" t="n">
        <v>24.43</v>
      </c>
    </row>
    <row r="557" customFormat="false" ht="15" hidden="false" customHeight="true" outlineLevel="0" collapsed="false">
      <c r="A557" s="8" t="s">
        <v>218</v>
      </c>
      <c r="B557" s="8" t="s">
        <v>1224</v>
      </c>
      <c r="C557" s="8" t="n">
        <v>1</v>
      </c>
      <c r="D557" s="8" t="n">
        <v>24.43</v>
      </c>
      <c r="E557" s="8" t="n">
        <v>0</v>
      </c>
      <c r="F557" s="8" t="n">
        <v>0</v>
      </c>
    </row>
    <row r="558" customFormat="false" ht="15" hidden="false" customHeight="true" outlineLevel="0" collapsed="false">
      <c r="A558" s="8" t="s">
        <v>161</v>
      </c>
      <c r="B558" s="8" t="s">
        <v>1208</v>
      </c>
      <c r="C558" s="8" t="n">
        <v>15</v>
      </c>
      <c r="D558" s="8" t="n">
        <v>682.5</v>
      </c>
      <c r="E558" s="8" t="n">
        <v>0</v>
      </c>
      <c r="F558" s="8" t="n">
        <v>0</v>
      </c>
    </row>
    <row r="559" customFormat="false" ht="15" hidden="false" customHeight="true" outlineLevel="0" collapsed="false">
      <c r="A559" s="8" t="s">
        <v>162</v>
      </c>
      <c r="B559" s="8" t="s">
        <v>1209</v>
      </c>
      <c r="C559" s="8" t="n">
        <v>4</v>
      </c>
      <c r="D559" s="8" t="n">
        <v>311.2</v>
      </c>
      <c r="E559" s="8" t="n">
        <v>0</v>
      </c>
      <c r="F559" s="8" t="n">
        <v>0</v>
      </c>
    </row>
    <row r="560" customFormat="false" ht="15" hidden="false" customHeight="true" outlineLevel="0" collapsed="false">
      <c r="A560" s="8" t="s">
        <v>186</v>
      </c>
      <c r="B560" s="8" t="s">
        <v>1225</v>
      </c>
      <c r="C560" s="8" t="n">
        <v>4</v>
      </c>
      <c r="D560" s="8" t="n">
        <v>115.72</v>
      </c>
      <c r="E560" s="8" t="n">
        <v>0</v>
      </c>
      <c r="F560" s="8" t="n">
        <v>0</v>
      </c>
    </row>
    <row r="561" customFormat="false" ht="15" hidden="false" customHeight="true" outlineLevel="0" collapsed="false">
      <c r="A561" s="8" t="s">
        <v>229</v>
      </c>
      <c r="B561" s="8" t="s">
        <v>881</v>
      </c>
      <c r="C561" s="8" t="n">
        <v>3</v>
      </c>
      <c r="D561" s="8" t="n">
        <v>123.6</v>
      </c>
      <c r="E561" s="8" t="n">
        <v>0</v>
      </c>
      <c r="F561" s="8" t="n">
        <v>0</v>
      </c>
    </row>
    <row r="562" customFormat="false" ht="15" hidden="false" customHeight="true" outlineLevel="0" collapsed="false">
      <c r="A562" s="8" t="s">
        <v>237</v>
      </c>
      <c r="B562" s="8" t="s">
        <v>1259</v>
      </c>
      <c r="C562" s="8" t="n">
        <v>2</v>
      </c>
      <c r="D562" s="8" t="n">
        <v>36.9</v>
      </c>
      <c r="E562" s="8" t="n">
        <v>0</v>
      </c>
      <c r="F562" s="8" t="n">
        <v>0</v>
      </c>
    </row>
    <row r="563" customFormat="false" ht="15" hidden="false" customHeight="true" outlineLevel="0" collapsed="false">
      <c r="A563" s="8" t="s">
        <v>202</v>
      </c>
      <c r="B563" s="8" t="s">
        <v>1212</v>
      </c>
      <c r="C563" s="8" t="n">
        <v>6</v>
      </c>
      <c r="D563" s="8" t="n">
        <v>57</v>
      </c>
      <c r="E563" s="8" t="n">
        <v>0</v>
      </c>
      <c r="F563" s="8" t="n">
        <v>0</v>
      </c>
    </row>
    <row r="564" customFormat="false" ht="15" hidden="false" customHeight="true" outlineLevel="0" collapsed="false">
      <c r="A564" s="8" t="s">
        <v>244</v>
      </c>
      <c r="B564" s="8" t="s">
        <v>1213</v>
      </c>
      <c r="C564" s="8" t="n">
        <v>4</v>
      </c>
      <c r="D564" s="8" t="n">
        <v>38</v>
      </c>
      <c r="E564" s="8" t="n">
        <v>1</v>
      </c>
      <c r="F564" s="8" t="n">
        <v>9.5</v>
      </c>
    </row>
    <row r="565" customFormat="false" ht="15" hidden="false" customHeight="true" outlineLevel="0" collapsed="false">
      <c r="A565" s="8" t="s">
        <v>243</v>
      </c>
      <c r="B565" s="8" t="s">
        <v>1253</v>
      </c>
      <c r="C565" s="8" t="n">
        <v>3</v>
      </c>
      <c r="D565" s="8" t="n">
        <v>38.85</v>
      </c>
      <c r="E565" s="8" t="n">
        <v>0</v>
      </c>
      <c r="F565" s="8" t="n">
        <v>0</v>
      </c>
    </row>
    <row r="566" customFormat="false" ht="15" hidden="false" customHeight="true" outlineLevel="0" collapsed="false">
      <c r="A566" s="8" t="s">
        <v>251</v>
      </c>
      <c r="B566" s="8" t="s">
        <v>1262</v>
      </c>
      <c r="C566" s="8" t="n">
        <v>3</v>
      </c>
      <c r="D566" s="8" t="n">
        <v>29.13</v>
      </c>
      <c r="E566" s="8" t="n">
        <v>0</v>
      </c>
      <c r="F566" s="8" t="n">
        <v>0</v>
      </c>
    </row>
    <row r="567" customFormat="false" ht="15" hidden="false" customHeight="true" outlineLevel="0" collapsed="false">
      <c r="A567" s="8" t="s">
        <v>308</v>
      </c>
      <c r="B567" s="8" t="s">
        <v>1229</v>
      </c>
      <c r="C567" s="8" t="n">
        <v>1</v>
      </c>
      <c r="D567" s="8" t="n">
        <v>8.08</v>
      </c>
      <c r="E567" s="8" t="n">
        <v>0</v>
      </c>
      <c r="F567" s="8" t="n">
        <v>0</v>
      </c>
    </row>
    <row r="568" customFormat="false" ht="15" hidden="false" customHeight="true" outlineLevel="0" collapsed="false">
      <c r="A568" s="8" t="s">
        <v>172</v>
      </c>
      <c r="B568" s="8" t="s">
        <v>1214</v>
      </c>
      <c r="C568" s="8" t="n">
        <v>8</v>
      </c>
      <c r="D568" s="8" t="n">
        <v>97.44</v>
      </c>
      <c r="E568" s="8" t="n">
        <v>1</v>
      </c>
      <c r="F568" s="8" t="n">
        <v>12.18</v>
      </c>
    </row>
    <row r="569" customFormat="false" ht="15" hidden="false" customHeight="true" outlineLevel="0" collapsed="false">
      <c r="A569" s="8" t="s">
        <v>269</v>
      </c>
      <c r="B569" s="8" t="s">
        <v>1231</v>
      </c>
      <c r="C569" s="8" t="n">
        <v>2</v>
      </c>
      <c r="D569" s="8" t="n">
        <v>22.66</v>
      </c>
      <c r="E569" s="8" t="n">
        <v>2</v>
      </c>
      <c r="F569" s="8" t="n">
        <v>22.66</v>
      </c>
    </row>
    <row r="570" customFormat="false" ht="15" hidden="false" customHeight="true" outlineLevel="0" collapsed="false">
      <c r="A570" s="8" t="s">
        <v>232</v>
      </c>
      <c r="B570" s="8" t="s">
        <v>1233</v>
      </c>
      <c r="C570" s="8" t="n">
        <v>1</v>
      </c>
      <c r="D570" s="8" t="n">
        <v>16.2</v>
      </c>
      <c r="E570" s="8" t="n">
        <v>1</v>
      </c>
      <c r="F570" s="8" t="n">
        <v>16.2</v>
      </c>
    </row>
    <row r="571" customFormat="false" ht="15" hidden="false" customHeight="true" outlineLevel="0" collapsed="false">
      <c r="A571" s="8" t="s">
        <v>215</v>
      </c>
      <c r="B571" s="8" t="s">
        <v>1233</v>
      </c>
      <c r="C571" s="8" t="n">
        <v>9</v>
      </c>
      <c r="D571" s="8" t="n">
        <v>160.38</v>
      </c>
      <c r="E571" s="8" t="n">
        <v>0</v>
      </c>
      <c r="F571" s="8" t="n">
        <v>0</v>
      </c>
    </row>
    <row r="572" customFormat="false" ht="15" hidden="false" customHeight="true" outlineLevel="0" collapsed="false">
      <c r="A572" s="8" t="s">
        <v>351</v>
      </c>
      <c r="B572" s="8" t="s">
        <v>1281</v>
      </c>
      <c r="C572" s="8" t="n">
        <v>0</v>
      </c>
      <c r="D572" s="8" t="n">
        <v>0</v>
      </c>
      <c r="E572" s="8" t="n">
        <v>2</v>
      </c>
      <c r="F572" s="8" t="n">
        <v>47.2</v>
      </c>
    </row>
    <row r="573" customFormat="false" ht="15" hidden="false" customHeight="true" outlineLevel="0" collapsed="false">
      <c r="A573" s="8" t="s">
        <v>225</v>
      </c>
      <c r="B573" s="8" t="s">
        <v>1237</v>
      </c>
      <c r="C573" s="8" t="n">
        <v>3</v>
      </c>
      <c r="D573" s="8" t="n">
        <v>55.2</v>
      </c>
      <c r="E573" s="8" t="n">
        <v>0</v>
      </c>
      <c r="F573" s="8" t="n">
        <v>0</v>
      </c>
    </row>
    <row r="574" customFormat="false" ht="15" hidden="false" customHeight="true" outlineLevel="0" collapsed="false">
      <c r="A574" s="8" t="s">
        <v>217</v>
      </c>
      <c r="B574" s="8" t="s">
        <v>1237</v>
      </c>
      <c r="C574" s="8" t="n">
        <v>1</v>
      </c>
      <c r="D574" s="8" t="n">
        <v>18.4</v>
      </c>
      <c r="E574" s="8" t="n">
        <v>0</v>
      </c>
      <c r="F574" s="8" t="n">
        <v>0</v>
      </c>
    </row>
    <row r="575" customFormat="false" ht="15" hidden="false" customHeight="true" outlineLevel="0" collapsed="false">
      <c r="A575" s="8" t="s">
        <v>364</v>
      </c>
      <c r="B575" s="8" t="s">
        <v>1264</v>
      </c>
      <c r="C575" s="8" t="n">
        <v>0</v>
      </c>
      <c r="D575" s="8" t="n">
        <v>0</v>
      </c>
      <c r="E575" s="8" t="n">
        <v>2</v>
      </c>
      <c r="F575" s="8" t="n">
        <v>36.8</v>
      </c>
    </row>
    <row r="576" customFormat="false" ht="15" hidden="false" customHeight="true" outlineLevel="0" collapsed="false">
      <c r="A576" s="8" t="s">
        <v>192</v>
      </c>
      <c r="B576" s="8" t="s">
        <v>1240</v>
      </c>
      <c r="C576" s="8" t="n">
        <v>1</v>
      </c>
      <c r="D576" s="8" t="n">
        <v>41.81</v>
      </c>
      <c r="E576" s="8" t="n">
        <v>0</v>
      </c>
      <c r="F576" s="8" t="n">
        <v>0</v>
      </c>
    </row>
    <row r="577" customFormat="false" ht="15" hidden="false" customHeight="true" outlineLevel="0" collapsed="false">
      <c r="A577" s="8" t="s">
        <v>168</v>
      </c>
      <c r="B577" s="8" t="s">
        <v>1240</v>
      </c>
      <c r="C577" s="8" t="n">
        <v>3</v>
      </c>
      <c r="D577" s="8" t="n">
        <v>125.43</v>
      </c>
      <c r="E577" s="8" t="n">
        <v>0</v>
      </c>
      <c r="F577" s="8" t="n">
        <v>0</v>
      </c>
    </row>
    <row r="578" customFormat="false" ht="15" hidden="false" customHeight="true" outlineLevel="0" collapsed="false">
      <c r="A578" s="8" t="s">
        <v>169</v>
      </c>
      <c r="B578" s="8" t="s">
        <v>1240</v>
      </c>
      <c r="C578" s="8" t="n">
        <v>1</v>
      </c>
      <c r="D578" s="8" t="n">
        <v>41.81</v>
      </c>
      <c r="E578" s="8" t="n">
        <v>0</v>
      </c>
      <c r="F578" s="8" t="n">
        <v>0</v>
      </c>
    </row>
    <row r="579" customFormat="false" ht="15" hidden="false" customHeight="true" outlineLevel="0" collapsed="false">
      <c r="A579" s="8" t="s">
        <v>209</v>
      </c>
      <c r="B579" s="8" t="s">
        <v>1245</v>
      </c>
      <c r="C579" s="8" t="n">
        <v>1</v>
      </c>
      <c r="D579" s="8" t="n">
        <v>64.89</v>
      </c>
      <c r="E579" s="8" t="n">
        <v>0</v>
      </c>
      <c r="F579" s="8" t="n">
        <v>0</v>
      </c>
    </row>
    <row r="580" customFormat="false" ht="15" hidden="false" customHeight="true" outlineLevel="0" collapsed="false">
      <c r="A580" s="8" t="s">
        <v>180</v>
      </c>
      <c r="B580" s="8" t="s">
        <v>1216</v>
      </c>
      <c r="C580" s="8" t="n">
        <v>6</v>
      </c>
      <c r="D580" s="8" t="n">
        <v>99</v>
      </c>
      <c r="E580" s="8" t="n">
        <v>1</v>
      </c>
      <c r="F580" s="8" t="n">
        <v>16.5</v>
      </c>
    </row>
    <row r="581" customFormat="false" ht="15" hidden="false" customHeight="true" outlineLevel="0" collapsed="false">
      <c r="A581" s="8" t="s">
        <v>199</v>
      </c>
      <c r="B581" s="8" t="s">
        <v>1216</v>
      </c>
      <c r="C581" s="8" t="n">
        <v>1</v>
      </c>
      <c r="D581" s="8" t="n">
        <v>16.5</v>
      </c>
      <c r="E581" s="8" t="n">
        <v>0</v>
      </c>
      <c r="F581" s="8" t="n">
        <v>0</v>
      </c>
    </row>
    <row r="582" customFormat="false" ht="15" hidden="false" customHeight="true" outlineLevel="0" collapsed="false">
      <c r="A582" s="8" t="s">
        <v>250</v>
      </c>
      <c r="B582" s="8" t="s">
        <v>1216</v>
      </c>
      <c r="C582" s="8" t="n">
        <v>1</v>
      </c>
      <c r="D582" s="8" t="n">
        <v>16.5</v>
      </c>
      <c r="E582" s="8" t="n">
        <v>1</v>
      </c>
      <c r="F582" s="8" t="n">
        <v>16.5</v>
      </c>
    </row>
    <row r="583" customFormat="false" ht="15" hidden="false" customHeight="true" outlineLevel="0" collapsed="false">
      <c r="A583" s="8" t="s">
        <v>256</v>
      </c>
      <c r="B583" s="8" t="s">
        <v>1217</v>
      </c>
      <c r="C583" s="8" t="n">
        <v>1</v>
      </c>
      <c r="D583" s="8" t="n">
        <v>20.5</v>
      </c>
      <c r="E583" s="8" t="n">
        <v>0</v>
      </c>
      <c r="F583" s="8" t="n">
        <v>0</v>
      </c>
    </row>
    <row r="584" customFormat="false" ht="15" hidden="false" customHeight="true" outlineLevel="0" collapsed="false">
      <c r="A584" s="8" t="s">
        <v>300</v>
      </c>
      <c r="B584" s="8" t="s">
        <v>769</v>
      </c>
      <c r="C584" s="8" t="n">
        <v>1</v>
      </c>
      <c r="D584" s="8" t="n">
        <v>17</v>
      </c>
      <c r="E584" s="8" t="n">
        <v>1</v>
      </c>
      <c r="F584" s="8" t="n">
        <v>17</v>
      </c>
    </row>
    <row r="585" customFormat="false" ht="15" hidden="false" customHeight="true" outlineLevel="0" collapsed="false">
      <c r="A585" s="8" t="s">
        <v>182</v>
      </c>
      <c r="B585" s="8" t="s">
        <v>799</v>
      </c>
      <c r="C585" s="8" t="n">
        <v>2</v>
      </c>
      <c r="D585" s="8" t="n">
        <v>40</v>
      </c>
      <c r="E585" s="8" t="n">
        <v>0</v>
      </c>
      <c r="F585" s="8" t="n">
        <v>0</v>
      </c>
    </row>
    <row r="586" customFormat="false" ht="15" hidden="false" customHeight="true" outlineLevel="0" collapsed="false">
      <c r="A586" s="8" t="s">
        <v>200</v>
      </c>
      <c r="B586" s="8" t="s">
        <v>1279</v>
      </c>
      <c r="C586" s="8" t="n">
        <v>1</v>
      </c>
      <c r="D586" s="8" t="n">
        <v>77.24</v>
      </c>
      <c r="E586" s="8" t="n">
        <v>0</v>
      </c>
      <c r="F586" s="8" t="n">
        <v>0</v>
      </c>
    </row>
    <row r="587" customFormat="false" ht="15" hidden="false" customHeight="true" outlineLevel="0" collapsed="false">
      <c r="A587" s="8" t="s">
        <v>197</v>
      </c>
      <c r="B587" s="8" t="s">
        <v>1222</v>
      </c>
      <c r="C587" s="8" t="n">
        <v>0</v>
      </c>
      <c r="D587" s="8" t="n">
        <v>0</v>
      </c>
      <c r="E587" s="8" t="n">
        <v>2</v>
      </c>
      <c r="F587" s="8" t="n">
        <v>130</v>
      </c>
    </row>
    <row r="588" customFormat="false" ht="15" hidden="false" customHeight="true" outlineLevel="0" collapsed="false">
      <c r="A588" s="8" t="s">
        <v>207</v>
      </c>
      <c r="B588" s="8" t="s">
        <v>1222</v>
      </c>
      <c r="C588" s="8" t="n">
        <v>0</v>
      </c>
      <c r="D588" s="8" t="n">
        <v>0</v>
      </c>
      <c r="E588" s="8" t="n">
        <v>2</v>
      </c>
      <c r="F588" s="8" t="n">
        <v>130</v>
      </c>
    </row>
    <row r="589" customFormat="false" ht="15" hidden="false" customHeight="true" outlineLevel="0" collapsed="false">
      <c r="A589" s="8" t="s">
        <v>175</v>
      </c>
      <c r="B589" s="8" t="s">
        <v>1244</v>
      </c>
      <c r="C589" s="8" t="n">
        <v>2</v>
      </c>
      <c r="D589" s="8" t="n">
        <v>351</v>
      </c>
      <c r="E589" s="8" t="n">
        <v>0</v>
      </c>
      <c r="F589" s="8" t="n">
        <v>0</v>
      </c>
    </row>
    <row r="590" customFormat="false" ht="15" hidden="false" customHeight="true" outlineLevel="0" collapsed="false">
      <c r="A590" s="8" t="s">
        <v>329</v>
      </c>
      <c r="B590" s="8" t="s">
        <v>1244</v>
      </c>
      <c r="C590" s="8" t="n">
        <v>1</v>
      </c>
      <c r="D590" s="8" t="n">
        <v>175.5</v>
      </c>
      <c r="E590" s="8" t="n">
        <v>0</v>
      </c>
      <c r="F590" s="8" t="n">
        <v>0</v>
      </c>
    </row>
    <row r="591" customFormat="false" ht="15" hidden="false" customHeight="true" outlineLevel="0" collapsed="false">
      <c r="A591" s="8" t="s">
        <v>173</v>
      </c>
      <c r="B591" s="8" t="s">
        <v>1244</v>
      </c>
      <c r="C591" s="8" t="n">
        <v>4</v>
      </c>
      <c r="D591" s="8" t="n">
        <v>702</v>
      </c>
      <c r="E591" s="8" t="n">
        <v>2</v>
      </c>
      <c r="F591" s="8" t="n">
        <v>351</v>
      </c>
    </row>
    <row r="592" customFormat="false" ht="15" hidden="false" customHeight="true" outlineLevel="0" collapsed="false">
      <c r="A592" s="8" t="s">
        <v>177</v>
      </c>
      <c r="B592" s="8" t="s">
        <v>1244</v>
      </c>
      <c r="C592" s="8" t="n">
        <v>4</v>
      </c>
      <c r="D592" s="8" t="n">
        <v>702</v>
      </c>
      <c r="E592" s="8" t="n">
        <v>0</v>
      </c>
      <c r="F592" s="8" t="n">
        <v>0</v>
      </c>
    </row>
    <row r="593" customFormat="false" ht="15" hidden="false" customHeight="true" outlineLevel="0" collapsed="false">
      <c r="A593" s="8" t="s">
        <v>191</v>
      </c>
      <c r="B593" s="8" t="s">
        <v>1179</v>
      </c>
      <c r="C593" s="8" t="n">
        <v>2</v>
      </c>
      <c r="D593" s="8" t="n">
        <v>144.68</v>
      </c>
      <c r="E593" s="8" t="n">
        <v>0</v>
      </c>
      <c r="F593" s="8" t="n">
        <v>0</v>
      </c>
    </row>
    <row r="594" customFormat="false" ht="15" hidden="false" customHeight="true" outlineLevel="0" collapsed="false">
      <c r="A594" s="8" t="s">
        <v>311</v>
      </c>
      <c r="B594" s="8" t="s">
        <v>1282</v>
      </c>
      <c r="C594" s="8" t="n">
        <v>2</v>
      </c>
      <c r="D594" s="8" t="n">
        <v>214.18</v>
      </c>
      <c r="E594" s="8" t="n">
        <v>0</v>
      </c>
      <c r="F594" s="8" t="n">
        <v>0</v>
      </c>
    </row>
    <row r="595" customFormat="false" ht="15" hidden="false" customHeight="true" outlineLevel="0" collapsed="false">
      <c r="A595" s="8" t="s">
        <v>190</v>
      </c>
      <c r="B595" s="8" t="s">
        <v>1224</v>
      </c>
      <c r="C595" s="8" t="n">
        <v>2</v>
      </c>
      <c r="D595" s="8" t="n">
        <v>48.86</v>
      </c>
      <c r="E595" s="8" t="n">
        <v>0</v>
      </c>
      <c r="F595" s="8" t="n">
        <v>0</v>
      </c>
    </row>
    <row r="596" customFormat="false" ht="15" hidden="false" customHeight="true" outlineLevel="0" collapsed="false">
      <c r="A596" s="8" t="s">
        <v>183</v>
      </c>
      <c r="B596" s="8" t="s">
        <v>1224</v>
      </c>
      <c r="C596" s="8" t="n">
        <v>2</v>
      </c>
      <c r="D596" s="8" t="n">
        <v>48.86</v>
      </c>
      <c r="E596" s="8" t="n">
        <v>0</v>
      </c>
      <c r="F596" s="8" t="n">
        <v>0</v>
      </c>
    </row>
    <row r="597" customFormat="false" ht="15" hidden="false" customHeight="true" outlineLevel="0" collapsed="false">
      <c r="A597" s="8" t="s">
        <v>218</v>
      </c>
      <c r="B597" s="8" t="s">
        <v>1224</v>
      </c>
      <c r="C597" s="8" t="n">
        <v>1</v>
      </c>
      <c r="D597" s="8" t="n">
        <v>24.43</v>
      </c>
      <c r="E597" s="8" t="n">
        <v>0</v>
      </c>
      <c r="F597" s="8" t="n">
        <v>0</v>
      </c>
    </row>
    <row r="598" customFormat="false" ht="15" hidden="false" customHeight="true" outlineLevel="0" collapsed="false">
      <c r="A598" s="8" t="s">
        <v>161</v>
      </c>
      <c r="B598" s="8" t="s">
        <v>1208</v>
      </c>
      <c r="C598" s="8" t="n">
        <v>6</v>
      </c>
      <c r="D598" s="8" t="n">
        <v>273</v>
      </c>
      <c r="E598" s="8" t="n">
        <v>0</v>
      </c>
      <c r="F598" s="8" t="n">
        <v>0</v>
      </c>
    </row>
    <row r="599" customFormat="false" ht="15" hidden="false" customHeight="true" outlineLevel="0" collapsed="false">
      <c r="A599" s="8" t="s">
        <v>162</v>
      </c>
      <c r="B599" s="8" t="s">
        <v>1209</v>
      </c>
      <c r="C599" s="8" t="n">
        <v>3</v>
      </c>
      <c r="D599" s="8" t="n">
        <v>233.4</v>
      </c>
      <c r="E599" s="8" t="n">
        <v>2</v>
      </c>
      <c r="F599" s="8" t="n">
        <v>155.6</v>
      </c>
    </row>
    <row r="600" customFormat="false" ht="15" hidden="false" customHeight="true" outlineLevel="0" collapsed="false">
      <c r="A600" s="8" t="s">
        <v>166</v>
      </c>
      <c r="B600" s="8" t="s">
        <v>1211</v>
      </c>
      <c r="C600" s="8" t="n">
        <v>1</v>
      </c>
      <c r="D600" s="8" t="n">
        <v>63.27</v>
      </c>
      <c r="E600" s="8" t="n">
        <v>0</v>
      </c>
      <c r="F600" s="8" t="n">
        <v>0</v>
      </c>
    </row>
    <row r="601" customFormat="false" ht="15" hidden="false" customHeight="true" outlineLevel="0" collapsed="false">
      <c r="A601" s="8" t="s">
        <v>164</v>
      </c>
      <c r="B601" s="8" t="s">
        <v>1211</v>
      </c>
      <c r="C601" s="8" t="n">
        <v>2</v>
      </c>
      <c r="D601" s="8" t="n">
        <v>126.54</v>
      </c>
      <c r="E601" s="8" t="n">
        <v>0</v>
      </c>
      <c r="F601" s="8" t="n">
        <v>0</v>
      </c>
    </row>
    <row r="602" customFormat="false" ht="15" hidden="false" customHeight="true" outlineLevel="0" collapsed="false">
      <c r="A602" s="8" t="s">
        <v>187</v>
      </c>
      <c r="B602" s="8" t="s">
        <v>1211</v>
      </c>
      <c r="C602" s="8" t="n">
        <v>3</v>
      </c>
      <c r="D602" s="8" t="n">
        <v>189.81</v>
      </c>
      <c r="E602" s="8" t="n">
        <v>0</v>
      </c>
      <c r="F602" s="8" t="n">
        <v>0</v>
      </c>
    </row>
    <row r="603" customFormat="false" ht="15" hidden="false" customHeight="true" outlineLevel="0" collapsed="false">
      <c r="A603" s="8" t="s">
        <v>219</v>
      </c>
      <c r="B603" s="8" t="s">
        <v>1227</v>
      </c>
      <c r="C603" s="8" t="n">
        <v>2</v>
      </c>
      <c r="D603" s="8" t="n">
        <v>34</v>
      </c>
      <c r="E603" s="8" t="n">
        <v>0</v>
      </c>
      <c r="F603" s="8" t="n">
        <v>0</v>
      </c>
    </row>
    <row r="604" customFormat="false" ht="15" hidden="false" customHeight="true" outlineLevel="0" collapsed="false">
      <c r="A604" s="8" t="s">
        <v>292</v>
      </c>
      <c r="B604" s="8" t="s">
        <v>1227</v>
      </c>
      <c r="C604" s="8" t="n">
        <v>2</v>
      </c>
      <c r="D604" s="8" t="n">
        <v>34</v>
      </c>
      <c r="E604" s="8" t="n">
        <v>0</v>
      </c>
      <c r="F604" s="8" t="n">
        <v>0</v>
      </c>
    </row>
    <row r="605" customFormat="false" ht="15" hidden="false" customHeight="true" outlineLevel="0" collapsed="false">
      <c r="A605" s="8" t="s">
        <v>172</v>
      </c>
      <c r="B605" s="8" t="s">
        <v>1214</v>
      </c>
      <c r="C605" s="8" t="n">
        <v>4</v>
      </c>
      <c r="D605" s="8" t="n">
        <v>48.72</v>
      </c>
      <c r="E605" s="8" t="n">
        <v>0</v>
      </c>
      <c r="F605" s="8" t="n">
        <v>0</v>
      </c>
    </row>
    <row r="606" customFormat="false" ht="15" hidden="false" customHeight="true" outlineLevel="0" collapsed="false">
      <c r="A606" s="8" t="s">
        <v>261</v>
      </c>
      <c r="B606" s="8" t="s">
        <v>1215</v>
      </c>
      <c r="C606" s="8" t="n">
        <v>2</v>
      </c>
      <c r="D606" s="8" t="n">
        <v>42.42</v>
      </c>
      <c r="E606" s="8" t="n">
        <v>0</v>
      </c>
      <c r="F606" s="8" t="n">
        <v>0</v>
      </c>
    </row>
    <row r="607" customFormat="false" ht="15" hidden="false" customHeight="true" outlineLevel="0" collapsed="false">
      <c r="A607" s="8" t="s">
        <v>288</v>
      </c>
      <c r="B607" s="8" t="s">
        <v>939</v>
      </c>
      <c r="C607" s="8" t="n">
        <v>2</v>
      </c>
      <c r="D607" s="8" t="n">
        <v>40.48</v>
      </c>
      <c r="E607" s="8" t="n">
        <v>0</v>
      </c>
      <c r="F607" s="8" t="n">
        <v>0</v>
      </c>
    </row>
    <row r="608" customFormat="false" ht="15" hidden="false" customHeight="true" outlineLevel="0" collapsed="false">
      <c r="A608" s="8" t="s">
        <v>232</v>
      </c>
      <c r="B608" s="8" t="s">
        <v>1233</v>
      </c>
      <c r="C608" s="8" t="n">
        <v>1</v>
      </c>
      <c r="D608" s="8" t="n">
        <v>16.2</v>
      </c>
      <c r="E608" s="8" t="n">
        <v>0</v>
      </c>
      <c r="F608" s="8" t="n">
        <v>0</v>
      </c>
    </row>
    <row r="609" customFormat="false" ht="15" hidden="false" customHeight="true" outlineLevel="0" collapsed="false">
      <c r="A609" s="8" t="s">
        <v>215</v>
      </c>
      <c r="B609" s="8" t="s">
        <v>1233</v>
      </c>
      <c r="C609" s="8" t="n">
        <v>2</v>
      </c>
      <c r="D609" s="8" t="n">
        <v>35.64</v>
      </c>
      <c r="E609" s="8" t="n">
        <v>0</v>
      </c>
      <c r="F609" s="8" t="n">
        <v>0</v>
      </c>
    </row>
    <row r="610" customFormat="false" ht="15" hidden="false" customHeight="true" outlineLevel="0" collapsed="false">
      <c r="A610" s="8" t="s">
        <v>192</v>
      </c>
      <c r="B610" s="8" t="s">
        <v>1240</v>
      </c>
      <c r="C610" s="8" t="n">
        <v>2</v>
      </c>
      <c r="D610" s="8" t="n">
        <v>83.62</v>
      </c>
      <c r="E610" s="8" t="n">
        <v>0</v>
      </c>
      <c r="F610" s="8" t="n">
        <v>0</v>
      </c>
    </row>
    <row r="611" customFormat="false" ht="15" hidden="false" customHeight="true" outlineLevel="0" collapsed="false">
      <c r="A611" s="8" t="s">
        <v>168</v>
      </c>
      <c r="B611" s="8" t="s">
        <v>1240</v>
      </c>
      <c r="C611" s="8" t="n">
        <v>2</v>
      </c>
      <c r="D611" s="8" t="n">
        <v>83.62</v>
      </c>
      <c r="E611" s="8" t="n">
        <v>0</v>
      </c>
      <c r="F611" s="8" t="n">
        <v>0</v>
      </c>
    </row>
    <row r="612" customFormat="false" ht="15" hidden="false" customHeight="true" outlineLevel="0" collapsed="false">
      <c r="A612" s="8" t="s">
        <v>169</v>
      </c>
      <c r="B612" s="8" t="s">
        <v>1240</v>
      </c>
      <c r="C612" s="8" t="n">
        <v>2</v>
      </c>
      <c r="D612" s="8" t="n">
        <v>83.62</v>
      </c>
      <c r="E612" s="8" t="n">
        <v>0</v>
      </c>
      <c r="F612" s="8" t="n">
        <v>0</v>
      </c>
    </row>
    <row r="613" customFormat="false" ht="15" hidden="false" customHeight="true" outlineLevel="0" collapsed="false">
      <c r="A613" s="8" t="s">
        <v>180</v>
      </c>
      <c r="B613" s="8" t="s">
        <v>1216</v>
      </c>
      <c r="C613" s="8" t="n">
        <v>1</v>
      </c>
      <c r="D613" s="8" t="n">
        <v>16.5</v>
      </c>
      <c r="E613" s="8" t="n">
        <v>0</v>
      </c>
      <c r="F613" s="8" t="n">
        <v>0</v>
      </c>
    </row>
    <row r="614" customFormat="false" ht="15" hidden="false" customHeight="true" outlineLevel="0" collapsed="false">
      <c r="A614" s="8" t="s">
        <v>199</v>
      </c>
      <c r="B614" s="8" t="s">
        <v>1216</v>
      </c>
      <c r="C614" s="8" t="n">
        <v>1</v>
      </c>
      <c r="D614" s="8" t="n">
        <v>16.5</v>
      </c>
      <c r="E614" s="8" t="n">
        <v>0</v>
      </c>
      <c r="F614" s="8" t="n">
        <v>0</v>
      </c>
    </row>
    <row r="615" customFormat="false" ht="15" hidden="false" customHeight="true" outlineLevel="0" collapsed="false">
      <c r="A615" s="8" t="s">
        <v>178</v>
      </c>
      <c r="B615" s="8" t="s">
        <v>1236</v>
      </c>
      <c r="C615" s="8" t="n">
        <v>1</v>
      </c>
      <c r="D615" s="8" t="n">
        <v>35</v>
      </c>
      <c r="E615" s="8" t="n">
        <v>3</v>
      </c>
      <c r="F615" s="8" t="n">
        <v>105</v>
      </c>
    </row>
    <row r="616" customFormat="false" ht="15" hidden="false" customHeight="true" outlineLevel="0" collapsed="false">
      <c r="A616" s="8" t="s">
        <v>176</v>
      </c>
      <c r="B616" s="8" t="s">
        <v>1236</v>
      </c>
      <c r="C616" s="8" t="n">
        <v>2</v>
      </c>
      <c r="D616" s="8" t="n">
        <v>70</v>
      </c>
      <c r="E616" s="8" t="n">
        <v>0</v>
      </c>
      <c r="F616" s="8" t="n">
        <v>0</v>
      </c>
    </row>
    <row r="617" customFormat="false" ht="15" hidden="false" customHeight="true" outlineLevel="0" collapsed="false">
      <c r="A617" s="8" t="s">
        <v>235</v>
      </c>
      <c r="B617" s="8" t="s">
        <v>1236</v>
      </c>
      <c r="C617" s="8" t="n">
        <v>0</v>
      </c>
      <c r="D617" s="8" t="n">
        <v>0</v>
      </c>
      <c r="E617" s="8" t="n">
        <v>2</v>
      </c>
      <c r="F617" s="8" t="n">
        <v>70</v>
      </c>
    </row>
    <row r="618" customFormat="false" ht="15" hidden="false" customHeight="true" outlineLevel="0" collapsed="false">
      <c r="A618" s="8" t="s">
        <v>224</v>
      </c>
      <c r="B618" s="8" t="s">
        <v>1236</v>
      </c>
      <c r="C618" s="8" t="n">
        <v>1</v>
      </c>
      <c r="D618" s="8" t="n">
        <v>35</v>
      </c>
      <c r="E618" s="8" t="n">
        <v>2</v>
      </c>
      <c r="F618" s="8" t="n">
        <v>70</v>
      </c>
    </row>
    <row r="619" customFormat="false" ht="15" hidden="false" customHeight="true" outlineLevel="0" collapsed="false">
      <c r="A619" s="8" t="s">
        <v>179</v>
      </c>
      <c r="B619" s="8" t="s">
        <v>1218</v>
      </c>
      <c r="C619" s="8" t="n">
        <v>2</v>
      </c>
      <c r="D619" s="8" t="n">
        <v>253</v>
      </c>
      <c r="E619" s="8" t="n">
        <v>0</v>
      </c>
      <c r="F619" s="8" t="n">
        <v>0</v>
      </c>
    </row>
    <row r="620" customFormat="false" ht="15" hidden="false" customHeight="true" outlineLevel="0" collapsed="false">
      <c r="A620" s="8" t="s">
        <v>234</v>
      </c>
      <c r="B620" s="8" t="s">
        <v>769</v>
      </c>
      <c r="C620" s="8" t="n">
        <v>1</v>
      </c>
      <c r="D620" s="8" t="n">
        <v>17</v>
      </c>
      <c r="E620" s="8" t="n">
        <v>0</v>
      </c>
      <c r="F620" s="8" t="n">
        <v>0</v>
      </c>
    </row>
    <row r="621" customFormat="false" ht="15" hidden="false" customHeight="true" outlineLevel="0" collapsed="false">
      <c r="A621" s="8" t="s">
        <v>300</v>
      </c>
      <c r="B621" s="8" t="s">
        <v>769</v>
      </c>
      <c r="C621" s="8" t="n">
        <v>1</v>
      </c>
      <c r="D621" s="8" t="n">
        <v>17</v>
      </c>
      <c r="E621" s="8" t="n">
        <v>0</v>
      </c>
      <c r="F621" s="8" t="n">
        <v>0</v>
      </c>
    </row>
    <row r="622" customFormat="false" ht="15" hidden="false" customHeight="true" outlineLevel="0" collapsed="false">
      <c r="A622" s="8" t="s">
        <v>252</v>
      </c>
      <c r="B622" s="8" t="s">
        <v>1177</v>
      </c>
      <c r="C622" s="8" t="n">
        <v>1</v>
      </c>
      <c r="D622" s="8" t="n">
        <v>16.6</v>
      </c>
      <c r="E622" s="8" t="n">
        <v>0</v>
      </c>
      <c r="F622" s="8" t="n">
        <v>0</v>
      </c>
    </row>
    <row r="623" customFormat="false" ht="15" hidden="false" customHeight="true" outlineLevel="0" collapsed="false">
      <c r="A623" s="8" t="s">
        <v>203</v>
      </c>
      <c r="B623" s="8" t="s">
        <v>1177</v>
      </c>
      <c r="C623" s="8" t="n">
        <v>2</v>
      </c>
      <c r="D623" s="8" t="n">
        <v>37</v>
      </c>
      <c r="E623" s="8" t="n">
        <v>0</v>
      </c>
      <c r="F623" s="8" t="n">
        <v>0</v>
      </c>
    </row>
    <row r="624" customFormat="false" ht="15" hidden="false" customHeight="true" outlineLevel="0" collapsed="false">
      <c r="A624" s="8" t="s">
        <v>196</v>
      </c>
      <c r="B624" s="8" t="s">
        <v>1243</v>
      </c>
      <c r="C624" s="8" t="n">
        <v>2</v>
      </c>
      <c r="D624" s="8" t="n">
        <v>107</v>
      </c>
      <c r="E624" s="8" t="n">
        <v>0</v>
      </c>
      <c r="F624" s="8" t="n">
        <v>0</v>
      </c>
    </row>
    <row r="625" customFormat="false" ht="15" hidden="false" customHeight="true" outlineLevel="0" collapsed="false">
      <c r="A625" s="8" t="s">
        <v>301</v>
      </c>
      <c r="B625" s="8" t="s">
        <v>1258</v>
      </c>
      <c r="C625" s="8" t="n">
        <v>1</v>
      </c>
      <c r="D625" s="8" t="n">
        <v>94.1</v>
      </c>
      <c r="E625" s="8" t="n">
        <v>0</v>
      </c>
      <c r="F625" s="8" t="n">
        <v>0</v>
      </c>
    </row>
    <row r="626" customFormat="false" ht="15" hidden="false" customHeight="true" outlineLevel="0" collapsed="false">
      <c r="A626" s="8" t="s">
        <v>310</v>
      </c>
      <c r="B626" s="8" t="s">
        <v>1258</v>
      </c>
      <c r="C626" s="8" t="n">
        <v>1</v>
      </c>
      <c r="D626" s="8" t="n">
        <v>94.1</v>
      </c>
      <c r="E626" s="8" t="n">
        <v>0</v>
      </c>
      <c r="F626" s="8" t="n">
        <v>0</v>
      </c>
    </row>
    <row r="627" customFormat="false" ht="15" hidden="false" customHeight="true" outlineLevel="0" collapsed="false">
      <c r="A627" s="8" t="s">
        <v>163</v>
      </c>
      <c r="B627" s="8" t="s">
        <v>897</v>
      </c>
      <c r="C627" s="8" t="n">
        <v>11</v>
      </c>
      <c r="D627" s="8" t="n">
        <v>715</v>
      </c>
      <c r="E627" s="8" t="n">
        <v>0</v>
      </c>
      <c r="F627" s="8" t="n">
        <v>0</v>
      </c>
    </row>
    <row r="628" customFormat="false" ht="15" hidden="false" customHeight="true" outlineLevel="0" collapsed="false">
      <c r="A628" s="8" t="s">
        <v>181</v>
      </c>
      <c r="B628" s="8" t="s">
        <v>897</v>
      </c>
      <c r="C628" s="8" t="n">
        <v>8</v>
      </c>
      <c r="D628" s="8" t="n">
        <v>520</v>
      </c>
      <c r="E628" s="8" t="n">
        <v>0</v>
      </c>
      <c r="F628" s="8" t="n">
        <v>0</v>
      </c>
    </row>
    <row r="629" customFormat="false" ht="15" hidden="false" customHeight="true" outlineLevel="0" collapsed="false">
      <c r="A629" s="8" t="s">
        <v>165</v>
      </c>
      <c r="B629" s="8" t="s">
        <v>897</v>
      </c>
      <c r="C629" s="8" t="n">
        <v>7</v>
      </c>
      <c r="D629" s="8" t="n">
        <v>455</v>
      </c>
      <c r="E629" s="8" t="n">
        <v>0</v>
      </c>
      <c r="F629" s="8" t="n">
        <v>0</v>
      </c>
    </row>
    <row r="630" customFormat="false" ht="15" hidden="false" customHeight="true" outlineLevel="0" collapsed="false">
      <c r="A630" s="8" t="s">
        <v>184</v>
      </c>
      <c r="B630" s="8" t="s">
        <v>897</v>
      </c>
      <c r="C630" s="8" t="n">
        <v>5</v>
      </c>
      <c r="D630" s="8" t="n">
        <v>325</v>
      </c>
      <c r="E630" s="8" t="n">
        <v>0</v>
      </c>
      <c r="F630" s="8" t="n">
        <v>0</v>
      </c>
    </row>
    <row r="631" customFormat="false" ht="15" hidden="false" customHeight="true" outlineLevel="0" collapsed="false">
      <c r="A631" s="8" t="s">
        <v>208</v>
      </c>
      <c r="B631" s="8" t="s">
        <v>1179</v>
      </c>
      <c r="C631" s="8" t="n">
        <v>1</v>
      </c>
      <c r="D631" s="8" t="n">
        <v>72.34</v>
      </c>
      <c r="E631" s="8" t="n">
        <v>0</v>
      </c>
      <c r="F631" s="8" t="n">
        <v>0</v>
      </c>
    </row>
    <row r="632" customFormat="false" ht="15" hidden="false" customHeight="true" outlineLevel="0" collapsed="false">
      <c r="A632" s="8" t="s">
        <v>183</v>
      </c>
      <c r="B632" s="8" t="s">
        <v>1224</v>
      </c>
      <c r="C632" s="8" t="n">
        <v>2</v>
      </c>
      <c r="D632" s="8" t="n">
        <v>48.86</v>
      </c>
      <c r="E632" s="8" t="n">
        <v>0</v>
      </c>
      <c r="F632" s="8" t="n">
        <v>0</v>
      </c>
    </row>
    <row r="633" customFormat="false" ht="15" hidden="false" customHeight="true" outlineLevel="0" collapsed="false">
      <c r="A633" s="8" t="s">
        <v>218</v>
      </c>
      <c r="B633" s="8" t="s">
        <v>1224</v>
      </c>
      <c r="C633" s="8" t="n">
        <v>3</v>
      </c>
      <c r="D633" s="8" t="n">
        <v>73.29</v>
      </c>
      <c r="E633" s="8" t="n">
        <v>0</v>
      </c>
      <c r="F633" s="8" t="n">
        <v>0</v>
      </c>
    </row>
    <row r="634" customFormat="false" ht="15" hidden="false" customHeight="true" outlineLevel="0" collapsed="false">
      <c r="A634" s="8" t="s">
        <v>231</v>
      </c>
      <c r="B634" s="8" t="s">
        <v>1224</v>
      </c>
      <c r="C634" s="8" t="n">
        <v>2</v>
      </c>
      <c r="D634" s="8" t="n">
        <v>48.86</v>
      </c>
      <c r="E634" s="8" t="n">
        <v>0</v>
      </c>
      <c r="F634" s="8" t="n">
        <v>0</v>
      </c>
    </row>
    <row r="635" customFormat="false" ht="15" hidden="false" customHeight="true" outlineLevel="0" collapsed="false">
      <c r="A635" s="8" t="s">
        <v>161</v>
      </c>
      <c r="B635" s="8" t="s">
        <v>1208</v>
      </c>
      <c r="C635" s="8" t="n">
        <v>2</v>
      </c>
      <c r="D635" s="8" t="n">
        <v>91</v>
      </c>
      <c r="E635" s="8" t="n">
        <v>0</v>
      </c>
      <c r="F635" s="8" t="n">
        <v>0</v>
      </c>
    </row>
    <row r="636" customFormat="false" ht="15" hidden="false" customHeight="true" outlineLevel="0" collapsed="false">
      <c r="A636" s="8" t="s">
        <v>171</v>
      </c>
      <c r="B636" s="8" t="s">
        <v>1210</v>
      </c>
      <c r="C636" s="8" t="n">
        <v>4</v>
      </c>
      <c r="D636" s="8" t="n">
        <v>188.92</v>
      </c>
      <c r="E636" s="8" t="n">
        <v>0</v>
      </c>
      <c r="F636" s="8" t="n">
        <v>0</v>
      </c>
    </row>
    <row r="637" customFormat="false" ht="15" hidden="false" customHeight="true" outlineLevel="0" collapsed="false">
      <c r="A637" s="8" t="s">
        <v>164</v>
      </c>
      <c r="B637" s="8" t="s">
        <v>1211</v>
      </c>
      <c r="C637" s="8" t="n">
        <v>3</v>
      </c>
      <c r="D637" s="8" t="n">
        <v>189.81</v>
      </c>
      <c r="E637" s="8" t="n">
        <v>4</v>
      </c>
      <c r="F637" s="8" t="n">
        <v>253.08</v>
      </c>
    </row>
    <row r="638" customFormat="false" ht="15" hidden="false" customHeight="true" outlineLevel="0" collapsed="false">
      <c r="A638" s="8" t="s">
        <v>187</v>
      </c>
      <c r="B638" s="8" t="s">
        <v>1211</v>
      </c>
      <c r="C638" s="8" t="n">
        <v>1</v>
      </c>
      <c r="D638" s="8" t="n">
        <v>63.27</v>
      </c>
      <c r="E638" s="8" t="n">
        <v>0</v>
      </c>
      <c r="F638" s="8" t="n">
        <v>0</v>
      </c>
    </row>
    <row r="639" customFormat="false" ht="15" hidden="false" customHeight="true" outlineLevel="0" collapsed="false">
      <c r="A639" s="8" t="s">
        <v>270</v>
      </c>
      <c r="B639" s="8" t="s">
        <v>1251</v>
      </c>
      <c r="C639" s="8" t="n">
        <v>5</v>
      </c>
      <c r="D639" s="8" t="n">
        <v>49.1</v>
      </c>
      <c r="E639" s="8" t="n">
        <v>0</v>
      </c>
      <c r="F639" s="8" t="n">
        <v>0</v>
      </c>
    </row>
    <row r="640" customFormat="false" ht="15" hidden="false" customHeight="true" outlineLevel="0" collapsed="false">
      <c r="A640" s="8" t="s">
        <v>307</v>
      </c>
      <c r="B640" s="8" t="s">
        <v>1252</v>
      </c>
      <c r="C640" s="8" t="n">
        <v>0</v>
      </c>
      <c r="D640" s="8" t="n">
        <v>0</v>
      </c>
      <c r="E640" s="8" t="n">
        <v>2</v>
      </c>
      <c r="F640" s="8" t="n">
        <v>28.56</v>
      </c>
    </row>
    <row r="641" customFormat="false" ht="15" hidden="false" customHeight="true" outlineLevel="0" collapsed="false">
      <c r="A641" s="8" t="s">
        <v>188</v>
      </c>
      <c r="B641" s="8" t="s">
        <v>1225</v>
      </c>
      <c r="C641" s="8" t="n">
        <v>5</v>
      </c>
      <c r="D641" s="8" t="n">
        <v>144.65</v>
      </c>
      <c r="E641" s="8" t="n">
        <v>0</v>
      </c>
      <c r="F641" s="8" t="n">
        <v>0</v>
      </c>
    </row>
    <row r="642" customFormat="false" ht="15" hidden="false" customHeight="true" outlineLevel="0" collapsed="false">
      <c r="A642" s="8" t="s">
        <v>186</v>
      </c>
      <c r="B642" s="8" t="s">
        <v>1225</v>
      </c>
      <c r="C642" s="8" t="n">
        <v>7</v>
      </c>
      <c r="D642" s="8" t="n">
        <v>202.51</v>
      </c>
      <c r="E642" s="8" t="n">
        <v>0</v>
      </c>
      <c r="F642" s="8" t="n">
        <v>0</v>
      </c>
    </row>
    <row r="643" customFormat="false" ht="15" hidden="false" customHeight="true" outlineLevel="0" collapsed="false">
      <c r="A643" s="8" t="s">
        <v>210</v>
      </c>
      <c r="B643" s="8" t="s">
        <v>1225</v>
      </c>
      <c r="C643" s="8" t="n">
        <v>5</v>
      </c>
      <c r="D643" s="8" t="n">
        <v>144.65</v>
      </c>
      <c r="E643" s="8" t="n">
        <v>0</v>
      </c>
      <c r="F643" s="8" t="n">
        <v>0</v>
      </c>
    </row>
    <row r="644" customFormat="false" ht="15" hidden="false" customHeight="true" outlineLevel="0" collapsed="false">
      <c r="A644" s="8" t="s">
        <v>238</v>
      </c>
      <c r="B644" s="8" t="s">
        <v>1226</v>
      </c>
      <c r="C644" s="8" t="n">
        <v>2</v>
      </c>
      <c r="D644" s="8" t="n">
        <v>84.34</v>
      </c>
      <c r="E644" s="8" t="n">
        <v>1</v>
      </c>
      <c r="F644" s="8" t="n">
        <v>42.17</v>
      </c>
    </row>
    <row r="645" customFormat="false" ht="15" hidden="false" customHeight="true" outlineLevel="0" collapsed="false">
      <c r="A645" s="8" t="s">
        <v>214</v>
      </c>
      <c r="B645" s="8" t="s">
        <v>1226</v>
      </c>
      <c r="C645" s="8" t="n">
        <v>2</v>
      </c>
      <c r="D645" s="8" t="n">
        <v>84.34</v>
      </c>
      <c r="E645" s="8" t="n">
        <v>0</v>
      </c>
      <c r="F645" s="8" t="n">
        <v>0</v>
      </c>
    </row>
    <row r="646" customFormat="false" ht="15" hidden="false" customHeight="true" outlineLevel="0" collapsed="false">
      <c r="A646" s="8" t="s">
        <v>241</v>
      </c>
      <c r="B646" s="8" t="s">
        <v>1227</v>
      </c>
      <c r="C646" s="8" t="n">
        <v>6</v>
      </c>
      <c r="D646" s="8" t="n">
        <v>102</v>
      </c>
      <c r="E646" s="8" t="n">
        <v>0</v>
      </c>
      <c r="F646" s="8" t="n">
        <v>0</v>
      </c>
    </row>
    <row r="647" customFormat="false" ht="15" hidden="false" customHeight="true" outlineLevel="0" collapsed="false">
      <c r="A647" s="8" t="s">
        <v>219</v>
      </c>
      <c r="B647" s="8" t="s">
        <v>1227</v>
      </c>
      <c r="C647" s="8" t="n">
        <v>8</v>
      </c>
      <c r="D647" s="8" t="n">
        <v>136</v>
      </c>
      <c r="E647" s="8" t="n">
        <v>0</v>
      </c>
      <c r="F647" s="8" t="n">
        <v>0</v>
      </c>
    </row>
    <row r="648" customFormat="false" ht="15" hidden="false" customHeight="true" outlineLevel="0" collapsed="false">
      <c r="A648" s="8" t="s">
        <v>237</v>
      </c>
      <c r="B648" s="8" t="s">
        <v>1259</v>
      </c>
      <c r="C648" s="8" t="n">
        <v>5</v>
      </c>
      <c r="D648" s="8" t="n">
        <v>92.25</v>
      </c>
      <c r="E648" s="8" t="n">
        <v>0</v>
      </c>
      <c r="F648" s="8" t="n">
        <v>0</v>
      </c>
    </row>
    <row r="649" customFormat="false" ht="15" hidden="false" customHeight="true" outlineLevel="0" collapsed="false">
      <c r="A649" s="8" t="s">
        <v>266</v>
      </c>
      <c r="B649" s="8" t="s">
        <v>1228</v>
      </c>
      <c r="C649" s="8" t="n">
        <v>3</v>
      </c>
      <c r="D649" s="8" t="n">
        <v>59.76</v>
      </c>
      <c r="E649" s="8" t="n">
        <v>0</v>
      </c>
      <c r="F649" s="8" t="n">
        <v>0</v>
      </c>
    </row>
    <row r="650" customFormat="false" ht="15" hidden="false" customHeight="true" outlineLevel="0" collapsed="false">
      <c r="A650" s="8" t="s">
        <v>202</v>
      </c>
      <c r="B650" s="8" t="s">
        <v>1212</v>
      </c>
      <c r="C650" s="8" t="n">
        <v>9</v>
      </c>
      <c r="D650" s="8" t="n">
        <v>85.5</v>
      </c>
      <c r="E650" s="8" t="n">
        <v>2</v>
      </c>
      <c r="F650" s="8" t="n">
        <v>19</v>
      </c>
    </row>
    <row r="651" customFormat="false" ht="15" hidden="false" customHeight="true" outlineLevel="0" collapsed="false">
      <c r="A651" s="8" t="s">
        <v>244</v>
      </c>
      <c r="B651" s="8" t="s">
        <v>1213</v>
      </c>
      <c r="C651" s="8" t="n">
        <v>5</v>
      </c>
      <c r="D651" s="8" t="n">
        <v>47.5</v>
      </c>
      <c r="E651" s="8" t="n">
        <v>0</v>
      </c>
      <c r="F651" s="8" t="n">
        <v>0</v>
      </c>
    </row>
    <row r="652" customFormat="false" ht="15" hidden="false" customHeight="true" outlineLevel="0" collapsed="false">
      <c r="A652" s="8" t="s">
        <v>243</v>
      </c>
      <c r="B652" s="8" t="s">
        <v>1253</v>
      </c>
      <c r="C652" s="8" t="n">
        <v>3</v>
      </c>
      <c r="D652" s="8" t="n">
        <v>38.85</v>
      </c>
      <c r="E652" s="8" t="n">
        <v>0</v>
      </c>
      <c r="F652" s="8" t="n">
        <v>0</v>
      </c>
    </row>
    <row r="653" customFormat="false" ht="15" hidden="false" customHeight="true" outlineLevel="0" collapsed="false">
      <c r="A653" s="8" t="s">
        <v>251</v>
      </c>
      <c r="B653" s="8" t="s">
        <v>1262</v>
      </c>
      <c r="C653" s="8" t="n">
        <v>6</v>
      </c>
      <c r="D653" s="8" t="n">
        <v>58.26</v>
      </c>
      <c r="E653" s="8" t="n">
        <v>4</v>
      </c>
      <c r="F653" s="8" t="n">
        <v>38.84</v>
      </c>
    </row>
    <row r="654" customFormat="false" ht="15" hidden="false" customHeight="true" outlineLevel="0" collapsed="false">
      <c r="A654" s="8" t="s">
        <v>308</v>
      </c>
      <c r="B654" s="8" t="s">
        <v>1229</v>
      </c>
      <c r="C654" s="8" t="n">
        <v>3</v>
      </c>
      <c r="D654" s="8" t="n">
        <v>24.24</v>
      </c>
      <c r="E654" s="8" t="n">
        <v>0</v>
      </c>
      <c r="F654" s="8" t="n">
        <v>0</v>
      </c>
    </row>
    <row r="655" customFormat="false" ht="15" hidden="false" customHeight="true" outlineLevel="0" collapsed="false">
      <c r="A655" s="8" t="s">
        <v>172</v>
      </c>
      <c r="B655" s="8" t="s">
        <v>1214</v>
      </c>
      <c r="C655" s="8" t="n">
        <v>5</v>
      </c>
      <c r="D655" s="8" t="n">
        <v>60.9</v>
      </c>
      <c r="E655" s="8" t="n">
        <v>0</v>
      </c>
      <c r="F655" s="8" t="n">
        <v>0</v>
      </c>
    </row>
    <row r="656" customFormat="false" ht="15" hidden="false" customHeight="true" outlineLevel="0" collapsed="false">
      <c r="A656" s="8" t="s">
        <v>261</v>
      </c>
      <c r="B656" s="8" t="s">
        <v>1215</v>
      </c>
      <c r="C656" s="8" t="n">
        <v>5</v>
      </c>
      <c r="D656" s="8" t="n">
        <v>106.05</v>
      </c>
      <c r="E656" s="8" t="n">
        <v>0</v>
      </c>
      <c r="F656" s="8" t="n">
        <v>0</v>
      </c>
    </row>
    <row r="657" customFormat="false" ht="15" hidden="false" customHeight="true" outlineLevel="0" collapsed="false">
      <c r="A657" s="8" t="s">
        <v>269</v>
      </c>
      <c r="B657" s="8" t="s">
        <v>1231</v>
      </c>
      <c r="C657" s="8" t="n">
        <v>1</v>
      </c>
      <c r="D657" s="8" t="n">
        <v>11.33</v>
      </c>
      <c r="E657" s="8" t="n">
        <v>0</v>
      </c>
      <c r="F657" s="8" t="n">
        <v>0</v>
      </c>
    </row>
    <row r="658" customFormat="false" ht="15" hidden="false" customHeight="true" outlineLevel="0" collapsed="false">
      <c r="A658" s="8" t="s">
        <v>288</v>
      </c>
      <c r="B658" s="8" t="s">
        <v>939</v>
      </c>
      <c r="C658" s="8" t="n">
        <v>2</v>
      </c>
      <c r="D658" s="8" t="n">
        <v>40.48</v>
      </c>
      <c r="E658" s="8" t="n">
        <v>2</v>
      </c>
      <c r="F658" s="8" t="n">
        <v>40.48</v>
      </c>
    </row>
    <row r="659" customFormat="false" ht="15" hidden="false" customHeight="true" outlineLevel="0" collapsed="false">
      <c r="A659" s="8" t="s">
        <v>232</v>
      </c>
      <c r="B659" s="8" t="s">
        <v>1233</v>
      </c>
      <c r="C659" s="8" t="n">
        <v>2</v>
      </c>
      <c r="D659" s="8" t="n">
        <v>32.4</v>
      </c>
      <c r="E659" s="8" t="n">
        <v>2</v>
      </c>
      <c r="F659" s="8" t="n">
        <v>32.4</v>
      </c>
    </row>
    <row r="660" customFormat="false" ht="15" hidden="false" customHeight="true" outlineLevel="0" collapsed="false">
      <c r="A660" s="8" t="s">
        <v>215</v>
      </c>
      <c r="B660" s="8" t="s">
        <v>1233</v>
      </c>
      <c r="C660" s="8" t="n">
        <v>2</v>
      </c>
      <c r="D660" s="8" t="n">
        <v>35.64</v>
      </c>
      <c r="E660" s="8" t="n">
        <v>1</v>
      </c>
      <c r="F660" s="8" t="n">
        <v>17.82</v>
      </c>
    </row>
    <row r="661" customFormat="false" ht="15" hidden="false" customHeight="true" outlineLevel="0" collapsed="false">
      <c r="A661" s="8" t="s">
        <v>255</v>
      </c>
      <c r="B661" s="8" t="s">
        <v>1273</v>
      </c>
      <c r="C661" s="8" t="n">
        <v>6</v>
      </c>
      <c r="D661" s="8" t="n">
        <v>49.2</v>
      </c>
      <c r="E661" s="8" t="n">
        <v>0</v>
      </c>
      <c r="F661" s="8" t="n">
        <v>0</v>
      </c>
    </row>
    <row r="662" customFormat="false" ht="15" hidden="false" customHeight="true" outlineLevel="0" collapsed="false">
      <c r="A662" s="8" t="s">
        <v>279</v>
      </c>
      <c r="B662" s="8" t="s">
        <v>1274</v>
      </c>
      <c r="C662" s="8" t="n">
        <v>2</v>
      </c>
      <c r="D662" s="8" t="n">
        <v>19.64</v>
      </c>
      <c r="E662" s="8" t="n">
        <v>0</v>
      </c>
      <c r="F662" s="8" t="n">
        <v>0</v>
      </c>
    </row>
    <row r="663" customFormat="false" ht="15" hidden="false" customHeight="true" outlineLevel="0" collapsed="false">
      <c r="A663" s="8" t="s">
        <v>338</v>
      </c>
      <c r="B663" s="8" t="s">
        <v>1281</v>
      </c>
      <c r="C663" s="8" t="n">
        <v>6</v>
      </c>
      <c r="D663" s="8" t="n">
        <v>141.6</v>
      </c>
      <c r="E663" s="8" t="n">
        <v>0</v>
      </c>
      <c r="F663" s="8" t="n">
        <v>0</v>
      </c>
    </row>
    <row r="664" customFormat="false" ht="15" hidden="false" customHeight="true" outlineLevel="0" collapsed="false">
      <c r="A664" s="8" t="s">
        <v>362</v>
      </c>
      <c r="B664" s="8" t="s">
        <v>1255</v>
      </c>
      <c r="C664" s="8" t="n">
        <v>0</v>
      </c>
      <c r="D664" s="8" t="n">
        <v>0</v>
      </c>
      <c r="E664" s="8" t="n">
        <v>6</v>
      </c>
      <c r="F664" s="8" t="n">
        <v>141.6</v>
      </c>
    </row>
    <row r="665" customFormat="false" ht="15" hidden="false" customHeight="true" outlineLevel="0" collapsed="false">
      <c r="A665" s="8" t="s">
        <v>331</v>
      </c>
      <c r="B665" s="8" t="s">
        <v>1255</v>
      </c>
      <c r="C665" s="8" t="n">
        <v>5</v>
      </c>
      <c r="D665" s="8" t="n">
        <v>118</v>
      </c>
      <c r="E665" s="8" t="n">
        <v>0</v>
      </c>
      <c r="F665" s="8" t="n">
        <v>0</v>
      </c>
    </row>
    <row r="666" customFormat="false" ht="15" hidden="false" customHeight="true" outlineLevel="0" collapsed="false">
      <c r="A666" s="8" t="s">
        <v>342</v>
      </c>
      <c r="B666" s="8" t="s">
        <v>1255</v>
      </c>
      <c r="C666" s="8" t="n">
        <v>5</v>
      </c>
      <c r="D666" s="8" t="n">
        <v>118</v>
      </c>
      <c r="E666" s="8" t="n">
        <v>0</v>
      </c>
      <c r="F666" s="8" t="n">
        <v>0</v>
      </c>
    </row>
    <row r="667" customFormat="false" ht="15" hidden="false" customHeight="true" outlineLevel="0" collapsed="false">
      <c r="A667" s="8" t="s">
        <v>374</v>
      </c>
      <c r="B667" s="8" t="s">
        <v>1256</v>
      </c>
      <c r="C667" s="8" t="n">
        <v>0</v>
      </c>
      <c r="D667" s="8" t="n">
        <v>0</v>
      </c>
      <c r="E667" s="8" t="n">
        <v>4</v>
      </c>
      <c r="F667" s="8" t="n">
        <v>94.4</v>
      </c>
    </row>
    <row r="668" customFormat="false" ht="15" hidden="false" customHeight="true" outlineLevel="0" collapsed="false">
      <c r="A668" s="8" t="s">
        <v>321</v>
      </c>
      <c r="B668" s="8" t="s">
        <v>1256</v>
      </c>
      <c r="C668" s="8" t="n">
        <v>5</v>
      </c>
      <c r="D668" s="8" t="n">
        <v>118</v>
      </c>
      <c r="E668" s="8" t="n">
        <v>0</v>
      </c>
      <c r="F668" s="8" t="n">
        <v>0</v>
      </c>
    </row>
    <row r="669" customFormat="false" ht="15" hidden="false" customHeight="true" outlineLevel="0" collapsed="false">
      <c r="A669" s="8" t="s">
        <v>318</v>
      </c>
      <c r="B669" s="8" t="s">
        <v>1256</v>
      </c>
      <c r="C669" s="8" t="n">
        <v>5</v>
      </c>
      <c r="D669" s="8" t="n">
        <v>118</v>
      </c>
      <c r="E669" s="8" t="n">
        <v>6</v>
      </c>
      <c r="F669" s="8" t="n">
        <v>141.6</v>
      </c>
    </row>
    <row r="670" customFormat="false" ht="15" hidden="false" customHeight="true" outlineLevel="0" collapsed="false">
      <c r="A670" s="8" t="s">
        <v>225</v>
      </c>
      <c r="B670" s="8" t="s">
        <v>1237</v>
      </c>
      <c r="C670" s="8" t="n">
        <v>5</v>
      </c>
      <c r="D670" s="8" t="n">
        <v>92</v>
      </c>
      <c r="E670" s="8" t="n">
        <v>0</v>
      </c>
      <c r="F670" s="8" t="n">
        <v>0</v>
      </c>
    </row>
    <row r="671" customFormat="false" ht="15" hidden="false" customHeight="true" outlineLevel="0" collapsed="false">
      <c r="A671" s="8" t="s">
        <v>217</v>
      </c>
      <c r="B671" s="8" t="s">
        <v>1237</v>
      </c>
      <c r="C671" s="8" t="n">
        <v>5</v>
      </c>
      <c r="D671" s="8" t="n">
        <v>92</v>
      </c>
      <c r="E671" s="8" t="n">
        <v>0</v>
      </c>
      <c r="F671" s="8" t="n">
        <v>0</v>
      </c>
    </row>
    <row r="672" customFormat="false" ht="15" hidden="false" customHeight="true" outlineLevel="0" collapsed="false">
      <c r="A672" s="8" t="s">
        <v>192</v>
      </c>
      <c r="B672" s="8" t="s">
        <v>1240</v>
      </c>
      <c r="C672" s="8" t="n">
        <v>4</v>
      </c>
      <c r="D672" s="8" t="n">
        <v>167.24</v>
      </c>
      <c r="E672" s="8" t="n">
        <v>0</v>
      </c>
      <c r="F672" s="8" t="n">
        <v>0</v>
      </c>
    </row>
    <row r="673" customFormat="false" ht="15" hidden="false" customHeight="true" outlineLevel="0" collapsed="false">
      <c r="A673" s="8" t="s">
        <v>209</v>
      </c>
      <c r="B673" s="8" t="s">
        <v>1245</v>
      </c>
      <c r="C673" s="8" t="n">
        <v>2</v>
      </c>
      <c r="D673" s="8" t="n">
        <v>129.78</v>
      </c>
      <c r="E673" s="8" t="n">
        <v>0</v>
      </c>
      <c r="F673" s="8" t="n">
        <v>0</v>
      </c>
    </row>
    <row r="674" customFormat="false" ht="15" hidden="false" customHeight="true" outlineLevel="0" collapsed="false">
      <c r="A674" s="8" t="s">
        <v>180</v>
      </c>
      <c r="B674" s="8" t="s">
        <v>1216</v>
      </c>
      <c r="C674" s="8" t="n">
        <v>4</v>
      </c>
      <c r="D674" s="8" t="n">
        <v>66</v>
      </c>
      <c r="E674" s="8" t="n">
        <v>0</v>
      </c>
      <c r="F674" s="8" t="n">
        <v>0</v>
      </c>
    </row>
    <row r="675" customFormat="false" ht="15" hidden="false" customHeight="true" outlineLevel="0" collapsed="false">
      <c r="A675" s="8" t="s">
        <v>199</v>
      </c>
      <c r="B675" s="8" t="s">
        <v>1216</v>
      </c>
      <c r="C675" s="8" t="n">
        <v>2</v>
      </c>
      <c r="D675" s="8" t="n">
        <v>33</v>
      </c>
      <c r="E675" s="8" t="n">
        <v>0</v>
      </c>
      <c r="F675" s="8" t="n">
        <v>0</v>
      </c>
    </row>
    <row r="676" customFormat="false" ht="15" hidden="false" customHeight="true" outlineLevel="0" collapsed="false">
      <c r="A676" s="8" t="s">
        <v>198</v>
      </c>
      <c r="B676" s="8" t="s">
        <v>1217</v>
      </c>
      <c r="C676" s="8" t="n">
        <v>0</v>
      </c>
      <c r="D676" s="8" t="n">
        <v>0</v>
      </c>
      <c r="E676" s="8" t="n">
        <v>2</v>
      </c>
      <c r="F676" s="8" t="n">
        <v>41</v>
      </c>
    </row>
    <row r="677" customFormat="false" ht="15" hidden="false" customHeight="true" outlineLevel="0" collapsed="false">
      <c r="A677" s="8" t="s">
        <v>193</v>
      </c>
      <c r="B677" s="8" t="s">
        <v>1217</v>
      </c>
      <c r="C677" s="8" t="n">
        <v>2</v>
      </c>
      <c r="D677" s="8" t="n">
        <v>41</v>
      </c>
      <c r="E677" s="8" t="n">
        <v>0</v>
      </c>
      <c r="F677" s="8" t="n">
        <v>0</v>
      </c>
    </row>
    <row r="678" customFormat="false" ht="15" hidden="false" customHeight="true" outlineLevel="0" collapsed="false">
      <c r="A678" s="8" t="s">
        <v>256</v>
      </c>
      <c r="B678" s="8" t="s">
        <v>1217</v>
      </c>
      <c r="C678" s="8" t="n">
        <v>2</v>
      </c>
      <c r="D678" s="8" t="n">
        <v>41</v>
      </c>
      <c r="E678" s="8" t="n">
        <v>0</v>
      </c>
      <c r="F678" s="8" t="n">
        <v>0</v>
      </c>
    </row>
    <row r="679" customFormat="false" ht="15" hidden="false" customHeight="true" outlineLevel="0" collapsed="false">
      <c r="A679" s="8" t="s">
        <v>282</v>
      </c>
      <c r="B679" s="8" t="s">
        <v>1283</v>
      </c>
      <c r="C679" s="8" t="n">
        <v>1</v>
      </c>
      <c r="D679" s="8" t="n">
        <v>195.73</v>
      </c>
      <c r="E679" s="8" t="n">
        <v>0</v>
      </c>
      <c r="F679" s="8" t="n">
        <v>0</v>
      </c>
    </row>
    <row r="680" customFormat="false" ht="15" hidden="false" customHeight="true" outlineLevel="0" collapsed="false">
      <c r="A680" s="8" t="s">
        <v>254</v>
      </c>
      <c r="B680" s="8" t="s">
        <v>1265</v>
      </c>
      <c r="C680" s="8" t="n">
        <v>1</v>
      </c>
      <c r="D680" s="8" t="n">
        <v>126.57</v>
      </c>
      <c r="E680" s="8" t="n">
        <v>0</v>
      </c>
      <c r="F680" s="8" t="n">
        <v>0</v>
      </c>
    </row>
    <row r="681" customFormat="false" ht="15" hidden="false" customHeight="true" outlineLevel="0" collapsed="false">
      <c r="A681" s="8" t="s">
        <v>228</v>
      </c>
      <c r="B681" s="8" t="s">
        <v>1275</v>
      </c>
      <c r="C681" s="8" t="n">
        <v>16</v>
      </c>
      <c r="D681" s="8" t="n">
        <v>228</v>
      </c>
      <c r="E681" s="8" t="n">
        <v>0</v>
      </c>
      <c r="F681" s="8" t="n">
        <v>0</v>
      </c>
    </row>
    <row r="682" customFormat="false" ht="15" hidden="false" customHeight="true" outlineLevel="0" collapsed="false">
      <c r="A682" s="8" t="s">
        <v>113</v>
      </c>
      <c r="B682" s="8" t="s">
        <v>1247</v>
      </c>
      <c r="C682" s="8" t="n">
        <v>3</v>
      </c>
      <c r="D682" s="8" t="n">
        <v>75</v>
      </c>
      <c r="E682" s="8" t="n">
        <v>4</v>
      </c>
      <c r="F682" s="8" t="n">
        <v>100</v>
      </c>
    </row>
    <row r="683" customFormat="false" ht="15" hidden="false" customHeight="true" outlineLevel="0" collapsed="false">
      <c r="A683" s="8" t="s">
        <v>120</v>
      </c>
      <c r="B683" s="8" t="s">
        <v>1247</v>
      </c>
      <c r="C683" s="8" t="n">
        <v>3</v>
      </c>
      <c r="D683" s="8" t="n">
        <v>75</v>
      </c>
      <c r="E683" s="8" t="n">
        <v>0</v>
      </c>
      <c r="F683" s="8" t="n">
        <v>0</v>
      </c>
    </row>
    <row r="684" customFormat="false" ht="15" hidden="false" customHeight="true" outlineLevel="0" collapsed="false">
      <c r="A684" s="8" t="s">
        <v>257</v>
      </c>
      <c r="B684" s="8" t="s">
        <v>1284</v>
      </c>
      <c r="C684" s="8" t="n">
        <v>6</v>
      </c>
      <c r="D684" s="8" t="n">
        <v>194.58</v>
      </c>
      <c r="E684" s="8" t="n">
        <v>4</v>
      </c>
      <c r="F684" s="8" t="n">
        <v>129.72</v>
      </c>
    </row>
    <row r="685" customFormat="false" ht="15" hidden="false" customHeight="true" outlineLevel="0" collapsed="false">
      <c r="A685" s="8" t="s">
        <v>178</v>
      </c>
      <c r="B685" s="8" t="s">
        <v>1236</v>
      </c>
      <c r="C685" s="8" t="n">
        <v>1</v>
      </c>
      <c r="D685" s="8" t="n">
        <v>35</v>
      </c>
      <c r="E685" s="8" t="n">
        <v>0</v>
      </c>
      <c r="F685" s="8" t="n">
        <v>0</v>
      </c>
    </row>
    <row r="686" customFormat="false" ht="15" hidden="false" customHeight="true" outlineLevel="0" collapsed="false">
      <c r="A686" s="8" t="s">
        <v>176</v>
      </c>
      <c r="B686" s="8" t="s">
        <v>1236</v>
      </c>
      <c r="C686" s="8" t="n">
        <v>1</v>
      </c>
      <c r="D686" s="8" t="n">
        <v>35</v>
      </c>
      <c r="E686" s="8" t="n">
        <v>0</v>
      </c>
      <c r="F686" s="8" t="n">
        <v>0</v>
      </c>
    </row>
    <row r="687" customFormat="false" ht="15" hidden="false" customHeight="true" outlineLevel="0" collapsed="false">
      <c r="A687" s="8" t="s">
        <v>235</v>
      </c>
      <c r="B687" s="8" t="s">
        <v>1236</v>
      </c>
      <c r="C687" s="8" t="n">
        <v>2</v>
      </c>
      <c r="D687" s="8" t="n">
        <v>70</v>
      </c>
      <c r="E687" s="8" t="n">
        <v>0</v>
      </c>
      <c r="F687" s="8" t="n">
        <v>0</v>
      </c>
    </row>
    <row r="688" customFormat="false" ht="15" hidden="false" customHeight="true" outlineLevel="0" collapsed="false">
      <c r="A688" s="8" t="s">
        <v>179</v>
      </c>
      <c r="B688" s="8" t="s">
        <v>1218</v>
      </c>
      <c r="C688" s="8" t="n">
        <v>3</v>
      </c>
      <c r="D688" s="8" t="n">
        <v>379.5</v>
      </c>
      <c r="E688" s="8" t="n">
        <v>0</v>
      </c>
      <c r="F688" s="8" t="n">
        <v>0</v>
      </c>
    </row>
    <row r="689" customFormat="false" ht="15" hidden="false" customHeight="true" outlineLevel="0" collapsed="false">
      <c r="A689" s="8" t="s">
        <v>185</v>
      </c>
      <c r="B689" s="8" t="s">
        <v>1218</v>
      </c>
      <c r="C689" s="8" t="n">
        <v>1</v>
      </c>
      <c r="D689" s="8" t="n">
        <v>126.5</v>
      </c>
      <c r="E689" s="8" t="n">
        <v>0</v>
      </c>
      <c r="F689" s="8" t="n">
        <v>0</v>
      </c>
    </row>
    <row r="690" customFormat="false" ht="15" hidden="false" customHeight="true" outlineLevel="0" collapsed="false">
      <c r="A690" s="8" t="s">
        <v>195</v>
      </c>
      <c r="B690" s="8" t="s">
        <v>1218</v>
      </c>
      <c r="C690" s="8" t="n">
        <v>2</v>
      </c>
      <c r="D690" s="8" t="n">
        <v>253</v>
      </c>
      <c r="E690" s="8" t="n">
        <v>0</v>
      </c>
      <c r="F690" s="8" t="n">
        <v>0</v>
      </c>
    </row>
    <row r="691" customFormat="false" ht="15" hidden="false" customHeight="true" outlineLevel="0" collapsed="false">
      <c r="A691" s="8" t="s">
        <v>240</v>
      </c>
      <c r="B691" s="8" t="s">
        <v>769</v>
      </c>
      <c r="C691" s="8" t="n">
        <v>4</v>
      </c>
      <c r="D691" s="8" t="n">
        <v>68</v>
      </c>
      <c r="E691" s="8" t="n">
        <v>0</v>
      </c>
      <c r="F691" s="8" t="n">
        <v>0</v>
      </c>
    </row>
    <row r="692" customFormat="false" ht="15" hidden="false" customHeight="true" outlineLevel="0" collapsed="false">
      <c r="A692" s="8" t="s">
        <v>234</v>
      </c>
      <c r="B692" s="8" t="s">
        <v>769</v>
      </c>
      <c r="C692" s="8" t="n">
        <v>3</v>
      </c>
      <c r="D692" s="8" t="n">
        <v>51</v>
      </c>
      <c r="E692" s="8" t="n">
        <v>0</v>
      </c>
      <c r="F692" s="8" t="n">
        <v>0</v>
      </c>
    </row>
    <row r="693" customFormat="false" ht="15" hidden="false" customHeight="true" outlineLevel="0" collapsed="false">
      <c r="A693" s="8" t="s">
        <v>247</v>
      </c>
      <c r="B693" s="8" t="s">
        <v>769</v>
      </c>
      <c r="C693" s="8" t="n">
        <v>4</v>
      </c>
      <c r="D693" s="8" t="n">
        <v>68</v>
      </c>
      <c r="E693" s="8" t="n">
        <v>0</v>
      </c>
      <c r="F693" s="8" t="n">
        <v>0</v>
      </c>
    </row>
    <row r="694" customFormat="false" ht="15" hidden="false" customHeight="true" outlineLevel="0" collapsed="false">
      <c r="A694" s="8" t="s">
        <v>182</v>
      </c>
      <c r="B694" s="8" t="s">
        <v>799</v>
      </c>
      <c r="C694" s="8" t="n">
        <v>7</v>
      </c>
      <c r="D694" s="8" t="n">
        <v>140</v>
      </c>
      <c r="E694" s="8" t="n">
        <v>0</v>
      </c>
      <c r="F694" s="8" t="n">
        <v>0</v>
      </c>
    </row>
    <row r="695" customFormat="false" ht="15" hidden="false" customHeight="true" outlineLevel="0" collapsed="false">
      <c r="A695" s="8" t="s">
        <v>170</v>
      </c>
      <c r="B695" s="8" t="s">
        <v>1220</v>
      </c>
      <c r="C695" s="8" t="n">
        <v>6</v>
      </c>
      <c r="D695" s="8" t="n">
        <v>88.8</v>
      </c>
      <c r="E695" s="8" t="n">
        <v>0</v>
      </c>
      <c r="F695" s="8" t="n">
        <v>0</v>
      </c>
    </row>
    <row r="696" customFormat="false" ht="15" hidden="false" customHeight="true" outlineLevel="0" collapsed="false">
      <c r="A696" s="8" t="s">
        <v>167</v>
      </c>
      <c r="B696" s="8" t="s">
        <v>1238</v>
      </c>
      <c r="C696" s="8" t="n">
        <v>0</v>
      </c>
      <c r="D696" s="8" t="n">
        <v>0</v>
      </c>
      <c r="E696" s="8" t="n">
        <v>4</v>
      </c>
      <c r="F696" s="8" t="n">
        <v>53.6</v>
      </c>
    </row>
    <row r="697" customFormat="false" ht="15" hidden="false" customHeight="true" outlineLevel="0" collapsed="false">
      <c r="A697" s="8" t="s">
        <v>334</v>
      </c>
      <c r="B697" s="8" t="s">
        <v>1276</v>
      </c>
      <c r="C697" s="8" t="n">
        <v>1</v>
      </c>
      <c r="D697" s="8" t="n">
        <v>16.2</v>
      </c>
      <c r="E697" s="8" t="n">
        <v>0</v>
      </c>
      <c r="F697" s="8" t="n">
        <v>0</v>
      </c>
    </row>
    <row r="698" customFormat="false" ht="15" hidden="false" customHeight="true" outlineLevel="0" collapsed="false">
      <c r="A698" s="8" t="s">
        <v>203</v>
      </c>
      <c r="B698" s="8" t="s">
        <v>1177</v>
      </c>
      <c r="C698" s="8" t="n">
        <v>5</v>
      </c>
      <c r="D698" s="8" t="n">
        <v>92.5</v>
      </c>
      <c r="E698" s="8" t="n">
        <v>0</v>
      </c>
      <c r="F698" s="8" t="n">
        <v>0</v>
      </c>
    </row>
    <row r="699" customFormat="false" ht="15" hidden="false" customHeight="true" outlineLevel="0" collapsed="false">
      <c r="A699" s="8" t="s">
        <v>163</v>
      </c>
      <c r="B699" s="8" t="s">
        <v>897</v>
      </c>
      <c r="C699" s="8" t="n">
        <v>8</v>
      </c>
      <c r="D699" s="8" t="n">
        <v>520</v>
      </c>
      <c r="E699" s="8" t="n">
        <v>2</v>
      </c>
      <c r="F699" s="8" t="n">
        <v>130</v>
      </c>
    </row>
    <row r="700" customFormat="false" ht="15" hidden="false" customHeight="true" outlineLevel="0" collapsed="false">
      <c r="A700" s="8" t="s">
        <v>181</v>
      </c>
      <c r="B700" s="8" t="s">
        <v>897</v>
      </c>
      <c r="C700" s="8" t="n">
        <v>3</v>
      </c>
      <c r="D700" s="8" t="n">
        <v>195</v>
      </c>
      <c r="E700" s="8" t="n">
        <v>1</v>
      </c>
      <c r="F700" s="8" t="n">
        <v>65</v>
      </c>
    </row>
    <row r="701" customFormat="false" ht="15" hidden="false" customHeight="true" outlineLevel="0" collapsed="false">
      <c r="A701" s="8" t="s">
        <v>290</v>
      </c>
      <c r="B701" s="8" t="s">
        <v>897</v>
      </c>
      <c r="C701" s="8" t="n">
        <v>1</v>
      </c>
      <c r="D701" s="8" t="n">
        <v>65</v>
      </c>
      <c r="E701" s="8" t="n">
        <v>0</v>
      </c>
      <c r="F701" s="8" t="n">
        <v>0</v>
      </c>
    </row>
    <row r="702" customFormat="false" ht="15" hidden="false" customHeight="true" outlineLevel="0" collapsed="false">
      <c r="A702" s="8" t="s">
        <v>165</v>
      </c>
      <c r="B702" s="8" t="s">
        <v>897</v>
      </c>
      <c r="C702" s="8" t="n">
        <v>14</v>
      </c>
      <c r="D702" s="8" t="n">
        <v>910</v>
      </c>
      <c r="E702" s="8" t="n">
        <v>6</v>
      </c>
      <c r="F702" s="8" t="n">
        <v>390</v>
      </c>
    </row>
    <row r="703" customFormat="false" ht="15" hidden="false" customHeight="true" outlineLevel="0" collapsed="false">
      <c r="A703" s="8" t="s">
        <v>184</v>
      </c>
      <c r="B703" s="8" t="s">
        <v>897</v>
      </c>
      <c r="C703" s="8" t="n">
        <v>1</v>
      </c>
      <c r="D703" s="8" t="n">
        <v>65</v>
      </c>
      <c r="E703" s="8" t="n">
        <v>0</v>
      </c>
      <c r="F703" s="8" t="n">
        <v>0</v>
      </c>
    </row>
    <row r="704" customFormat="false" ht="15" hidden="false" customHeight="true" outlineLevel="0" collapsed="false">
      <c r="A704" s="8" t="s">
        <v>175</v>
      </c>
      <c r="B704" s="8" t="s">
        <v>1244</v>
      </c>
      <c r="C704" s="8" t="n">
        <v>11</v>
      </c>
      <c r="D704" s="8" t="n">
        <v>1930.5</v>
      </c>
      <c r="E704" s="8" t="n">
        <v>2</v>
      </c>
      <c r="F704" s="8" t="n">
        <v>351</v>
      </c>
    </row>
    <row r="705" customFormat="false" ht="15" hidden="false" customHeight="true" outlineLevel="0" collapsed="false">
      <c r="A705" s="8" t="s">
        <v>230</v>
      </c>
      <c r="B705" s="8" t="s">
        <v>1244</v>
      </c>
      <c r="C705" s="8" t="n">
        <v>4</v>
      </c>
      <c r="D705" s="8" t="n">
        <v>702</v>
      </c>
      <c r="E705" s="8" t="n">
        <v>0</v>
      </c>
      <c r="F705" s="8" t="n">
        <v>0</v>
      </c>
    </row>
    <row r="706" customFormat="false" ht="15" hidden="false" customHeight="true" outlineLevel="0" collapsed="false">
      <c r="A706" s="8" t="s">
        <v>173</v>
      </c>
      <c r="B706" s="8" t="s">
        <v>1244</v>
      </c>
      <c r="C706" s="8" t="n">
        <v>1</v>
      </c>
      <c r="D706" s="8" t="n">
        <v>175.5</v>
      </c>
      <c r="E706" s="8" t="n">
        <v>0</v>
      </c>
      <c r="F706" s="8" t="n">
        <v>0</v>
      </c>
    </row>
    <row r="707" customFormat="false" ht="15" hidden="false" customHeight="true" outlineLevel="0" collapsed="false">
      <c r="A707" s="8" t="s">
        <v>177</v>
      </c>
      <c r="B707" s="8" t="s">
        <v>1244</v>
      </c>
      <c r="C707" s="8" t="n">
        <v>2</v>
      </c>
      <c r="D707" s="8" t="n">
        <v>351</v>
      </c>
      <c r="E707" s="8" t="n">
        <v>2</v>
      </c>
      <c r="F707" s="8" t="n">
        <v>351</v>
      </c>
    </row>
    <row r="708" customFormat="false" ht="15" hidden="false" customHeight="true" outlineLevel="0" collapsed="false">
      <c r="A708" s="8" t="s">
        <v>208</v>
      </c>
      <c r="B708" s="8" t="s">
        <v>1179</v>
      </c>
      <c r="C708" s="8" t="n">
        <v>1</v>
      </c>
      <c r="D708" s="8" t="n">
        <v>72.34</v>
      </c>
      <c r="E708" s="8" t="n">
        <v>0</v>
      </c>
      <c r="F708" s="8" t="n">
        <v>0</v>
      </c>
    </row>
    <row r="709" customFormat="false" ht="15" hidden="false" customHeight="true" outlineLevel="0" collapsed="false">
      <c r="A709" s="8" t="s">
        <v>221</v>
      </c>
      <c r="B709" s="8" t="s">
        <v>1179</v>
      </c>
      <c r="C709" s="8" t="n">
        <v>2</v>
      </c>
      <c r="D709" s="8" t="n">
        <v>144.68</v>
      </c>
      <c r="E709" s="8" t="n">
        <v>1</v>
      </c>
      <c r="F709" s="8" t="n">
        <v>72.34</v>
      </c>
    </row>
    <row r="710" customFormat="false" ht="15" hidden="false" customHeight="true" outlineLevel="0" collapsed="false">
      <c r="A710" s="8" t="s">
        <v>191</v>
      </c>
      <c r="B710" s="8" t="s">
        <v>1179</v>
      </c>
      <c r="C710" s="8" t="n">
        <v>4</v>
      </c>
      <c r="D710" s="8" t="n">
        <v>289.36</v>
      </c>
      <c r="E710" s="8" t="n">
        <v>0</v>
      </c>
      <c r="F710" s="8" t="n">
        <v>0</v>
      </c>
    </row>
    <row r="711" customFormat="false" ht="15" hidden="false" customHeight="true" outlineLevel="0" collapsed="false">
      <c r="A711" s="8" t="s">
        <v>327</v>
      </c>
      <c r="B711" s="8" t="s">
        <v>1282</v>
      </c>
      <c r="C711" s="8" t="n">
        <v>1</v>
      </c>
      <c r="D711" s="8" t="n">
        <v>107.09</v>
      </c>
      <c r="E711" s="8" t="n">
        <v>0</v>
      </c>
      <c r="F711" s="8" t="n">
        <v>0</v>
      </c>
    </row>
    <row r="712" customFormat="false" ht="15" hidden="false" customHeight="true" outlineLevel="0" collapsed="false">
      <c r="A712" s="8" t="s">
        <v>190</v>
      </c>
      <c r="B712" s="8" t="s">
        <v>1224</v>
      </c>
      <c r="C712" s="8" t="n">
        <v>13</v>
      </c>
      <c r="D712" s="8" t="n">
        <v>317.59</v>
      </c>
      <c r="E712" s="8" t="n">
        <v>0</v>
      </c>
      <c r="F712" s="8" t="n">
        <v>0</v>
      </c>
    </row>
    <row r="713" customFormat="false" ht="15" hidden="false" customHeight="true" outlineLevel="0" collapsed="false">
      <c r="A713" s="8" t="s">
        <v>183</v>
      </c>
      <c r="B713" s="8" t="s">
        <v>1224</v>
      </c>
      <c r="C713" s="8" t="n">
        <v>24</v>
      </c>
      <c r="D713" s="8" t="n">
        <v>586.32</v>
      </c>
      <c r="E713" s="8" t="n">
        <v>0</v>
      </c>
      <c r="F713" s="8" t="n">
        <v>0</v>
      </c>
    </row>
    <row r="714" customFormat="false" ht="15" hidden="false" customHeight="true" outlineLevel="0" collapsed="false">
      <c r="A714" s="8" t="s">
        <v>161</v>
      </c>
      <c r="B714" s="8" t="s">
        <v>1208</v>
      </c>
      <c r="C714" s="8" t="n">
        <v>177</v>
      </c>
      <c r="D714" s="8" t="n">
        <v>8053.5</v>
      </c>
      <c r="E714" s="8" t="n">
        <v>40</v>
      </c>
      <c r="F714" s="8" t="n">
        <v>1820</v>
      </c>
    </row>
    <row r="715" customFormat="false" ht="15" hidden="false" customHeight="true" outlineLevel="0" collapsed="false">
      <c r="A715" s="8" t="s">
        <v>162</v>
      </c>
      <c r="B715" s="8" t="s">
        <v>1209</v>
      </c>
      <c r="C715" s="8" t="n">
        <v>26</v>
      </c>
      <c r="D715" s="8" t="n">
        <v>2022.8</v>
      </c>
      <c r="E715" s="8" t="n">
        <v>6</v>
      </c>
      <c r="F715" s="8" t="n">
        <v>466.8</v>
      </c>
    </row>
    <row r="716" customFormat="false" ht="15" hidden="false" customHeight="true" outlineLevel="0" collapsed="false">
      <c r="A716" s="8" t="s">
        <v>171</v>
      </c>
      <c r="B716" s="8" t="s">
        <v>1210</v>
      </c>
      <c r="C716" s="8" t="n">
        <v>14</v>
      </c>
      <c r="D716" s="8" t="n">
        <v>661.22</v>
      </c>
      <c r="E716" s="8" t="n">
        <v>6</v>
      </c>
      <c r="F716" s="8" t="n">
        <v>283.38</v>
      </c>
    </row>
    <row r="717" customFormat="false" ht="15" hidden="false" customHeight="true" outlineLevel="0" collapsed="false">
      <c r="A717" s="8" t="s">
        <v>174</v>
      </c>
      <c r="B717" s="8" t="s">
        <v>1210</v>
      </c>
      <c r="C717" s="8" t="n">
        <v>20</v>
      </c>
      <c r="D717" s="8" t="n">
        <v>944.6</v>
      </c>
      <c r="E717" s="8" t="n">
        <v>0</v>
      </c>
      <c r="F717" s="8" t="n">
        <v>0</v>
      </c>
    </row>
    <row r="718" customFormat="false" ht="15" hidden="false" customHeight="true" outlineLevel="0" collapsed="false">
      <c r="A718" s="8" t="s">
        <v>166</v>
      </c>
      <c r="B718" s="8" t="s">
        <v>1211</v>
      </c>
      <c r="C718" s="8" t="n">
        <v>4</v>
      </c>
      <c r="D718" s="8" t="n">
        <v>253.08</v>
      </c>
      <c r="E718" s="8" t="n">
        <v>4</v>
      </c>
      <c r="F718" s="8" t="n">
        <v>253.08</v>
      </c>
    </row>
    <row r="719" customFormat="false" ht="15" hidden="false" customHeight="true" outlineLevel="0" collapsed="false">
      <c r="A719" s="8" t="s">
        <v>164</v>
      </c>
      <c r="B719" s="8" t="s">
        <v>1211</v>
      </c>
      <c r="C719" s="8" t="n">
        <v>8</v>
      </c>
      <c r="D719" s="8" t="n">
        <v>506.16</v>
      </c>
      <c r="E719" s="8" t="n">
        <v>8</v>
      </c>
      <c r="F719" s="8" t="n">
        <v>506.16</v>
      </c>
    </row>
    <row r="720" customFormat="false" ht="15" hidden="false" customHeight="true" outlineLevel="0" collapsed="false">
      <c r="A720" s="8" t="s">
        <v>270</v>
      </c>
      <c r="B720" s="8" t="s">
        <v>1251</v>
      </c>
      <c r="C720" s="8" t="n">
        <v>6</v>
      </c>
      <c r="D720" s="8" t="n">
        <v>58.92</v>
      </c>
      <c r="E720" s="8" t="n">
        <v>8</v>
      </c>
      <c r="F720" s="8" t="n">
        <v>78.56</v>
      </c>
    </row>
    <row r="721" customFormat="false" ht="15" hidden="false" customHeight="true" outlineLevel="0" collapsed="false">
      <c r="A721" s="8" t="s">
        <v>188</v>
      </c>
      <c r="B721" s="8" t="s">
        <v>1225</v>
      </c>
      <c r="C721" s="8" t="n">
        <v>14</v>
      </c>
      <c r="D721" s="8" t="n">
        <v>405.02</v>
      </c>
      <c r="E721" s="8" t="n">
        <v>0</v>
      </c>
      <c r="F721" s="8" t="n">
        <v>0</v>
      </c>
    </row>
    <row r="722" customFormat="false" ht="15" hidden="false" customHeight="true" outlineLevel="0" collapsed="false">
      <c r="A722" s="8" t="s">
        <v>186</v>
      </c>
      <c r="B722" s="8" t="s">
        <v>1225</v>
      </c>
      <c r="C722" s="8" t="n">
        <v>26</v>
      </c>
      <c r="D722" s="8" t="n">
        <v>752.18</v>
      </c>
      <c r="E722" s="8" t="n">
        <v>0</v>
      </c>
      <c r="F722" s="8" t="n">
        <v>0</v>
      </c>
    </row>
    <row r="723" customFormat="false" ht="15" hidden="false" customHeight="true" outlineLevel="0" collapsed="false">
      <c r="A723" s="8" t="s">
        <v>239</v>
      </c>
      <c r="B723" s="8" t="s">
        <v>1225</v>
      </c>
      <c r="C723" s="8" t="n">
        <v>5</v>
      </c>
      <c r="D723" s="8" t="n">
        <v>144.65</v>
      </c>
      <c r="E723" s="8" t="n">
        <v>0</v>
      </c>
      <c r="F723" s="8" t="n">
        <v>0</v>
      </c>
    </row>
    <row r="724" customFormat="false" ht="15" hidden="false" customHeight="true" outlineLevel="0" collapsed="false">
      <c r="A724" s="8" t="s">
        <v>210</v>
      </c>
      <c r="B724" s="8" t="s">
        <v>1225</v>
      </c>
      <c r="C724" s="8" t="n">
        <v>11</v>
      </c>
      <c r="D724" s="8" t="n">
        <v>318.23</v>
      </c>
      <c r="E724" s="8" t="n">
        <v>0</v>
      </c>
      <c r="F724" s="8" t="n">
        <v>0</v>
      </c>
    </row>
    <row r="725" customFormat="false" ht="15" hidden="false" customHeight="true" outlineLevel="0" collapsed="false">
      <c r="A725" s="8" t="s">
        <v>320</v>
      </c>
      <c r="B725" s="8" t="s">
        <v>1225</v>
      </c>
      <c r="C725" s="8" t="n">
        <v>4</v>
      </c>
      <c r="D725" s="8" t="n">
        <v>115.72</v>
      </c>
      <c r="E725" s="8" t="n">
        <v>0</v>
      </c>
      <c r="F725" s="8" t="n">
        <v>0</v>
      </c>
    </row>
    <row r="726" customFormat="false" ht="15" hidden="false" customHeight="true" outlineLevel="0" collapsed="false">
      <c r="A726" s="8" t="s">
        <v>238</v>
      </c>
      <c r="B726" s="8" t="s">
        <v>1226</v>
      </c>
      <c r="C726" s="8" t="n">
        <v>3</v>
      </c>
      <c r="D726" s="8" t="n">
        <v>126.51</v>
      </c>
      <c r="E726" s="8" t="n">
        <v>0</v>
      </c>
      <c r="F726" s="8" t="n">
        <v>0</v>
      </c>
    </row>
    <row r="727" customFormat="false" ht="15" hidden="false" customHeight="true" outlineLevel="0" collapsed="false">
      <c r="A727" s="8" t="s">
        <v>214</v>
      </c>
      <c r="B727" s="8" t="s">
        <v>1226</v>
      </c>
      <c r="C727" s="8" t="n">
        <v>3</v>
      </c>
      <c r="D727" s="8" t="n">
        <v>126.51</v>
      </c>
      <c r="E727" s="8" t="n">
        <v>0</v>
      </c>
      <c r="F727" s="8" t="n">
        <v>0</v>
      </c>
    </row>
    <row r="728" customFormat="false" ht="15" hidden="false" customHeight="true" outlineLevel="0" collapsed="false">
      <c r="A728" s="8" t="s">
        <v>241</v>
      </c>
      <c r="B728" s="8" t="s">
        <v>1227</v>
      </c>
      <c r="C728" s="8" t="n">
        <v>13</v>
      </c>
      <c r="D728" s="8" t="n">
        <v>221</v>
      </c>
      <c r="E728" s="8" t="n">
        <v>0</v>
      </c>
      <c r="F728" s="8" t="n">
        <v>0</v>
      </c>
    </row>
    <row r="729" customFormat="false" ht="15" hidden="false" customHeight="true" outlineLevel="0" collapsed="false">
      <c r="A729" s="8" t="s">
        <v>219</v>
      </c>
      <c r="B729" s="8" t="s">
        <v>1227</v>
      </c>
      <c r="C729" s="8" t="n">
        <v>22</v>
      </c>
      <c r="D729" s="8" t="n">
        <v>374</v>
      </c>
      <c r="E729" s="8" t="n">
        <v>0</v>
      </c>
      <c r="F729" s="8" t="n">
        <v>0</v>
      </c>
    </row>
    <row r="730" customFormat="false" ht="15" hidden="false" customHeight="true" outlineLevel="0" collapsed="false">
      <c r="A730" s="8" t="s">
        <v>292</v>
      </c>
      <c r="B730" s="8" t="s">
        <v>1227</v>
      </c>
      <c r="C730" s="8" t="n">
        <v>10</v>
      </c>
      <c r="D730" s="8" t="n">
        <v>170</v>
      </c>
      <c r="E730" s="8" t="n">
        <v>0</v>
      </c>
      <c r="F730" s="8" t="n">
        <v>0</v>
      </c>
    </row>
    <row r="731" customFormat="false" ht="15" hidden="false" customHeight="true" outlineLevel="0" collapsed="false">
      <c r="A731" s="8" t="s">
        <v>223</v>
      </c>
      <c r="B731" s="8" t="s">
        <v>1227</v>
      </c>
      <c r="C731" s="8" t="n">
        <v>12</v>
      </c>
      <c r="D731" s="8" t="n">
        <v>204</v>
      </c>
      <c r="E731" s="8" t="n">
        <v>0</v>
      </c>
      <c r="F731" s="8" t="n">
        <v>0</v>
      </c>
    </row>
    <row r="732" customFormat="false" ht="15" hidden="false" customHeight="true" outlineLevel="0" collapsed="false">
      <c r="A732" s="8" t="s">
        <v>287</v>
      </c>
      <c r="B732" s="8" t="s">
        <v>1227</v>
      </c>
      <c r="C732" s="8" t="n">
        <v>15</v>
      </c>
      <c r="D732" s="8" t="n">
        <v>255</v>
      </c>
      <c r="E732" s="8" t="n">
        <v>0</v>
      </c>
      <c r="F732" s="8" t="n">
        <v>0</v>
      </c>
    </row>
    <row r="733" customFormat="false" ht="15" hidden="false" customHeight="true" outlineLevel="0" collapsed="false">
      <c r="A733" s="8" t="s">
        <v>229</v>
      </c>
      <c r="B733" s="8" t="s">
        <v>881</v>
      </c>
      <c r="C733" s="8" t="n">
        <v>0</v>
      </c>
      <c r="D733" s="8" t="n">
        <v>0</v>
      </c>
      <c r="E733" s="8" t="n">
        <v>8</v>
      </c>
      <c r="F733" s="8" t="n">
        <v>329.6</v>
      </c>
    </row>
    <row r="734" customFormat="false" ht="15" hidden="false" customHeight="true" outlineLevel="0" collapsed="false">
      <c r="A734" s="8" t="s">
        <v>266</v>
      </c>
      <c r="B734" s="8" t="s">
        <v>1228</v>
      </c>
      <c r="C734" s="8" t="n">
        <v>0</v>
      </c>
      <c r="D734" s="8" t="n">
        <v>0</v>
      </c>
      <c r="E734" s="8" t="n">
        <v>6</v>
      </c>
      <c r="F734" s="8" t="n">
        <v>119.52</v>
      </c>
    </row>
    <row r="735" customFormat="false" ht="15" hidden="false" customHeight="true" outlineLevel="0" collapsed="false">
      <c r="A735" s="8" t="s">
        <v>246</v>
      </c>
      <c r="B735" s="8" t="s">
        <v>1261</v>
      </c>
      <c r="C735" s="8" t="n">
        <v>6</v>
      </c>
      <c r="D735" s="8" t="n">
        <v>104.1</v>
      </c>
      <c r="E735" s="8" t="n">
        <v>0</v>
      </c>
      <c r="F735" s="8" t="n">
        <v>0</v>
      </c>
    </row>
    <row r="736" customFormat="false" ht="15" hidden="false" customHeight="true" outlineLevel="0" collapsed="false">
      <c r="A736" s="8" t="s">
        <v>202</v>
      </c>
      <c r="B736" s="8" t="s">
        <v>1212</v>
      </c>
      <c r="C736" s="8" t="n">
        <v>8</v>
      </c>
      <c r="D736" s="8" t="n">
        <v>76</v>
      </c>
      <c r="E736" s="8" t="n">
        <v>14</v>
      </c>
      <c r="F736" s="8" t="n">
        <v>133</v>
      </c>
    </row>
    <row r="737" customFormat="false" ht="15" hidden="false" customHeight="true" outlineLevel="0" collapsed="false">
      <c r="A737" s="8" t="s">
        <v>244</v>
      </c>
      <c r="B737" s="8" t="s">
        <v>1213</v>
      </c>
      <c r="C737" s="8" t="n">
        <v>4</v>
      </c>
      <c r="D737" s="8" t="n">
        <v>38</v>
      </c>
      <c r="E737" s="8" t="n">
        <v>15</v>
      </c>
      <c r="F737" s="8" t="n">
        <v>142.5</v>
      </c>
    </row>
    <row r="738" customFormat="false" ht="15" hidden="false" customHeight="true" outlineLevel="0" collapsed="false">
      <c r="A738" s="8" t="s">
        <v>251</v>
      </c>
      <c r="B738" s="8" t="s">
        <v>1262</v>
      </c>
      <c r="C738" s="8" t="n">
        <v>24</v>
      </c>
      <c r="D738" s="8" t="n">
        <v>233.04</v>
      </c>
      <c r="E738" s="8" t="n">
        <v>3</v>
      </c>
      <c r="F738" s="8" t="n">
        <v>29.13</v>
      </c>
    </row>
    <row r="739" customFormat="false" ht="15" hidden="false" customHeight="true" outlineLevel="0" collapsed="false">
      <c r="A739" s="8" t="s">
        <v>172</v>
      </c>
      <c r="B739" s="8" t="s">
        <v>1214</v>
      </c>
      <c r="C739" s="8" t="n">
        <v>19</v>
      </c>
      <c r="D739" s="8" t="n">
        <v>231.42</v>
      </c>
      <c r="E739" s="8" t="n">
        <v>8</v>
      </c>
      <c r="F739" s="8" t="n">
        <v>97.44</v>
      </c>
    </row>
    <row r="740" customFormat="false" ht="15" hidden="false" customHeight="true" outlineLevel="0" collapsed="false">
      <c r="A740" s="8" t="s">
        <v>242</v>
      </c>
      <c r="B740" s="8" t="s">
        <v>1230</v>
      </c>
      <c r="C740" s="8" t="n">
        <v>10</v>
      </c>
      <c r="D740" s="8" t="n">
        <v>387</v>
      </c>
      <c r="E740" s="8" t="n">
        <v>0</v>
      </c>
      <c r="F740" s="8" t="n">
        <v>0</v>
      </c>
    </row>
    <row r="741" customFormat="false" ht="15" hidden="false" customHeight="true" outlineLevel="0" collapsed="false">
      <c r="A741" s="8" t="s">
        <v>269</v>
      </c>
      <c r="B741" s="8" t="s">
        <v>1231</v>
      </c>
      <c r="C741" s="8" t="n">
        <v>3</v>
      </c>
      <c r="D741" s="8" t="n">
        <v>33.99</v>
      </c>
      <c r="E741" s="8" t="n">
        <v>0</v>
      </c>
      <c r="F741" s="8" t="n">
        <v>0</v>
      </c>
    </row>
    <row r="742" customFormat="false" ht="15" hidden="false" customHeight="true" outlineLevel="0" collapsed="false">
      <c r="A742" s="8" t="s">
        <v>281</v>
      </c>
      <c r="B742" s="8" t="s">
        <v>1254</v>
      </c>
      <c r="C742" s="8" t="n">
        <v>21</v>
      </c>
      <c r="D742" s="8" t="n">
        <v>290.64</v>
      </c>
      <c r="E742" s="8" t="n">
        <v>0</v>
      </c>
      <c r="F742" s="8" t="n">
        <v>0</v>
      </c>
    </row>
    <row r="743" customFormat="false" ht="15" hidden="false" customHeight="true" outlineLevel="0" collapsed="false">
      <c r="A743" s="8" t="s">
        <v>232</v>
      </c>
      <c r="B743" s="8" t="s">
        <v>1233</v>
      </c>
      <c r="C743" s="8" t="n">
        <v>7</v>
      </c>
      <c r="D743" s="8" t="n">
        <v>113.4</v>
      </c>
      <c r="E743" s="8" t="n">
        <v>0</v>
      </c>
      <c r="F743" s="8" t="n">
        <v>0</v>
      </c>
    </row>
    <row r="744" customFormat="false" ht="15" hidden="false" customHeight="true" outlineLevel="0" collapsed="false">
      <c r="A744" s="8" t="s">
        <v>215</v>
      </c>
      <c r="B744" s="8" t="s">
        <v>1233</v>
      </c>
      <c r="C744" s="8" t="n">
        <v>14</v>
      </c>
      <c r="D744" s="8" t="n">
        <v>249.48</v>
      </c>
      <c r="E744" s="8" t="n">
        <v>8</v>
      </c>
      <c r="F744" s="8" t="n">
        <v>142.56</v>
      </c>
    </row>
    <row r="745" customFormat="false" ht="15" hidden="false" customHeight="true" outlineLevel="0" collapsed="false">
      <c r="A745" s="8" t="s">
        <v>255</v>
      </c>
      <c r="B745" s="8" t="s">
        <v>1273</v>
      </c>
      <c r="C745" s="8" t="n">
        <v>26</v>
      </c>
      <c r="D745" s="8" t="n">
        <v>213.2</v>
      </c>
      <c r="E745" s="8" t="n">
        <v>0</v>
      </c>
      <c r="F745" s="8" t="n">
        <v>0</v>
      </c>
    </row>
    <row r="746" customFormat="false" ht="15" hidden="false" customHeight="true" outlineLevel="0" collapsed="false">
      <c r="A746" s="8" t="s">
        <v>194</v>
      </c>
      <c r="B746" s="8" t="s">
        <v>1239</v>
      </c>
      <c r="C746" s="8" t="n">
        <v>42</v>
      </c>
      <c r="D746" s="8" t="n">
        <v>412.44</v>
      </c>
      <c r="E746" s="8" t="n">
        <v>6</v>
      </c>
      <c r="F746" s="8" t="n">
        <v>58.92</v>
      </c>
    </row>
    <row r="747" customFormat="false" ht="15" hidden="false" customHeight="true" outlineLevel="0" collapsed="false">
      <c r="A747" s="8" t="s">
        <v>279</v>
      </c>
      <c r="B747" s="8" t="s">
        <v>1274</v>
      </c>
      <c r="C747" s="8" t="n">
        <v>18</v>
      </c>
      <c r="D747" s="8" t="n">
        <v>176.76</v>
      </c>
      <c r="E747" s="8" t="n">
        <v>4</v>
      </c>
      <c r="F747" s="8" t="n">
        <v>39.28</v>
      </c>
    </row>
    <row r="748" customFormat="false" ht="15" hidden="false" customHeight="true" outlineLevel="0" collapsed="false">
      <c r="A748" s="8" t="s">
        <v>192</v>
      </c>
      <c r="B748" s="8" t="s">
        <v>1240</v>
      </c>
      <c r="C748" s="8" t="n">
        <v>4</v>
      </c>
      <c r="D748" s="8" t="n">
        <v>167.24</v>
      </c>
      <c r="E748" s="8" t="n">
        <v>0</v>
      </c>
      <c r="F748" s="8" t="n">
        <v>0</v>
      </c>
    </row>
    <row r="749" customFormat="false" ht="15" hidden="false" customHeight="true" outlineLevel="0" collapsed="false">
      <c r="A749" s="8" t="s">
        <v>168</v>
      </c>
      <c r="B749" s="8" t="s">
        <v>1240</v>
      </c>
      <c r="C749" s="8" t="n">
        <v>21</v>
      </c>
      <c r="D749" s="8" t="n">
        <v>878.01</v>
      </c>
      <c r="E749" s="8" t="n">
        <v>0</v>
      </c>
      <c r="F749" s="8" t="n">
        <v>0</v>
      </c>
    </row>
    <row r="750" customFormat="false" ht="15" hidden="false" customHeight="true" outlineLevel="0" collapsed="false">
      <c r="A750" s="8" t="s">
        <v>169</v>
      </c>
      <c r="B750" s="8" t="s">
        <v>1240</v>
      </c>
      <c r="C750" s="8" t="n">
        <v>25</v>
      </c>
      <c r="D750" s="8" t="n">
        <v>1045.25</v>
      </c>
      <c r="E750" s="8" t="n">
        <v>0</v>
      </c>
      <c r="F750" s="8" t="n">
        <v>0</v>
      </c>
    </row>
    <row r="751" customFormat="false" ht="15" hidden="false" customHeight="true" outlineLevel="0" collapsed="false">
      <c r="A751" s="8" t="s">
        <v>268</v>
      </c>
      <c r="B751" s="8" t="s">
        <v>1234</v>
      </c>
      <c r="C751" s="8" t="n">
        <v>10</v>
      </c>
      <c r="D751" s="8" t="n">
        <v>356.7</v>
      </c>
      <c r="E751" s="8" t="n">
        <v>0</v>
      </c>
      <c r="F751" s="8" t="n">
        <v>0</v>
      </c>
    </row>
    <row r="752" customFormat="false" ht="15" hidden="false" customHeight="true" outlineLevel="0" collapsed="false">
      <c r="A752" s="8" t="s">
        <v>209</v>
      </c>
      <c r="B752" s="8" t="s">
        <v>1245</v>
      </c>
      <c r="C752" s="8" t="n">
        <v>6</v>
      </c>
      <c r="D752" s="8" t="n">
        <v>389.34</v>
      </c>
      <c r="E752" s="8" t="n">
        <v>2</v>
      </c>
      <c r="F752" s="8" t="n">
        <v>129.78</v>
      </c>
    </row>
    <row r="753" customFormat="false" ht="15" hidden="false" customHeight="true" outlineLevel="0" collapsed="false">
      <c r="A753" s="8" t="s">
        <v>180</v>
      </c>
      <c r="B753" s="8" t="s">
        <v>1216</v>
      </c>
      <c r="C753" s="8" t="n">
        <v>32</v>
      </c>
      <c r="D753" s="8" t="n">
        <v>528</v>
      </c>
      <c r="E753" s="8" t="n">
        <v>13</v>
      </c>
      <c r="F753" s="8" t="n">
        <v>214.5</v>
      </c>
    </row>
    <row r="754" customFormat="false" ht="15" hidden="false" customHeight="true" outlineLevel="0" collapsed="false">
      <c r="A754" s="8" t="s">
        <v>189</v>
      </c>
      <c r="B754" s="8" t="s">
        <v>1216</v>
      </c>
      <c r="C754" s="8" t="n">
        <v>6</v>
      </c>
      <c r="D754" s="8" t="n">
        <v>99</v>
      </c>
      <c r="E754" s="8" t="n">
        <v>10</v>
      </c>
      <c r="F754" s="8" t="n">
        <v>165</v>
      </c>
    </row>
    <row r="755" customFormat="false" ht="15" hidden="false" customHeight="true" outlineLevel="0" collapsed="false">
      <c r="A755" s="8" t="s">
        <v>267</v>
      </c>
      <c r="B755" s="8" t="s">
        <v>1216</v>
      </c>
      <c r="C755" s="8" t="n">
        <v>5</v>
      </c>
      <c r="D755" s="8" t="n">
        <v>82.5</v>
      </c>
      <c r="E755" s="8" t="n">
        <v>0</v>
      </c>
      <c r="F755" s="8" t="n">
        <v>0</v>
      </c>
    </row>
    <row r="756" customFormat="false" ht="15" hidden="false" customHeight="true" outlineLevel="0" collapsed="false">
      <c r="A756" s="8" t="s">
        <v>199</v>
      </c>
      <c r="B756" s="8" t="s">
        <v>1216</v>
      </c>
      <c r="C756" s="8" t="n">
        <v>24</v>
      </c>
      <c r="D756" s="8" t="n">
        <v>396</v>
      </c>
      <c r="E756" s="8" t="n">
        <v>0</v>
      </c>
      <c r="F756" s="8" t="n">
        <v>0</v>
      </c>
    </row>
    <row r="757" customFormat="false" ht="15" hidden="false" customHeight="true" outlineLevel="0" collapsed="false">
      <c r="A757" s="8" t="s">
        <v>250</v>
      </c>
      <c r="B757" s="8" t="s">
        <v>1216</v>
      </c>
      <c r="C757" s="8" t="n">
        <v>4</v>
      </c>
      <c r="D757" s="8" t="n">
        <v>66</v>
      </c>
      <c r="E757" s="8" t="n">
        <v>8</v>
      </c>
      <c r="F757" s="8" t="n">
        <v>132</v>
      </c>
    </row>
    <row r="758" customFormat="false" ht="15" hidden="false" customHeight="true" outlineLevel="0" collapsed="false">
      <c r="A758" s="8" t="s">
        <v>249</v>
      </c>
      <c r="B758" s="8" t="s">
        <v>1285</v>
      </c>
      <c r="C758" s="8" t="n">
        <v>1</v>
      </c>
      <c r="D758" s="8" t="n">
        <v>136.3</v>
      </c>
      <c r="E758" s="8" t="n">
        <v>0</v>
      </c>
      <c r="F758" s="8" t="n">
        <v>0</v>
      </c>
    </row>
    <row r="759" customFormat="false" ht="15" hidden="false" customHeight="true" outlineLevel="0" collapsed="false">
      <c r="A759" s="8" t="s">
        <v>356</v>
      </c>
      <c r="B759" s="8" t="s">
        <v>1285</v>
      </c>
      <c r="C759" s="8" t="n">
        <v>1</v>
      </c>
      <c r="D759" s="8" t="n">
        <v>136.3</v>
      </c>
      <c r="E759" s="8" t="n">
        <v>0</v>
      </c>
      <c r="F759" s="8" t="n">
        <v>0</v>
      </c>
    </row>
    <row r="760" customFormat="false" ht="15" hidden="false" customHeight="true" outlineLevel="0" collapsed="false">
      <c r="A760" s="8" t="s">
        <v>228</v>
      </c>
      <c r="B760" s="8" t="s">
        <v>1275</v>
      </c>
      <c r="C760" s="8" t="n">
        <v>82</v>
      </c>
      <c r="D760" s="8" t="n">
        <v>1168.5</v>
      </c>
      <c r="E760" s="8" t="n">
        <v>0</v>
      </c>
      <c r="F760" s="8" t="n">
        <v>0</v>
      </c>
    </row>
    <row r="761" customFormat="false" ht="15" hidden="false" customHeight="true" outlineLevel="0" collapsed="false">
      <c r="A761" s="8" t="s">
        <v>178</v>
      </c>
      <c r="B761" s="8" t="s">
        <v>1236</v>
      </c>
      <c r="C761" s="8" t="n">
        <v>11</v>
      </c>
      <c r="D761" s="8" t="n">
        <v>385</v>
      </c>
      <c r="E761" s="8" t="n">
        <v>8</v>
      </c>
      <c r="F761" s="8" t="n">
        <v>280</v>
      </c>
    </row>
    <row r="762" customFormat="false" ht="15" hidden="false" customHeight="true" outlineLevel="0" collapsed="false">
      <c r="A762" s="8" t="s">
        <v>176</v>
      </c>
      <c r="B762" s="8" t="s">
        <v>1236</v>
      </c>
      <c r="C762" s="8" t="n">
        <v>6</v>
      </c>
      <c r="D762" s="8" t="n">
        <v>210</v>
      </c>
      <c r="E762" s="8" t="n">
        <v>4</v>
      </c>
      <c r="F762" s="8" t="n">
        <v>140</v>
      </c>
    </row>
    <row r="763" customFormat="false" ht="15" hidden="false" customHeight="true" outlineLevel="0" collapsed="false">
      <c r="A763" s="8" t="s">
        <v>235</v>
      </c>
      <c r="B763" s="8" t="s">
        <v>1236</v>
      </c>
      <c r="C763" s="8" t="n">
        <v>2</v>
      </c>
      <c r="D763" s="8" t="n">
        <v>70</v>
      </c>
      <c r="E763" s="8" t="n">
        <v>0</v>
      </c>
      <c r="F763" s="8" t="n">
        <v>0</v>
      </c>
    </row>
    <row r="764" customFormat="false" ht="15" hidden="false" customHeight="true" outlineLevel="0" collapsed="false">
      <c r="A764" s="8" t="s">
        <v>224</v>
      </c>
      <c r="B764" s="8" t="s">
        <v>1236</v>
      </c>
      <c r="C764" s="8" t="n">
        <v>0</v>
      </c>
      <c r="D764" s="8" t="n">
        <v>0</v>
      </c>
      <c r="E764" s="8" t="n">
        <v>2</v>
      </c>
      <c r="F764" s="8" t="n">
        <v>70</v>
      </c>
    </row>
    <row r="765" customFormat="false" ht="15" hidden="false" customHeight="true" outlineLevel="0" collapsed="false">
      <c r="A765" s="8" t="s">
        <v>185</v>
      </c>
      <c r="B765" s="8" t="s">
        <v>1218</v>
      </c>
      <c r="C765" s="8" t="n">
        <v>3</v>
      </c>
      <c r="D765" s="8" t="n">
        <v>379.5</v>
      </c>
      <c r="E765" s="8" t="n">
        <v>0</v>
      </c>
      <c r="F765" s="8" t="n">
        <v>0</v>
      </c>
    </row>
    <row r="766" customFormat="false" ht="15" hidden="false" customHeight="true" outlineLevel="0" collapsed="false">
      <c r="A766" s="8" t="s">
        <v>240</v>
      </c>
      <c r="B766" s="8" t="s">
        <v>769</v>
      </c>
      <c r="C766" s="8" t="n">
        <v>21</v>
      </c>
      <c r="D766" s="8" t="n">
        <v>357</v>
      </c>
      <c r="E766" s="8" t="n">
        <v>0</v>
      </c>
      <c r="F766" s="8" t="n">
        <v>0</v>
      </c>
    </row>
    <row r="767" customFormat="false" ht="15" hidden="false" customHeight="true" outlineLevel="0" collapsed="false">
      <c r="A767" s="8" t="s">
        <v>234</v>
      </c>
      <c r="B767" s="8" t="s">
        <v>769</v>
      </c>
      <c r="C767" s="8" t="n">
        <v>16</v>
      </c>
      <c r="D767" s="8" t="n">
        <v>272</v>
      </c>
      <c r="E767" s="8" t="n">
        <v>0</v>
      </c>
      <c r="F767" s="8" t="n">
        <v>0</v>
      </c>
    </row>
    <row r="768" customFormat="false" ht="15" hidden="false" customHeight="true" outlineLevel="0" collapsed="false">
      <c r="A768" s="8" t="s">
        <v>247</v>
      </c>
      <c r="B768" s="8" t="s">
        <v>769</v>
      </c>
      <c r="C768" s="8" t="n">
        <v>8</v>
      </c>
      <c r="D768" s="8" t="n">
        <v>136</v>
      </c>
      <c r="E768" s="8" t="n">
        <v>5</v>
      </c>
      <c r="F768" s="8" t="n">
        <v>85</v>
      </c>
    </row>
    <row r="769" customFormat="false" ht="15" hidden="false" customHeight="true" outlineLevel="0" collapsed="false">
      <c r="A769" s="8" t="s">
        <v>300</v>
      </c>
      <c r="B769" s="8" t="s">
        <v>769</v>
      </c>
      <c r="C769" s="8" t="n">
        <v>3</v>
      </c>
      <c r="D769" s="8" t="n">
        <v>51</v>
      </c>
      <c r="E769" s="8" t="n">
        <v>0</v>
      </c>
      <c r="F769" s="8" t="n">
        <v>0</v>
      </c>
    </row>
    <row r="770" customFormat="false" ht="15" hidden="false" customHeight="true" outlineLevel="0" collapsed="false">
      <c r="A770" s="8" t="s">
        <v>328</v>
      </c>
      <c r="B770" s="8" t="s">
        <v>769</v>
      </c>
      <c r="C770" s="8" t="n">
        <v>5</v>
      </c>
      <c r="D770" s="8" t="n">
        <v>85</v>
      </c>
      <c r="E770" s="8" t="n">
        <v>0</v>
      </c>
      <c r="F770" s="8" t="n">
        <v>0</v>
      </c>
    </row>
    <row r="771" customFormat="false" ht="15" hidden="false" customHeight="true" outlineLevel="0" collapsed="false">
      <c r="A771" s="8" t="s">
        <v>182</v>
      </c>
      <c r="B771" s="8" t="s">
        <v>799</v>
      </c>
      <c r="C771" s="8" t="n">
        <v>39</v>
      </c>
      <c r="D771" s="8" t="n">
        <v>780</v>
      </c>
      <c r="E771" s="8" t="n">
        <v>17</v>
      </c>
      <c r="F771" s="8" t="n">
        <v>340</v>
      </c>
    </row>
    <row r="772" customFormat="false" ht="15" hidden="false" customHeight="true" outlineLevel="0" collapsed="false">
      <c r="A772" s="8" t="s">
        <v>233</v>
      </c>
      <c r="B772" s="8" t="s">
        <v>1249</v>
      </c>
      <c r="C772" s="8" t="n">
        <v>9</v>
      </c>
      <c r="D772" s="8" t="n">
        <v>161.55</v>
      </c>
      <c r="E772" s="8" t="n">
        <v>0</v>
      </c>
      <c r="F772" s="8" t="n">
        <v>0</v>
      </c>
    </row>
    <row r="773" customFormat="false" ht="15" hidden="false" customHeight="true" outlineLevel="0" collapsed="false">
      <c r="A773" s="8" t="s">
        <v>340</v>
      </c>
      <c r="B773" s="8" t="s">
        <v>1267</v>
      </c>
      <c r="C773" s="8" t="n">
        <v>1</v>
      </c>
      <c r="D773" s="8" t="n">
        <v>128.71</v>
      </c>
      <c r="E773" s="8" t="n">
        <v>0</v>
      </c>
      <c r="F773" s="8" t="n">
        <v>0</v>
      </c>
    </row>
    <row r="774" customFormat="false" ht="15" hidden="false" customHeight="true" outlineLevel="0" collapsed="false">
      <c r="A774" s="8" t="s">
        <v>262</v>
      </c>
      <c r="B774" s="8" t="s">
        <v>1267</v>
      </c>
      <c r="C774" s="8" t="n">
        <v>1</v>
      </c>
      <c r="D774" s="8" t="n">
        <v>128.71</v>
      </c>
      <c r="E774" s="8" t="n">
        <v>0</v>
      </c>
      <c r="F774" s="8" t="n">
        <v>0</v>
      </c>
    </row>
    <row r="775" customFormat="false" ht="15" hidden="false" customHeight="true" outlineLevel="0" collapsed="false">
      <c r="A775" s="8" t="s">
        <v>200</v>
      </c>
      <c r="B775" s="8" t="s">
        <v>1279</v>
      </c>
      <c r="C775" s="8" t="n">
        <v>6</v>
      </c>
      <c r="D775" s="8" t="n">
        <v>463.44</v>
      </c>
      <c r="E775" s="8" t="n">
        <v>0</v>
      </c>
      <c r="F775" s="8" t="n">
        <v>0</v>
      </c>
    </row>
    <row r="776" customFormat="false" ht="15" hidden="false" customHeight="true" outlineLevel="0" collapsed="false">
      <c r="A776" s="8" t="s">
        <v>253</v>
      </c>
      <c r="B776" s="8" t="s">
        <v>1222</v>
      </c>
      <c r="C776" s="8" t="n">
        <v>1</v>
      </c>
      <c r="D776" s="8" t="n">
        <v>65</v>
      </c>
      <c r="E776" s="8" t="n">
        <v>0</v>
      </c>
      <c r="F776" s="8" t="n">
        <v>0</v>
      </c>
    </row>
    <row r="777" customFormat="false" ht="15" hidden="false" customHeight="true" outlineLevel="0" collapsed="false">
      <c r="A777" s="8" t="s">
        <v>385</v>
      </c>
      <c r="B777" s="8" t="s">
        <v>1222</v>
      </c>
      <c r="C777" s="8" t="n">
        <v>1</v>
      </c>
      <c r="D777" s="8" t="n">
        <v>65</v>
      </c>
      <c r="E777" s="8" t="n">
        <v>0</v>
      </c>
      <c r="F777" s="8" t="n">
        <v>0</v>
      </c>
    </row>
    <row r="778" customFormat="false" ht="15" hidden="false" customHeight="true" outlineLevel="0" collapsed="false">
      <c r="A778" s="8" t="s">
        <v>207</v>
      </c>
      <c r="B778" s="8" t="s">
        <v>1222</v>
      </c>
      <c r="C778" s="8" t="n">
        <v>1</v>
      </c>
      <c r="D778" s="8" t="n">
        <v>65</v>
      </c>
      <c r="E778" s="8" t="n">
        <v>1</v>
      </c>
      <c r="F778" s="8" t="n">
        <v>65</v>
      </c>
    </row>
    <row r="779" customFormat="false" ht="15" hidden="false" customHeight="true" outlineLevel="0" collapsed="false">
      <c r="A779" s="8" t="s">
        <v>163</v>
      </c>
      <c r="B779" s="8" t="s">
        <v>897</v>
      </c>
      <c r="C779" s="8" t="n">
        <v>5</v>
      </c>
      <c r="D779" s="8" t="n">
        <v>325</v>
      </c>
      <c r="E779" s="8" t="n">
        <v>3</v>
      </c>
      <c r="F779" s="8" t="n">
        <v>195</v>
      </c>
    </row>
    <row r="780" customFormat="false" ht="15" hidden="false" customHeight="true" outlineLevel="0" collapsed="false">
      <c r="A780" s="8" t="s">
        <v>181</v>
      </c>
      <c r="B780" s="8" t="s">
        <v>897</v>
      </c>
      <c r="C780" s="8" t="n">
        <v>1</v>
      </c>
      <c r="D780" s="8" t="n">
        <v>65</v>
      </c>
      <c r="E780" s="8" t="n">
        <v>0</v>
      </c>
      <c r="F780" s="8" t="n">
        <v>0</v>
      </c>
    </row>
    <row r="781" customFormat="false" ht="15" hidden="false" customHeight="true" outlineLevel="0" collapsed="false">
      <c r="A781" s="8" t="s">
        <v>290</v>
      </c>
      <c r="B781" s="8" t="s">
        <v>897</v>
      </c>
      <c r="C781" s="8" t="n">
        <v>1</v>
      </c>
      <c r="D781" s="8" t="n">
        <v>65</v>
      </c>
      <c r="E781" s="8" t="n">
        <v>0</v>
      </c>
      <c r="F781" s="8" t="n">
        <v>0</v>
      </c>
    </row>
    <row r="782" customFormat="false" ht="15" hidden="false" customHeight="true" outlineLevel="0" collapsed="false">
      <c r="A782" s="8" t="s">
        <v>165</v>
      </c>
      <c r="B782" s="8" t="s">
        <v>897</v>
      </c>
      <c r="C782" s="8" t="n">
        <v>5</v>
      </c>
      <c r="D782" s="8" t="n">
        <v>325</v>
      </c>
      <c r="E782" s="8" t="n">
        <v>0</v>
      </c>
      <c r="F782" s="8" t="n">
        <v>0</v>
      </c>
    </row>
    <row r="783" customFormat="false" ht="15" hidden="false" customHeight="true" outlineLevel="0" collapsed="false">
      <c r="A783" s="8" t="s">
        <v>184</v>
      </c>
      <c r="B783" s="8" t="s">
        <v>897</v>
      </c>
      <c r="C783" s="8" t="n">
        <v>2</v>
      </c>
      <c r="D783" s="8" t="n">
        <v>130</v>
      </c>
      <c r="E783" s="8" t="n">
        <v>0</v>
      </c>
      <c r="F783" s="8" t="n">
        <v>0</v>
      </c>
    </row>
    <row r="784" customFormat="false" ht="15" hidden="false" customHeight="true" outlineLevel="0" collapsed="false">
      <c r="A784" s="8" t="s">
        <v>208</v>
      </c>
      <c r="B784" s="8" t="s">
        <v>1179</v>
      </c>
      <c r="C784" s="8" t="n">
        <v>0</v>
      </c>
      <c r="D784" s="8" t="n">
        <v>0</v>
      </c>
      <c r="E784" s="8" t="n">
        <v>1</v>
      </c>
      <c r="F784" s="8" t="n">
        <v>72.34</v>
      </c>
    </row>
    <row r="785" customFormat="false" ht="15" hidden="false" customHeight="true" outlineLevel="0" collapsed="false">
      <c r="A785" s="8" t="s">
        <v>221</v>
      </c>
      <c r="B785" s="8" t="s">
        <v>1179</v>
      </c>
      <c r="C785" s="8" t="n">
        <v>4</v>
      </c>
      <c r="D785" s="8" t="n">
        <v>289.36</v>
      </c>
      <c r="E785" s="8" t="n">
        <v>0</v>
      </c>
      <c r="F785" s="8" t="n">
        <v>0</v>
      </c>
    </row>
    <row r="786" customFormat="false" ht="15" hidden="false" customHeight="true" outlineLevel="0" collapsed="false">
      <c r="A786" s="8" t="s">
        <v>191</v>
      </c>
      <c r="B786" s="8" t="s">
        <v>1179</v>
      </c>
      <c r="C786" s="8" t="n">
        <v>0</v>
      </c>
      <c r="D786" s="8" t="n">
        <v>0</v>
      </c>
      <c r="E786" s="8" t="n">
        <v>1</v>
      </c>
      <c r="F786" s="8" t="n">
        <v>72.34</v>
      </c>
    </row>
    <row r="787" customFormat="false" ht="15" hidden="false" customHeight="true" outlineLevel="0" collapsed="false">
      <c r="A787" s="8" t="s">
        <v>280</v>
      </c>
      <c r="B787" s="8" t="s">
        <v>1282</v>
      </c>
      <c r="C787" s="8" t="n">
        <v>2</v>
      </c>
      <c r="D787" s="8" t="n">
        <v>214.18</v>
      </c>
      <c r="E787" s="8" t="n">
        <v>0</v>
      </c>
      <c r="F787" s="8" t="n">
        <v>0</v>
      </c>
    </row>
    <row r="788" customFormat="false" ht="15" hidden="false" customHeight="true" outlineLevel="0" collapsed="false">
      <c r="A788" s="8" t="s">
        <v>291</v>
      </c>
      <c r="B788" s="8" t="s">
        <v>1286</v>
      </c>
      <c r="C788" s="8" t="n">
        <v>0</v>
      </c>
      <c r="D788" s="8" t="n">
        <v>0</v>
      </c>
      <c r="E788" s="8" t="n">
        <v>1</v>
      </c>
      <c r="F788" s="8" t="n">
        <v>64.89</v>
      </c>
    </row>
    <row r="789" customFormat="false" ht="15" hidden="false" customHeight="true" outlineLevel="0" collapsed="false">
      <c r="A789" s="8" t="s">
        <v>372</v>
      </c>
      <c r="B789" s="8" t="s">
        <v>1286</v>
      </c>
      <c r="C789" s="8" t="n">
        <v>0</v>
      </c>
      <c r="D789" s="8" t="n">
        <v>0</v>
      </c>
      <c r="E789" s="8" t="n">
        <v>1</v>
      </c>
      <c r="F789" s="8" t="n">
        <v>64.89</v>
      </c>
    </row>
    <row r="790" customFormat="false" ht="15" hidden="false" customHeight="true" outlineLevel="0" collapsed="false">
      <c r="A790" s="8" t="s">
        <v>236</v>
      </c>
      <c r="B790" s="8" t="s">
        <v>1223</v>
      </c>
      <c r="C790" s="8" t="n">
        <v>1</v>
      </c>
      <c r="D790" s="8" t="n">
        <v>77.8</v>
      </c>
      <c r="E790" s="8" t="n">
        <v>0</v>
      </c>
      <c r="F790" s="8" t="n">
        <v>0</v>
      </c>
    </row>
    <row r="791" customFormat="false" ht="15" hidden="false" customHeight="true" outlineLevel="0" collapsed="false">
      <c r="A791" s="8" t="s">
        <v>190</v>
      </c>
      <c r="B791" s="8" t="s">
        <v>1224</v>
      </c>
      <c r="C791" s="8" t="n">
        <v>4</v>
      </c>
      <c r="D791" s="8" t="n">
        <v>97.72</v>
      </c>
      <c r="E791" s="8" t="n">
        <v>0</v>
      </c>
      <c r="F791" s="8" t="n">
        <v>0</v>
      </c>
    </row>
    <row r="792" customFormat="false" ht="15" hidden="false" customHeight="true" outlineLevel="0" collapsed="false">
      <c r="A792" s="8" t="s">
        <v>183</v>
      </c>
      <c r="B792" s="8" t="s">
        <v>1224</v>
      </c>
      <c r="C792" s="8" t="n">
        <v>5</v>
      </c>
      <c r="D792" s="8" t="n">
        <v>122.15</v>
      </c>
      <c r="E792" s="8" t="n">
        <v>2</v>
      </c>
      <c r="F792" s="8" t="n">
        <v>48.86</v>
      </c>
    </row>
    <row r="793" customFormat="false" ht="15" hidden="false" customHeight="true" outlineLevel="0" collapsed="false">
      <c r="A793" s="8" t="s">
        <v>218</v>
      </c>
      <c r="B793" s="8" t="s">
        <v>1224</v>
      </c>
      <c r="C793" s="8" t="n">
        <v>2</v>
      </c>
      <c r="D793" s="8" t="n">
        <v>48.86</v>
      </c>
      <c r="E793" s="8" t="n">
        <v>5</v>
      </c>
      <c r="F793" s="8" t="n">
        <v>122.15</v>
      </c>
    </row>
    <row r="794" customFormat="false" ht="15" hidden="false" customHeight="true" outlineLevel="0" collapsed="false">
      <c r="A794" s="8" t="s">
        <v>231</v>
      </c>
      <c r="B794" s="8" t="s">
        <v>1224</v>
      </c>
      <c r="C794" s="8" t="n">
        <v>3</v>
      </c>
      <c r="D794" s="8" t="n">
        <v>73.29</v>
      </c>
      <c r="E794" s="8" t="n">
        <v>0</v>
      </c>
      <c r="F794" s="8" t="n">
        <v>0</v>
      </c>
    </row>
    <row r="795" customFormat="false" ht="15" hidden="false" customHeight="true" outlineLevel="0" collapsed="false">
      <c r="A795" s="8" t="s">
        <v>161</v>
      </c>
      <c r="B795" s="8" t="s">
        <v>1208</v>
      </c>
      <c r="C795" s="8" t="n">
        <v>10</v>
      </c>
      <c r="D795" s="8" t="n">
        <v>455</v>
      </c>
      <c r="E795" s="8" t="n">
        <v>8</v>
      </c>
      <c r="F795" s="8" t="n">
        <v>364</v>
      </c>
    </row>
    <row r="796" customFormat="false" ht="15" hidden="false" customHeight="true" outlineLevel="0" collapsed="false">
      <c r="A796" s="8" t="s">
        <v>162</v>
      </c>
      <c r="B796" s="8" t="s">
        <v>1209</v>
      </c>
      <c r="C796" s="8" t="n">
        <v>2</v>
      </c>
      <c r="D796" s="8" t="n">
        <v>155.6</v>
      </c>
      <c r="E796" s="8" t="n">
        <v>1</v>
      </c>
      <c r="F796" s="8" t="n">
        <v>77.8</v>
      </c>
    </row>
    <row r="797" customFormat="false" ht="15" hidden="false" customHeight="true" outlineLevel="0" collapsed="false">
      <c r="A797" s="8" t="s">
        <v>171</v>
      </c>
      <c r="B797" s="8" t="s">
        <v>1210</v>
      </c>
      <c r="C797" s="8" t="n">
        <v>5</v>
      </c>
      <c r="D797" s="8" t="n">
        <v>236.15</v>
      </c>
      <c r="E797" s="8" t="n">
        <v>1</v>
      </c>
      <c r="F797" s="8" t="n">
        <v>47.23</v>
      </c>
    </row>
    <row r="798" customFormat="false" ht="15" hidden="false" customHeight="true" outlineLevel="0" collapsed="false">
      <c r="A798" s="8" t="s">
        <v>174</v>
      </c>
      <c r="B798" s="8" t="s">
        <v>1210</v>
      </c>
      <c r="C798" s="8" t="n">
        <v>2</v>
      </c>
      <c r="D798" s="8" t="n">
        <v>94.46</v>
      </c>
      <c r="E798" s="8" t="n">
        <v>0</v>
      </c>
      <c r="F798" s="8" t="n">
        <v>0</v>
      </c>
    </row>
    <row r="799" customFormat="false" ht="15" hidden="false" customHeight="true" outlineLevel="0" collapsed="false">
      <c r="A799" s="8" t="s">
        <v>166</v>
      </c>
      <c r="B799" s="8" t="s">
        <v>1211</v>
      </c>
      <c r="C799" s="8" t="n">
        <v>4</v>
      </c>
      <c r="D799" s="8" t="n">
        <v>253.08</v>
      </c>
      <c r="E799" s="8" t="n">
        <v>0</v>
      </c>
      <c r="F799" s="8" t="n">
        <v>0</v>
      </c>
    </row>
    <row r="800" customFormat="false" ht="15" hidden="false" customHeight="true" outlineLevel="0" collapsed="false">
      <c r="A800" s="8" t="s">
        <v>164</v>
      </c>
      <c r="B800" s="8" t="s">
        <v>1211</v>
      </c>
      <c r="C800" s="8" t="n">
        <v>2</v>
      </c>
      <c r="D800" s="8" t="n">
        <v>126.54</v>
      </c>
      <c r="E800" s="8" t="n">
        <v>0</v>
      </c>
      <c r="F800" s="8" t="n">
        <v>0</v>
      </c>
    </row>
    <row r="801" customFormat="false" ht="15" hidden="false" customHeight="true" outlineLevel="0" collapsed="false">
      <c r="A801" s="8" t="s">
        <v>187</v>
      </c>
      <c r="B801" s="8" t="s">
        <v>1211</v>
      </c>
      <c r="C801" s="8" t="n">
        <v>1</v>
      </c>
      <c r="D801" s="8" t="n">
        <v>63.27</v>
      </c>
      <c r="E801" s="8" t="n">
        <v>0</v>
      </c>
      <c r="F801" s="8" t="n">
        <v>0</v>
      </c>
    </row>
    <row r="802" customFormat="false" ht="15" hidden="false" customHeight="true" outlineLevel="0" collapsed="false">
      <c r="A802" s="8" t="s">
        <v>270</v>
      </c>
      <c r="B802" s="8" t="s">
        <v>1251</v>
      </c>
      <c r="C802" s="8" t="n">
        <v>4</v>
      </c>
      <c r="D802" s="8" t="n">
        <v>39.28</v>
      </c>
      <c r="E802" s="8" t="n">
        <v>0</v>
      </c>
      <c r="F802" s="8" t="n">
        <v>0</v>
      </c>
    </row>
    <row r="803" customFormat="false" ht="15" hidden="false" customHeight="true" outlineLevel="0" collapsed="false">
      <c r="A803" s="8" t="s">
        <v>263</v>
      </c>
      <c r="B803" s="8" t="s">
        <v>407</v>
      </c>
      <c r="C803" s="8" t="n">
        <v>5</v>
      </c>
      <c r="D803" s="8" t="n">
        <v>64.1</v>
      </c>
      <c r="E803" s="8" t="n">
        <v>0</v>
      </c>
      <c r="F803" s="8" t="n">
        <v>0</v>
      </c>
    </row>
    <row r="804" customFormat="false" ht="15" hidden="false" customHeight="true" outlineLevel="0" collapsed="false">
      <c r="A804" s="8" t="s">
        <v>188</v>
      </c>
      <c r="B804" s="8" t="s">
        <v>1225</v>
      </c>
      <c r="C804" s="8" t="n">
        <v>3</v>
      </c>
      <c r="D804" s="8" t="n">
        <v>86.79</v>
      </c>
      <c r="E804" s="8" t="n">
        <v>1</v>
      </c>
      <c r="F804" s="8" t="n">
        <v>28.93</v>
      </c>
    </row>
    <row r="805" customFormat="false" ht="15" hidden="false" customHeight="true" outlineLevel="0" collapsed="false">
      <c r="A805" s="8" t="s">
        <v>186</v>
      </c>
      <c r="B805" s="8" t="s">
        <v>1225</v>
      </c>
      <c r="C805" s="8" t="n">
        <v>4</v>
      </c>
      <c r="D805" s="8" t="n">
        <v>115.72</v>
      </c>
      <c r="E805" s="8" t="n">
        <v>0</v>
      </c>
      <c r="F805" s="8" t="n">
        <v>0</v>
      </c>
    </row>
    <row r="806" customFormat="false" ht="15" hidden="false" customHeight="true" outlineLevel="0" collapsed="false">
      <c r="A806" s="8" t="s">
        <v>239</v>
      </c>
      <c r="B806" s="8" t="s">
        <v>1225</v>
      </c>
      <c r="C806" s="8" t="n">
        <v>4</v>
      </c>
      <c r="D806" s="8" t="n">
        <v>115.72</v>
      </c>
      <c r="E806" s="8" t="n">
        <v>0</v>
      </c>
      <c r="F806" s="8" t="n">
        <v>0</v>
      </c>
    </row>
    <row r="807" customFormat="false" ht="15" hidden="false" customHeight="true" outlineLevel="0" collapsed="false">
      <c r="A807" s="8" t="s">
        <v>210</v>
      </c>
      <c r="B807" s="8" t="s">
        <v>1225</v>
      </c>
      <c r="C807" s="8" t="n">
        <v>3</v>
      </c>
      <c r="D807" s="8" t="n">
        <v>86.79</v>
      </c>
      <c r="E807" s="8" t="n">
        <v>1</v>
      </c>
      <c r="F807" s="8" t="n">
        <v>28.93</v>
      </c>
    </row>
    <row r="808" customFormat="false" ht="15" hidden="false" customHeight="true" outlineLevel="0" collapsed="false">
      <c r="A808" s="8" t="s">
        <v>278</v>
      </c>
      <c r="B808" s="8" t="s">
        <v>1225</v>
      </c>
      <c r="C808" s="8" t="n">
        <v>2</v>
      </c>
      <c r="D808" s="8" t="n">
        <v>57.86</v>
      </c>
      <c r="E808" s="8" t="n">
        <v>2</v>
      </c>
      <c r="F808" s="8" t="n">
        <v>57.86</v>
      </c>
    </row>
    <row r="809" customFormat="false" ht="15" hidden="false" customHeight="true" outlineLevel="0" collapsed="false">
      <c r="A809" s="8" t="s">
        <v>238</v>
      </c>
      <c r="B809" s="8" t="s">
        <v>1226</v>
      </c>
      <c r="C809" s="8" t="n">
        <v>4</v>
      </c>
      <c r="D809" s="8" t="n">
        <v>168.68</v>
      </c>
      <c r="E809" s="8" t="n">
        <v>0</v>
      </c>
      <c r="F809" s="8" t="n">
        <v>0</v>
      </c>
    </row>
    <row r="810" customFormat="false" ht="15" hidden="false" customHeight="true" outlineLevel="0" collapsed="false">
      <c r="A810" s="8" t="s">
        <v>201</v>
      </c>
      <c r="B810" s="8" t="s">
        <v>1226</v>
      </c>
      <c r="C810" s="8" t="n">
        <v>5</v>
      </c>
      <c r="D810" s="8" t="n">
        <v>210.85</v>
      </c>
      <c r="E810" s="8" t="n">
        <v>0</v>
      </c>
      <c r="F810" s="8" t="n">
        <v>0</v>
      </c>
    </row>
    <row r="811" customFormat="false" ht="15" hidden="false" customHeight="true" outlineLevel="0" collapsed="false">
      <c r="A811" s="8" t="s">
        <v>241</v>
      </c>
      <c r="B811" s="8" t="s">
        <v>1227</v>
      </c>
      <c r="C811" s="8" t="n">
        <v>3</v>
      </c>
      <c r="D811" s="8" t="n">
        <v>51</v>
      </c>
      <c r="E811" s="8" t="n">
        <v>1</v>
      </c>
      <c r="F811" s="8" t="n">
        <v>17</v>
      </c>
    </row>
    <row r="812" customFormat="false" ht="15" hidden="false" customHeight="true" outlineLevel="0" collapsed="false">
      <c r="A812" s="8" t="s">
        <v>219</v>
      </c>
      <c r="B812" s="8" t="s">
        <v>1227</v>
      </c>
      <c r="C812" s="8" t="n">
        <v>10</v>
      </c>
      <c r="D812" s="8" t="n">
        <v>170</v>
      </c>
      <c r="E812" s="8" t="n">
        <v>0</v>
      </c>
      <c r="F812" s="8" t="n">
        <v>0</v>
      </c>
    </row>
    <row r="813" customFormat="false" ht="15" hidden="false" customHeight="true" outlineLevel="0" collapsed="false">
      <c r="A813" s="8" t="s">
        <v>292</v>
      </c>
      <c r="B813" s="8" t="s">
        <v>1227</v>
      </c>
      <c r="C813" s="8" t="n">
        <v>2</v>
      </c>
      <c r="D813" s="8" t="n">
        <v>34</v>
      </c>
      <c r="E813" s="8" t="n">
        <v>2</v>
      </c>
      <c r="F813" s="8" t="n">
        <v>34</v>
      </c>
    </row>
    <row r="814" customFormat="false" ht="15" hidden="false" customHeight="true" outlineLevel="0" collapsed="false">
      <c r="A814" s="8" t="s">
        <v>223</v>
      </c>
      <c r="B814" s="8" t="s">
        <v>1227</v>
      </c>
      <c r="C814" s="8" t="n">
        <v>2</v>
      </c>
      <c r="D814" s="8" t="n">
        <v>34</v>
      </c>
      <c r="E814" s="8" t="n">
        <v>0</v>
      </c>
      <c r="F814" s="8" t="n">
        <v>0</v>
      </c>
    </row>
    <row r="815" customFormat="false" ht="15" hidden="false" customHeight="true" outlineLevel="0" collapsed="false">
      <c r="A815" s="8" t="s">
        <v>287</v>
      </c>
      <c r="B815" s="8" t="s">
        <v>1227</v>
      </c>
      <c r="C815" s="8" t="n">
        <v>2</v>
      </c>
      <c r="D815" s="8" t="n">
        <v>34</v>
      </c>
      <c r="E815" s="8" t="n">
        <v>0</v>
      </c>
      <c r="F815" s="8" t="n">
        <v>0</v>
      </c>
    </row>
    <row r="816" customFormat="false" ht="15" hidden="false" customHeight="true" outlineLevel="0" collapsed="false">
      <c r="A816" s="8" t="s">
        <v>229</v>
      </c>
      <c r="B816" s="8" t="s">
        <v>881</v>
      </c>
      <c r="C816" s="8" t="n">
        <v>5</v>
      </c>
      <c r="D816" s="8" t="n">
        <v>206</v>
      </c>
      <c r="E816" s="8" t="n">
        <v>0</v>
      </c>
      <c r="F816" s="8" t="n">
        <v>0</v>
      </c>
    </row>
    <row r="817" customFormat="false" ht="15" hidden="false" customHeight="true" outlineLevel="0" collapsed="false">
      <c r="A817" s="8" t="s">
        <v>237</v>
      </c>
      <c r="B817" s="8" t="s">
        <v>1259</v>
      </c>
      <c r="C817" s="8" t="n">
        <v>3</v>
      </c>
      <c r="D817" s="8" t="n">
        <v>55.35</v>
      </c>
      <c r="E817" s="8" t="n">
        <v>0</v>
      </c>
      <c r="F817" s="8" t="n">
        <v>0</v>
      </c>
    </row>
    <row r="818" customFormat="false" ht="15" hidden="false" customHeight="true" outlineLevel="0" collapsed="false">
      <c r="A818" s="8" t="s">
        <v>271</v>
      </c>
      <c r="B818" s="8" t="s">
        <v>1260</v>
      </c>
      <c r="C818" s="8" t="n">
        <v>1</v>
      </c>
      <c r="D818" s="8" t="n">
        <v>23.4</v>
      </c>
      <c r="E818" s="8" t="n">
        <v>1</v>
      </c>
      <c r="F818" s="8" t="n">
        <v>23.4</v>
      </c>
    </row>
    <row r="819" customFormat="false" ht="15" hidden="false" customHeight="true" outlineLevel="0" collapsed="false">
      <c r="A819" s="8" t="s">
        <v>266</v>
      </c>
      <c r="B819" s="8" t="s">
        <v>1228</v>
      </c>
      <c r="C819" s="8" t="n">
        <v>2</v>
      </c>
      <c r="D819" s="8" t="n">
        <v>39.84</v>
      </c>
      <c r="E819" s="8" t="n">
        <v>0</v>
      </c>
      <c r="F819" s="8" t="n">
        <v>0</v>
      </c>
    </row>
    <row r="820" customFormat="false" ht="15" hidden="false" customHeight="true" outlineLevel="0" collapsed="false">
      <c r="A820" s="8" t="s">
        <v>202</v>
      </c>
      <c r="B820" s="8" t="s">
        <v>1212</v>
      </c>
      <c r="C820" s="8" t="n">
        <v>11</v>
      </c>
      <c r="D820" s="8" t="n">
        <v>104.5</v>
      </c>
      <c r="E820" s="8" t="n">
        <v>4</v>
      </c>
      <c r="F820" s="8" t="n">
        <v>38</v>
      </c>
    </row>
    <row r="821" customFormat="false" ht="15" hidden="false" customHeight="true" outlineLevel="0" collapsed="false">
      <c r="A821" s="8" t="s">
        <v>251</v>
      </c>
      <c r="B821" s="8" t="s">
        <v>1262</v>
      </c>
      <c r="C821" s="8" t="n">
        <v>3</v>
      </c>
      <c r="D821" s="8" t="n">
        <v>29.13</v>
      </c>
      <c r="E821" s="8" t="n">
        <v>0</v>
      </c>
      <c r="F821" s="8" t="n">
        <v>0</v>
      </c>
    </row>
    <row r="822" customFormat="false" ht="15" hidden="false" customHeight="true" outlineLevel="0" collapsed="false">
      <c r="A822" s="8" t="s">
        <v>172</v>
      </c>
      <c r="B822" s="8" t="s">
        <v>1214</v>
      </c>
      <c r="C822" s="8" t="n">
        <v>12</v>
      </c>
      <c r="D822" s="8" t="n">
        <v>146.16</v>
      </c>
      <c r="E822" s="8" t="n">
        <v>4</v>
      </c>
      <c r="F822" s="8" t="n">
        <v>48.72</v>
      </c>
    </row>
    <row r="823" customFormat="false" ht="15" hidden="false" customHeight="true" outlineLevel="0" collapsed="false">
      <c r="A823" s="8" t="s">
        <v>242</v>
      </c>
      <c r="B823" s="8" t="s">
        <v>1230</v>
      </c>
      <c r="C823" s="8" t="n">
        <v>0</v>
      </c>
      <c r="D823" s="8" t="n">
        <v>0</v>
      </c>
      <c r="E823" s="8" t="n">
        <v>2</v>
      </c>
      <c r="F823" s="8" t="n">
        <v>77.4</v>
      </c>
    </row>
    <row r="824" customFormat="false" ht="15" hidden="false" customHeight="true" outlineLevel="0" collapsed="false">
      <c r="A824" s="8" t="s">
        <v>261</v>
      </c>
      <c r="B824" s="8" t="s">
        <v>1215</v>
      </c>
      <c r="C824" s="8" t="n">
        <v>2</v>
      </c>
      <c r="D824" s="8" t="n">
        <v>42.42</v>
      </c>
      <c r="E824" s="8" t="n">
        <v>1</v>
      </c>
      <c r="F824" s="8" t="n">
        <v>21.21</v>
      </c>
    </row>
    <row r="825" customFormat="false" ht="15" hidden="false" customHeight="true" outlineLevel="0" collapsed="false">
      <c r="A825" s="8" t="s">
        <v>269</v>
      </c>
      <c r="B825" s="8" t="s">
        <v>1231</v>
      </c>
      <c r="C825" s="8" t="n">
        <v>1</v>
      </c>
      <c r="D825" s="8" t="n">
        <v>11.33</v>
      </c>
      <c r="E825" s="8" t="n">
        <v>0</v>
      </c>
      <c r="F825" s="8" t="n">
        <v>0</v>
      </c>
    </row>
    <row r="826" customFormat="false" ht="15" hidden="false" customHeight="true" outlineLevel="0" collapsed="false">
      <c r="A826" s="8" t="s">
        <v>213</v>
      </c>
      <c r="B826" s="8" t="s">
        <v>1232</v>
      </c>
      <c r="C826" s="8" t="n">
        <v>2</v>
      </c>
      <c r="D826" s="8" t="n">
        <v>55.1</v>
      </c>
      <c r="E826" s="8" t="n">
        <v>0</v>
      </c>
      <c r="F826" s="8" t="n">
        <v>0</v>
      </c>
    </row>
    <row r="827" customFormat="false" ht="15" hidden="false" customHeight="true" outlineLevel="0" collapsed="false">
      <c r="A827" s="8" t="s">
        <v>288</v>
      </c>
      <c r="B827" s="8" t="s">
        <v>939</v>
      </c>
      <c r="C827" s="8" t="n">
        <v>1</v>
      </c>
      <c r="D827" s="8" t="n">
        <v>20.24</v>
      </c>
      <c r="E827" s="8" t="n">
        <v>0</v>
      </c>
      <c r="F827" s="8" t="n">
        <v>0</v>
      </c>
    </row>
    <row r="828" customFormat="false" ht="15" hidden="false" customHeight="true" outlineLevel="0" collapsed="false">
      <c r="A828" s="8" t="s">
        <v>232</v>
      </c>
      <c r="B828" s="8" t="s">
        <v>1233</v>
      </c>
      <c r="C828" s="8" t="n">
        <v>2</v>
      </c>
      <c r="D828" s="8" t="n">
        <v>32.4</v>
      </c>
      <c r="E828" s="8" t="n">
        <v>0</v>
      </c>
      <c r="F828" s="8" t="n">
        <v>0</v>
      </c>
    </row>
    <row r="829" customFormat="false" ht="15" hidden="false" customHeight="true" outlineLevel="0" collapsed="false">
      <c r="A829" s="8" t="s">
        <v>215</v>
      </c>
      <c r="B829" s="8" t="s">
        <v>1233</v>
      </c>
      <c r="C829" s="8" t="n">
        <v>4</v>
      </c>
      <c r="D829" s="8" t="n">
        <v>71.28</v>
      </c>
      <c r="E829" s="8" t="n">
        <v>0</v>
      </c>
      <c r="F829" s="8" t="n">
        <v>0</v>
      </c>
    </row>
    <row r="830" customFormat="false" ht="15" hidden="false" customHeight="true" outlineLevel="0" collapsed="false">
      <c r="A830" s="8" t="s">
        <v>255</v>
      </c>
      <c r="B830" s="8" t="s">
        <v>1273</v>
      </c>
      <c r="C830" s="8" t="n">
        <v>4</v>
      </c>
      <c r="D830" s="8" t="n">
        <v>32.8</v>
      </c>
      <c r="E830" s="8" t="n">
        <v>1</v>
      </c>
      <c r="F830" s="8" t="n">
        <v>8.2</v>
      </c>
    </row>
    <row r="831" customFormat="false" ht="15" hidden="false" customHeight="true" outlineLevel="0" collapsed="false">
      <c r="A831" s="8" t="s">
        <v>279</v>
      </c>
      <c r="B831" s="8" t="s">
        <v>1274</v>
      </c>
      <c r="C831" s="8" t="n">
        <v>1</v>
      </c>
      <c r="D831" s="8" t="n">
        <v>9.82</v>
      </c>
      <c r="E831" s="8" t="n">
        <v>1</v>
      </c>
      <c r="F831" s="8" t="n">
        <v>9.82</v>
      </c>
    </row>
    <row r="832" customFormat="false" ht="15" hidden="false" customHeight="true" outlineLevel="0" collapsed="false">
      <c r="A832" s="8" t="s">
        <v>265</v>
      </c>
      <c r="B832" s="8" t="s">
        <v>621</v>
      </c>
      <c r="C832" s="8" t="n">
        <v>1</v>
      </c>
      <c r="D832" s="8" t="n">
        <v>42</v>
      </c>
      <c r="E832" s="8" t="n">
        <v>0</v>
      </c>
      <c r="F832" s="8" t="n">
        <v>0</v>
      </c>
    </row>
    <row r="833" customFormat="false" ht="15" hidden="false" customHeight="true" outlineLevel="0" collapsed="false">
      <c r="A833" s="8" t="s">
        <v>276</v>
      </c>
      <c r="B833" s="8" t="s">
        <v>621</v>
      </c>
      <c r="C833" s="8" t="n">
        <v>1</v>
      </c>
      <c r="D833" s="8" t="n">
        <v>42</v>
      </c>
      <c r="E833" s="8" t="n">
        <v>0</v>
      </c>
      <c r="F833" s="8" t="n">
        <v>0</v>
      </c>
    </row>
    <row r="834" customFormat="false" ht="15" hidden="false" customHeight="true" outlineLevel="0" collapsed="false">
      <c r="A834" s="8" t="s">
        <v>338</v>
      </c>
      <c r="B834" s="8" t="s">
        <v>1281</v>
      </c>
      <c r="C834" s="8" t="n">
        <v>1</v>
      </c>
      <c r="D834" s="8" t="n">
        <v>23.6</v>
      </c>
      <c r="E834" s="8" t="n">
        <v>0</v>
      </c>
      <c r="F834" s="8" t="n">
        <v>0</v>
      </c>
    </row>
    <row r="835" customFormat="false" ht="15" hidden="false" customHeight="true" outlineLevel="0" collapsed="false">
      <c r="A835" s="8" t="s">
        <v>168</v>
      </c>
      <c r="B835" s="8" t="s">
        <v>1240</v>
      </c>
      <c r="C835" s="8" t="n">
        <v>7</v>
      </c>
      <c r="D835" s="8" t="n">
        <v>292.67</v>
      </c>
      <c r="E835" s="8" t="n">
        <v>0</v>
      </c>
      <c r="F835" s="8" t="n">
        <v>0</v>
      </c>
    </row>
    <row r="836" customFormat="false" ht="15" hidden="false" customHeight="true" outlineLevel="0" collapsed="false">
      <c r="A836" s="8" t="s">
        <v>169</v>
      </c>
      <c r="B836" s="8" t="s">
        <v>1240</v>
      </c>
      <c r="C836" s="8" t="n">
        <v>5</v>
      </c>
      <c r="D836" s="8" t="n">
        <v>209.05</v>
      </c>
      <c r="E836" s="8" t="n">
        <v>0</v>
      </c>
      <c r="F836" s="8" t="n">
        <v>0</v>
      </c>
    </row>
    <row r="837" customFormat="false" ht="15" hidden="false" customHeight="true" outlineLevel="0" collapsed="false">
      <c r="A837" s="8" t="s">
        <v>209</v>
      </c>
      <c r="B837" s="8" t="s">
        <v>1245</v>
      </c>
      <c r="C837" s="8" t="n">
        <v>2</v>
      </c>
      <c r="D837" s="8" t="n">
        <v>129.78</v>
      </c>
      <c r="E837" s="8" t="n">
        <v>1</v>
      </c>
      <c r="F837" s="8" t="n">
        <v>64.89</v>
      </c>
    </row>
    <row r="838" customFormat="false" ht="15" hidden="false" customHeight="true" outlineLevel="0" collapsed="false">
      <c r="A838" s="8" t="s">
        <v>180</v>
      </c>
      <c r="B838" s="8" t="s">
        <v>1216</v>
      </c>
      <c r="C838" s="8" t="n">
        <v>5</v>
      </c>
      <c r="D838" s="8" t="n">
        <v>82.5</v>
      </c>
      <c r="E838" s="8" t="n">
        <v>1</v>
      </c>
      <c r="F838" s="8" t="n">
        <v>16.5</v>
      </c>
    </row>
    <row r="839" customFormat="false" ht="15" hidden="false" customHeight="true" outlineLevel="0" collapsed="false">
      <c r="A839" s="8" t="s">
        <v>189</v>
      </c>
      <c r="B839" s="8" t="s">
        <v>1216</v>
      </c>
      <c r="C839" s="8" t="n">
        <v>11</v>
      </c>
      <c r="D839" s="8" t="n">
        <v>181.5</v>
      </c>
      <c r="E839" s="8" t="n">
        <v>0</v>
      </c>
      <c r="F839" s="8" t="n">
        <v>0</v>
      </c>
    </row>
    <row r="840" customFormat="false" ht="15" hidden="false" customHeight="true" outlineLevel="0" collapsed="false">
      <c r="A840" s="8" t="s">
        <v>267</v>
      </c>
      <c r="B840" s="8" t="s">
        <v>1216</v>
      </c>
      <c r="C840" s="8" t="n">
        <v>3</v>
      </c>
      <c r="D840" s="8" t="n">
        <v>49.5</v>
      </c>
      <c r="E840" s="8" t="n">
        <v>0</v>
      </c>
      <c r="F840" s="8" t="n">
        <v>0</v>
      </c>
    </row>
    <row r="841" customFormat="false" ht="15" hidden="false" customHeight="true" outlineLevel="0" collapsed="false">
      <c r="A841" s="8" t="s">
        <v>250</v>
      </c>
      <c r="B841" s="8" t="s">
        <v>1216</v>
      </c>
      <c r="C841" s="8" t="n">
        <v>6</v>
      </c>
      <c r="D841" s="8" t="n">
        <v>99</v>
      </c>
      <c r="E841" s="8" t="n">
        <v>0</v>
      </c>
      <c r="F841" s="8" t="n">
        <v>0</v>
      </c>
    </row>
    <row r="842" customFormat="false" ht="15" hidden="false" customHeight="true" outlineLevel="0" collapsed="false">
      <c r="A842" s="8" t="s">
        <v>198</v>
      </c>
      <c r="B842" s="8" t="s">
        <v>1217</v>
      </c>
      <c r="C842" s="8" t="n">
        <v>5</v>
      </c>
      <c r="D842" s="8" t="n">
        <v>102.5</v>
      </c>
      <c r="E842" s="8" t="n">
        <v>3</v>
      </c>
      <c r="F842" s="8" t="n">
        <v>61.5</v>
      </c>
    </row>
    <row r="843" customFormat="false" ht="15" hidden="false" customHeight="true" outlineLevel="0" collapsed="false">
      <c r="A843" s="8" t="s">
        <v>193</v>
      </c>
      <c r="B843" s="8" t="s">
        <v>1217</v>
      </c>
      <c r="C843" s="8" t="n">
        <v>3</v>
      </c>
      <c r="D843" s="8" t="n">
        <v>61.5</v>
      </c>
      <c r="E843" s="8" t="n">
        <v>0</v>
      </c>
      <c r="F843" s="8" t="n">
        <v>0</v>
      </c>
    </row>
    <row r="844" customFormat="false" ht="15" hidden="false" customHeight="true" outlineLevel="0" collapsed="false">
      <c r="A844" s="8" t="s">
        <v>302</v>
      </c>
      <c r="B844" s="8" t="s">
        <v>1217</v>
      </c>
      <c r="C844" s="8" t="n">
        <v>2</v>
      </c>
      <c r="D844" s="8" t="n">
        <v>41</v>
      </c>
      <c r="E844" s="8" t="n">
        <v>2</v>
      </c>
      <c r="F844" s="8" t="n">
        <v>41</v>
      </c>
    </row>
    <row r="845" customFormat="false" ht="15" hidden="false" customHeight="true" outlineLevel="0" collapsed="false">
      <c r="A845" s="8" t="s">
        <v>205</v>
      </c>
      <c r="B845" s="8" t="s">
        <v>1217</v>
      </c>
      <c r="C845" s="8" t="n">
        <v>3</v>
      </c>
      <c r="D845" s="8" t="n">
        <v>61.5</v>
      </c>
      <c r="E845" s="8" t="n">
        <v>0</v>
      </c>
      <c r="F845" s="8" t="n">
        <v>0</v>
      </c>
    </row>
    <row r="846" customFormat="false" ht="15" hidden="false" customHeight="true" outlineLevel="0" collapsed="false">
      <c r="A846" s="8" t="s">
        <v>256</v>
      </c>
      <c r="B846" s="8" t="s">
        <v>1217</v>
      </c>
      <c r="C846" s="8" t="n">
        <v>2</v>
      </c>
      <c r="D846" s="8" t="n">
        <v>41</v>
      </c>
      <c r="E846" s="8" t="n">
        <v>2</v>
      </c>
      <c r="F846" s="8" t="n">
        <v>41</v>
      </c>
    </row>
    <row r="847" customFormat="false" ht="15" hidden="false" customHeight="true" outlineLevel="0" collapsed="false">
      <c r="A847" s="8" t="s">
        <v>354</v>
      </c>
      <c r="B847" s="8" t="s">
        <v>767</v>
      </c>
      <c r="C847" s="8" t="n">
        <v>4</v>
      </c>
      <c r="D847" s="8" t="n">
        <v>84</v>
      </c>
      <c r="E847" s="8" t="n">
        <v>0</v>
      </c>
      <c r="F847" s="8" t="n">
        <v>0</v>
      </c>
    </row>
    <row r="848" customFormat="false" ht="15" hidden="false" customHeight="true" outlineLevel="0" collapsed="false">
      <c r="A848" s="8" t="s">
        <v>178</v>
      </c>
      <c r="B848" s="8" t="s">
        <v>1236</v>
      </c>
      <c r="C848" s="8" t="n">
        <v>1</v>
      </c>
      <c r="D848" s="8" t="n">
        <v>35</v>
      </c>
      <c r="E848" s="8" t="n">
        <v>4</v>
      </c>
      <c r="F848" s="8" t="n">
        <v>140</v>
      </c>
    </row>
    <row r="849" customFormat="false" ht="15" hidden="false" customHeight="true" outlineLevel="0" collapsed="false">
      <c r="A849" s="8" t="s">
        <v>176</v>
      </c>
      <c r="B849" s="8" t="s">
        <v>1236</v>
      </c>
      <c r="C849" s="8" t="n">
        <v>12</v>
      </c>
      <c r="D849" s="8" t="n">
        <v>420</v>
      </c>
      <c r="E849" s="8" t="n">
        <v>0</v>
      </c>
      <c r="F849" s="8" t="n">
        <v>0</v>
      </c>
    </row>
    <row r="850" customFormat="false" ht="15" hidden="false" customHeight="true" outlineLevel="0" collapsed="false">
      <c r="A850" s="8" t="s">
        <v>224</v>
      </c>
      <c r="B850" s="8" t="s">
        <v>1236</v>
      </c>
      <c r="C850" s="8" t="n">
        <v>3</v>
      </c>
      <c r="D850" s="8" t="n">
        <v>105</v>
      </c>
      <c r="E850" s="8" t="n">
        <v>0</v>
      </c>
      <c r="F850" s="8" t="n">
        <v>0</v>
      </c>
    </row>
    <row r="851" customFormat="false" ht="15" hidden="false" customHeight="true" outlineLevel="0" collapsed="false">
      <c r="A851" s="8" t="s">
        <v>240</v>
      </c>
      <c r="B851" s="8" t="s">
        <v>769</v>
      </c>
      <c r="C851" s="8" t="n">
        <v>0</v>
      </c>
      <c r="D851" s="8" t="n">
        <v>0</v>
      </c>
      <c r="E851" s="8" t="n">
        <v>2</v>
      </c>
      <c r="F851" s="8" t="n">
        <v>34</v>
      </c>
    </row>
    <row r="852" customFormat="false" ht="15" hidden="false" customHeight="true" outlineLevel="0" collapsed="false">
      <c r="A852" s="8" t="s">
        <v>247</v>
      </c>
      <c r="B852" s="8" t="s">
        <v>769</v>
      </c>
      <c r="C852" s="8" t="n">
        <v>3</v>
      </c>
      <c r="D852" s="8" t="n">
        <v>51</v>
      </c>
      <c r="E852" s="8" t="n">
        <v>0</v>
      </c>
      <c r="F852" s="8" t="n">
        <v>0</v>
      </c>
    </row>
    <row r="853" customFormat="false" ht="15" hidden="false" customHeight="true" outlineLevel="0" collapsed="false">
      <c r="A853" s="8" t="s">
        <v>300</v>
      </c>
      <c r="B853" s="8" t="s">
        <v>769</v>
      </c>
      <c r="C853" s="8" t="n">
        <v>3</v>
      </c>
      <c r="D853" s="8" t="n">
        <v>51</v>
      </c>
      <c r="E853" s="8" t="n">
        <v>3</v>
      </c>
      <c r="F853" s="8" t="n">
        <v>51</v>
      </c>
    </row>
    <row r="854" customFormat="false" ht="15" hidden="false" customHeight="true" outlineLevel="0" collapsed="false">
      <c r="A854" s="8" t="s">
        <v>328</v>
      </c>
      <c r="B854" s="8" t="s">
        <v>769</v>
      </c>
      <c r="C854" s="8" t="n">
        <v>2</v>
      </c>
      <c r="D854" s="8" t="n">
        <v>34</v>
      </c>
      <c r="E854" s="8" t="n">
        <v>0</v>
      </c>
      <c r="F854" s="8" t="n">
        <v>0</v>
      </c>
    </row>
    <row r="855" customFormat="false" ht="15" hidden="false" customHeight="true" outlineLevel="0" collapsed="false">
      <c r="A855" s="8" t="s">
        <v>182</v>
      </c>
      <c r="B855" s="8" t="s">
        <v>799</v>
      </c>
      <c r="C855" s="8" t="n">
        <v>4</v>
      </c>
      <c r="D855" s="8" t="n">
        <v>80</v>
      </c>
      <c r="E855" s="8" t="n">
        <v>0</v>
      </c>
      <c r="F855" s="8" t="n">
        <v>0</v>
      </c>
    </row>
    <row r="856" customFormat="false" ht="15" hidden="false" customHeight="true" outlineLevel="0" collapsed="false">
      <c r="A856" s="8" t="s">
        <v>323</v>
      </c>
      <c r="B856" s="8" t="s">
        <v>875</v>
      </c>
      <c r="C856" s="8" t="n">
        <v>3</v>
      </c>
      <c r="D856" s="8" t="n">
        <v>47.73</v>
      </c>
      <c r="E856" s="8" t="n">
        <v>0</v>
      </c>
      <c r="F856" s="8" t="n">
        <v>0</v>
      </c>
    </row>
    <row r="857" customFormat="false" ht="15" hidden="false" customHeight="true" outlineLevel="0" collapsed="false">
      <c r="A857" s="8" t="s">
        <v>275</v>
      </c>
      <c r="B857" s="8" t="s">
        <v>1257</v>
      </c>
      <c r="C857" s="8" t="n">
        <v>3</v>
      </c>
      <c r="D857" s="8" t="n">
        <v>64.8</v>
      </c>
      <c r="E857" s="8" t="n">
        <v>0</v>
      </c>
      <c r="F857" s="8" t="n">
        <v>0</v>
      </c>
    </row>
    <row r="858" customFormat="false" ht="15" hidden="false" customHeight="true" outlineLevel="0" collapsed="false">
      <c r="A858" s="8" t="s">
        <v>348</v>
      </c>
      <c r="B858" s="8" t="s">
        <v>1277</v>
      </c>
      <c r="C858" s="8" t="n">
        <v>2</v>
      </c>
      <c r="D858" s="8" t="n">
        <v>13.6</v>
      </c>
      <c r="E858" s="8" t="n">
        <v>0</v>
      </c>
      <c r="F858" s="8" t="n">
        <v>0</v>
      </c>
    </row>
    <row r="859" customFormat="false" ht="15" hidden="false" customHeight="true" outlineLevel="0" collapsed="false">
      <c r="A859" s="8" t="s">
        <v>258</v>
      </c>
      <c r="B859" s="8" t="s">
        <v>562</v>
      </c>
      <c r="C859" s="8" t="n">
        <v>1</v>
      </c>
      <c r="D859" s="8" t="n">
        <v>36</v>
      </c>
      <c r="E859" s="8" t="n">
        <v>1</v>
      </c>
      <c r="F859" s="8" t="n">
        <v>36</v>
      </c>
    </row>
    <row r="860" customFormat="false" ht="15" hidden="false" customHeight="true" outlineLevel="0" collapsed="false">
      <c r="A860" s="8" t="s">
        <v>252</v>
      </c>
      <c r="B860" s="8" t="s">
        <v>1177</v>
      </c>
      <c r="C860" s="8" t="n">
        <v>1</v>
      </c>
      <c r="D860" s="8" t="n">
        <v>16.6</v>
      </c>
      <c r="E860" s="8" t="n">
        <v>0</v>
      </c>
      <c r="F860" s="8" t="n">
        <v>0</v>
      </c>
    </row>
    <row r="861" customFormat="false" ht="15" hidden="false" customHeight="true" outlineLevel="0" collapsed="false">
      <c r="A861" s="8" t="s">
        <v>203</v>
      </c>
      <c r="B861" s="8" t="s">
        <v>1177</v>
      </c>
      <c r="C861" s="8" t="n">
        <v>3</v>
      </c>
      <c r="D861" s="8" t="n">
        <v>55.5</v>
      </c>
      <c r="E861" s="8" t="n">
        <v>4</v>
      </c>
      <c r="F861" s="8" t="n">
        <v>74</v>
      </c>
    </row>
    <row r="862" customFormat="false" ht="15" hidden="false" customHeight="true" outlineLevel="0" collapsed="false">
      <c r="A862" s="8" t="s">
        <v>211</v>
      </c>
      <c r="B862" s="8" t="s">
        <v>1250</v>
      </c>
      <c r="C862" s="8" t="n">
        <v>4</v>
      </c>
      <c r="D862" s="8" t="n">
        <v>100</v>
      </c>
      <c r="E862" s="8" t="n">
        <v>0</v>
      </c>
      <c r="F862" s="8" t="n">
        <v>0</v>
      </c>
    </row>
    <row r="863" customFormat="false" ht="15" hidden="false" customHeight="true" outlineLevel="0" collapsed="false">
      <c r="A863" s="8" t="s">
        <v>248</v>
      </c>
      <c r="B863" s="8" t="s">
        <v>1242</v>
      </c>
      <c r="C863" s="8" t="n">
        <v>4</v>
      </c>
      <c r="D863" s="8" t="n">
        <v>84</v>
      </c>
      <c r="E863" s="8" t="n">
        <v>4</v>
      </c>
      <c r="F863" s="8" t="n">
        <v>84</v>
      </c>
    </row>
    <row r="864" customFormat="false" ht="15" hidden="false" customHeight="true" outlineLevel="0" collapsed="false">
      <c r="A864" s="8" t="s">
        <v>226</v>
      </c>
      <c r="B864" s="8" t="s">
        <v>566</v>
      </c>
      <c r="C864" s="8" t="n">
        <v>1</v>
      </c>
      <c r="D864" s="8" t="n">
        <v>20.8</v>
      </c>
      <c r="E864" s="8" t="n">
        <v>1</v>
      </c>
      <c r="F864" s="8" t="n">
        <v>20.8</v>
      </c>
    </row>
    <row r="865" customFormat="false" ht="15" hidden="false" customHeight="true" outlineLevel="0" collapsed="false">
      <c r="A865" s="8" t="s">
        <v>301</v>
      </c>
      <c r="B865" s="8" t="s">
        <v>1258</v>
      </c>
      <c r="C865" s="8" t="n">
        <v>2</v>
      </c>
      <c r="D865" s="8" t="n">
        <v>188.2</v>
      </c>
      <c r="E865" s="8" t="n">
        <v>0</v>
      </c>
      <c r="F865" s="8" t="n">
        <v>0</v>
      </c>
    </row>
    <row r="866" customFormat="false" ht="15" hidden="false" customHeight="true" outlineLevel="0" collapsed="false">
      <c r="A866" s="8" t="s">
        <v>200</v>
      </c>
      <c r="B866" s="8" t="s">
        <v>1279</v>
      </c>
      <c r="C866" s="8" t="n">
        <v>3</v>
      </c>
      <c r="D866" s="8" t="n">
        <v>231.72</v>
      </c>
      <c r="E866" s="8" t="n">
        <v>0</v>
      </c>
      <c r="F866" s="8" t="n">
        <v>0</v>
      </c>
    </row>
    <row r="867" customFormat="false" ht="15" hidden="false" customHeight="true" outlineLevel="0" collapsed="false">
      <c r="A867" s="8" t="s">
        <v>166</v>
      </c>
      <c r="B867" s="8" t="s">
        <v>1211</v>
      </c>
      <c r="C867" s="8" t="n">
        <v>1</v>
      </c>
      <c r="D867" s="8" t="n">
        <v>63.27</v>
      </c>
      <c r="E867" s="8" t="n">
        <v>0</v>
      </c>
      <c r="F867" s="8" t="n">
        <v>0</v>
      </c>
    </row>
    <row r="868" customFormat="false" ht="15" hidden="false" customHeight="true" outlineLevel="0" collapsed="false">
      <c r="A868" s="8" t="s">
        <v>164</v>
      </c>
      <c r="B868" s="8" t="s">
        <v>1211</v>
      </c>
      <c r="C868" s="8" t="n">
        <v>1</v>
      </c>
      <c r="D868" s="8" t="n">
        <v>63.27</v>
      </c>
      <c r="E868" s="8" t="n">
        <v>0</v>
      </c>
      <c r="F868" s="8" t="n">
        <v>0</v>
      </c>
    </row>
    <row r="869" customFormat="false" ht="15" hidden="false" customHeight="true" outlineLevel="0" collapsed="false">
      <c r="A869" s="8" t="s">
        <v>172</v>
      </c>
      <c r="B869" s="8" t="s">
        <v>1214</v>
      </c>
      <c r="C869" s="8" t="n">
        <v>4</v>
      </c>
      <c r="D869" s="8" t="n">
        <v>48.72</v>
      </c>
      <c r="E869" s="8" t="n">
        <v>0</v>
      </c>
      <c r="F869" s="8" t="n">
        <v>0</v>
      </c>
    </row>
    <row r="870" customFormat="false" ht="15" hidden="false" customHeight="true" outlineLevel="0" collapsed="false">
      <c r="A870" s="8" t="s">
        <v>268</v>
      </c>
      <c r="B870" s="8" t="s">
        <v>1234</v>
      </c>
      <c r="C870" s="8" t="n">
        <v>2</v>
      </c>
      <c r="D870" s="8" t="n">
        <v>71.34</v>
      </c>
      <c r="E870" s="8" t="n">
        <v>0</v>
      </c>
      <c r="F870" s="8" t="n">
        <v>0</v>
      </c>
    </row>
    <row r="871" customFormat="false" ht="15" hidden="false" customHeight="true" outlineLevel="0" collapsed="false">
      <c r="A871" s="8" t="s">
        <v>209</v>
      </c>
      <c r="B871" s="8" t="s">
        <v>1245</v>
      </c>
      <c r="C871" s="8" t="n">
        <v>1</v>
      </c>
      <c r="D871" s="8" t="n">
        <v>64.89</v>
      </c>
      <c r="E871" s="8" t="n">
        <v>0</v>
      </c>
      <c r="F871" s="8" t="n">
        <v>0</v>
      </c>
    </row>
    <row r="872" customFormat="false" ht="15" hidden="false" customHeight="true" outlineLevel="0" collapsed="false">
      <c r="A872" s="8" t="s">
        <v>282</v>
      </c>
      <c r="B872" s="8" t="s">
        <v>1283</v>
      </c>
      <c r="C872" s="8" t="n">
        <v>1</v>
      </c>
      <c r="D872" s="8" t="n">
        <v>195.73</v>
      </c>
      <c r="E872" s="8" t="n">
        <v>0</v>
      </c>
      <c r="F872" s="8" t="n">
        <v>0</v>
      </c>
    </row>
    <row r="873" customFormat="false" ht="15" hidden="false" customHeight="true" outlineLevel="0" collapsed="false">
      <c r="A873" s="8" t="s">
        <v>167</v>
      </c>
      <c r="B873" s="8" t="s">
        <v>1238</v>
      </c>
      <c r="C873" s="8" t="n">
        <v>4</v>
      </c>
      <c r="D873" s="8" t="n">
        <v>53.6</v>
      </c>
      <c r="E873" s="8" t="n">
        <v>0</v>
      </c>
      <c r="F873" s="8" t="n">
        <v>0</v>
      </c>
    </row>
    <row r="874" customFormat="false" ht="15" hidden="false" customHeight="true" outlineLevel="0" collapsed="false">
      <c r="A874" s="8" t="s">
        <v>173</v>
      </c>
      <c r="B874" s="8" t="s">
        <v>1244</v>
      </c>
      <c r="C874" s="8" t="n">
        <v>2</v>
      </c>
      <c r="D874" s="8" t="n">
        <v>351</v>
      </c>
      <c r="E874" s="8" t="n">
        <v>0</v>
      </c>
      <c r="F874" s="8" t="n">
        <v>0</v>
      </c>
    </row>
    <row r="875" customFormat="false" ht="15" hidden="false" customHeight="true" outlineLevel="0" collapsed="false">
      <c r="A875" s="8" t="s">
        <v>183</v>
      </c>
      <c r="B875" s="8" t="s">
        <v>1224</v>
      </c>
      <c r="C875" s="8" t="n">
        <v>1</v>
      </c>
      <c r="D875" s="8" t="n">
        <v>24.43</v>
      </c>
      <c r="E875" s="8" t="n">
        <v>0</v>
      </c>
      <c r="F875" s="8" t="n">
        <v>0</v>
      </c>
    </row>
    <row r="876" customFormat="false" ht="15" hidden="false" customHeight="true" outlineLevel="0" collapsed="false">
      <c r="A876" s="8" t="s">
        <v>170</v>
      </c>
      <c r="B876" s="8" t="s">
        <v>1220</v>
      </c>
      <c r="C876" s="8" t="n">
        <v>12</v>
      </c>
      <c r="D876" s="8" t="n">
        <v>177.6</v>
      </c>
      <c r="E876" s="8" t="n">
        <v>0</v>
      </c>
      <c r="F876" s="8" t="n">
        <v>0</v>
      </c>
    </row>
    <row r="877" customFormat="false" ht="15" hidden="false" customHeight="true" outlineLevel="0" collapsed="false">
      <c r="A877" s="8" t="s">
        <v>167</v>
      </c>
      <c r="B877" s="8" t="s">
        <v>1238</v>
      </c>
      <c r="C877" s="8" t="n">
        <v>5</v>
      </c>
      <c r="D877" s="8" t="n">
        <v>67</v>
      </c>
      <c r="E877" s="8" t="n">
        <v>0</v>
      </c>
      <c r="F877" s="8" t="n">
        <v>0</v>
      </c>
    </row>
    <row r="878" customFormat="false" ht="15" hidden="false" customHeight="true" outlineLevel="0" collapsed="false">
      <c r="A878" s="8" t="s">
        <v>197</v>
      </c>
      <c r="B878" s="8" t="s">
        <v>1222</v>
      </c>
      <c r="C878" s="8" t="n">
        <v>0</v>
      </c>
      <c r="D878" s="8" t="n">
        <v>0</v>
      </c>
      <c r="E878" s="8" t="n">
        <v>1</v>
      </c>
      <c r="F878" s="8" t="n">
        <v>65</v>
      </c>
    </row>
    <row r="879" customFormat="false" ht="15" hidden="false" customHeight="true" outlineLevel="0" collapsed="false">
      <c r="A879" s="8" t="s">
        <v>253</v>
      </c>
      <c r="B879" s="8" t="s">
        <v>1222</v>
      </c>
      <c r="C879" s="8" t="n">
        <v>1</v>
      </c>
      <c r="D879" s="8" t="n">
        <v>65</v>
      </c>
      <c r="E879" s="8" t="n">
        <v>4</v>
      </c>
      <c r="F879" s="8" t="n">
        <v>260</v>
      </c>
    </row>
    <row r="880" customFormat="false" ht="15" hidden="false" customHeight="true" outlineLevel="0" collapsed="false">
      <c r="A880" s="8" t="s">
        <v>385</v>
      </c>
      <c r="B880" s="8" t="s">
        <v>1222</v>
      </c>
      <c r="C880" s="8" t="n">
        <v>0</v>
      </c>
      <c r="D880" s="8" t="n">
        <v>0</v>
      </c>
      <c r="E880" s="8" t="n">
        <v>1</v>
      </c>
      <c r="F880" s="8" t="n">
        <v>65</v>
      </c>
    </row>
    <row r="881" customFormat="false" ht="15" hidden="false" customHeight="true" outlineLevel="0" collapsed="false">
      <c r="A881" s="8" t="s">
        <v>207</v>
      </c>
      <c r="B881" s="8" t="s">
        <v>1222</v>
      </c>
      <c r="C881" s="8" t="n">
        <v>1</v>
      </c>
      <c r="D881" s="8" t="n">
        <v>65</v>
      </c>
      <c r="E881" s="8" t="n">
        <v>1</v>
      </c>
      <c r="F881" s="8" t="n">
        <v>65</v>
      </c>
    </row>
    <row r="882" customFormat="false" ht="15" hidden="false" customHeight="true" outlineLevel="0" collapsed="false">
      <c r="A882" s="8" t="s">
        <v>173</v>
      </c>
      <c r="B882" s="8" t="s">
        <v>1244</v>
      </c>
      <c r="C882" s="8" t="n">
        <v>2</v>
      </c>
      <c r="D882" s="8" t="n">
        <v>351</v>
      </c>
      <c r="E882" s="8" t="n">
        <v>0</v>
      </c>
      <c r="F882" s="8" t="n">
        <v>0</v>
      </c>
    </row>
    <row r="883" customFormat="false" ht="15" hidden="false" customHeight="true" outlineLevel="0" collapsed="false">
      <c r="A883" s="8" t="s">
        <v>177</v>
      </c>
      <c r="B883" s="8" t="s">
        <v>1244</v>
      </c>
      <c r="C883" s="8" t="n">
        <v>1</v>
      </c>
      <c r="D883" s="8" t="n">
        <v>175.5</v>
      </c>
      <c r="E883" s="8" t="n">
        <v>0</v>
      </c>
      <c r="F883" s="8" t="n">
        <v>0</v>
      </c>
    </row>
    <row r="884" customFormat="false" ht="15" hidden="false" customHeight="true" outlineLevel="0" collapsed="false">
      <c r="A884" s="8" t="s">
        <v>245</v>
      </c>
      <c r="B884" s="8" t="s">
        <v>1179</v>
      </c>
      <c r="C884" s="8" t="n">
        <v>3</v>
      </c>
      <c r="D884" s="8" t="n">
        <v>217.02</v>
      </c>
      <c r="E884" s="8" t="n">
        <v>0</v>
      </c>
      <c r="F884" s="8" t="n">
        <v>0</v>
      </c>
    </row>
    <row r="885" customFormat="false" ht="15" hidden="false" customHeight="true" outlineLevel="0" collapsed="false">
      <c r="A885" s="8" t="s">
        <v>191</v>
      </c>
      <c r="B885" s="8" t="s">
        <v>1179</v>
      </c>
      <c r="C885" s="8" t="n">
        <v>3</v>
      </c>
      <c r="D885" s="8" t="n">
        <v>217.02</v>
      </c>
      <c r="E885" s="8" t="n">
        <v>0</v>
      </c>
      <c r="F885" s="8" t="n">
        <v>0</v>
      </c>
    </row>
    <row r="886" customFormat="false" ht="15" hidden="false" customHeight="true" outlineLevel="0" collapsed="false">
      <c r="A886" s="8" t="s">
        <v>204</v>
      </c>
      <c r="B886" s="8" t="s">
        <v>1179</v>
      </c>
      <c r="C886" s="8" t="n">
        <v>3</v>
      </c>
      <c r="D886" s="8" t="n">
        <v>217.02</v>
      </c>
      <c r="E886" s="8" t="n">
        <v>0</v>
      </c>
      <c r="F886" s="8" t="n">
        <v>0</v>
      </c>
    </row>
    <row r="887" customFormat="false" ht="15" hidden="false" customHeight="true" outlineLevel="0" collapsed="false">
      <c r="A887" s="8" t="s">
        <v>311</v>
      </c>
      <c r="B887" s="8" t="s">
        <v>1282</v>
      </c>
      <c r="C887" s="8" t="n">
        <v>2</v>
      </c>
      <c r="D887" s="8" t="n">
        <v>214.18</v>
      </c>
      <c r="E887" s="8" t="n">
        <v>0</v>
      </c>
      <c r="F887" s="8" t="n">
        <v>0</v>
      </c>
    </row>
    <row r="888" customFormat="false" ht="15" hidden="false" customHeight="true" outlineLevel="0" collapsed="false">
      <c r="A888" s="8" t="s">
        <v>346</v>
      </c>
      <c r="B888" s="8" t="s">
        <v>1287</v>
      </c>
      <c r="C888" s="8" t="n">
        <v>0</v>
      </c>
      <c r="D888" s="8" t="n">
        <v>0</v>
      </c>
      <c r="E888" s="8" t="n">
        <v>1</v>
      </c>
      <c r="F888" s="8" t="n">
        <v>160</v>
      </c>
    </row>
    <row r="889" customFormat="false" ht="15" hidden="false" customHeight="true" outlineLevel="0" collapsed="false">
      <c r="A889" s="8" t="s">
        <v>190</v>
      </c>
      <c r="B889" s="8" t="s">
        <v>1224</v>
      </c>
      <c r="C889" s="8" t="n">
        <v>2</v>
      </c>
      <c r="D889" s="8" t="n">
        <v>48.86</v>
      </c>
      <c r="E889" s="8" t="n">
        <v>0</v>
      </c>
      <c r="F889" s="8" t="n">
        <v>0</v>
      </c>
    </row>
    <row r="890" customFormat="false" ht="15" hidden="false" customHeight="true" outlineLevel="0" collapsed="false">
      <c r="A890" s="8" t="s">
        <v>183</v>
      </c>
      <c r="B890" s="8" t="s">
        <v>1224</v>
      </c>
      <c r="C890" s="8" t="n">
        <v>6</v>
      </c>
      <c r="D890" s="8" t="n">
        <v>146.58</v>
      </c>
      <c r="E890" s="8" t="n">
        <v>0</v>
      </c>
      <c r="F890" s="8" t="n">
        <v>0</v>
      </c>
    </row>
    <row r="891" customFormat="false" ht="15" hidden="false" customHeight="true" outlineLevel="0" collapsed="false">
      <c r="A891" s="8" t="s">
        <v>231</v>
      </c>
      <c r="B891" s="8" t="s">
        <v>1224</v>
      </c>
      <c r="C891" s="8" t="n">
        <v>2</v>
      </c>
      <c r="D891" s="8" t="n">
        <v>48.86</v>
      </c>
      <c r="E891" s="8" t="n">
        <v>0</v>
      </c>
      <c r="F891" s="8" t="n">
        <v>0</v>
      </c>
    </row>
    <row r="892" customFormat="false" ht="15" hidden="false" customHeight="true" outlineLevel="0" collapsed="false">
      <c r="A892" s="8" t="s">
        <v>286</v>
      </c>
      <c r="B892" s="8" t="s">
        <v>1269</v>
      </c>
      <c r="C892" s="8" t="n">
        <v>6</v>
      </c>
      <c r="D892" s="8" t="n">
        <v>66</v>
      </c>
      <c r="E892" s="8" t="n">
        <v>0</v>
      </c>
      <c r="F892" s="8" t="n">
        <v>0</v>
      </c>
    </row>
    <row r="893" customFormat="false" ht="15" hidden="false" customHeight="true" outlineLevel="0" collapsed="false">
      <c r="A893" s="8" t="s">
        <v>289</v>
      </c>
      <c r="B893" s="8" t="s">
        <v>1270</v>
      </c>
      <c r="C893" s="8" t="n">
        <v>6</v>
      </c>
      <c r="D893" s="8" t="n">
        <v>66</v>
      </c>
      <c r="E893" s="8" t="n">
        <v>0</v>
      </c>
      <c r="F893" s="8" t="n">
        <v>0</v>
      </c>
    </row>
    <row r="894" customFormat="false" ht="15" hidden="false" customHeight="true" outlineLevel="0" collapsed="false">
      <c r="A894" s="8" t="s">
        <v>161</v>
      </c>
      <c r="B894" s="8" t="s">
        <v>1208</v>
      </c>
      <c r="C894" s="8" t="n">
        <v>18</v>
      </c>
      <c r="D894" s="8" t="n">
        <v>819</v>
      </c>
      <c r="E894" s="8" t="n">
        <v>0</v>
      </c>
      <c r="F894" s="8" t="n">
        <v>0</v>
      </c>
    </row>
    <row r="895" customFormat="false" ht="15" hidden="false" customHeight="true" outlineLevel="0" collapsed="false">
      <c r="A895" s="8" t="s">
        <v>162</v>
      </c>
      <c r="B895" s="8" t="s">
        <v>1209</v>
      </c>
      <c r="C895" s="8" t="n">
        <v>3</v>
      </c>
      <c r="D895" s="8" t="n">
        <v>233.4</v>
      </c>
      <c r="E895" s="8" t="n">
        <v>0</v>
      </c>
      <c r="F895" s="8" t="n">
        <v>0</v>
      </c>
    </row>
    <row r="896" customFormat="false" ht="15" hidden="false" customHeight="true" outlineLevel="0" collapsed="false">
      <c r="A896" s="8" t="s">
        <v>171</v>
      </c>
      <c r="B896" s="8" t="s">
        <v>1210</v>
      </c>
      <c r="C896" s="8" t="n">
        <v>3</v>
      </c>
      <c r="D896" s="8" t="n">
        <v>141.69</v>
      </c>
      <c r="E896" s="8" t="n">
        <v>0</v>
      </c>
      <c r="F896" s="8" t="n">
        <v>0</v>
      </c>
    </row>
    <row r="897" customFormat="false" ht="15" hidden="false" customHeight="true" outlineLevel="0" collapsed="false">
      <c r="A897" s="8" t="s">
        <v>166</v>
      </c>
      <c r="B897" s="8" t="s">
        <v>1211</v>
      </c>
      <c r="C897" s="8" t="n">
        <v>3</v>
      </c>
      <c r="D897" s="8" t="n">
        <v>189.81</v>
      </c>
      <c r="E897" s="8" t="n">
        <v>5</v>
      </c>
      <c r="F897" s="8" t="n">
        <v>316.35</v>
      </c>
    </row>
    <row r="898" customFormat="false" ht="15" hidden="false" customHeight="true" outlineLevel="0" collapsed="false">
      <c r="A898" s="8" t="s">
        <v>164</v>
      </c>
      <c r="B898" s="8" t="s">
        <v>1211</v>
      </c>
      <c r="C898" s="8" t="n">
        <v>4</v>
      </c>
      <c r="D898" s="8" t="n">
        <v>253.08</v>
      </c>
      <c r="E898" s="8" t="n">
        <v>0</v>
      </c>
      <c r="F898" s="8" t="n">
        <v>0</v>
      </c>
    </row>
    <row r="899" customFormat="false" ht="15" hidden="false" customHeight="true" outlineLevel="0" collapsed="false">
      <c r="A899" s="8" t="s">
        <v>187</v>
      </c>
      <c r="B899" s="8" t="s">
        <v>1211</v>
      </c>
      <c r="C899" s="8" t="n">
        <v>2</v>
      </c>
      <c r="D899" s="8" t="n">
        <v>126.54</v>
      </c>
      <c r="E899" s="8" t="n">
        <v>2</v>
      </c>
      <c r="F899" s="8" t="n">
        <v>126.54</v>
      </c>
    </row>
    <row r="900" customFormat="false" ht="15" hidden="false" customHeight="true" outlineLevel="0" collapsed="false">
      <c r="A900" s="8" t="s">
        <v>270</v>
      </c>
      <c r="B900" s="8" t="s">
        <v>1251</v>
      </c>
      <c r="C900" s="8" t="n">
        <v>5</v>
      </c>
      <c r="D900" s="8" t="n">
        <v>49.1</v>
      </c>
      <c r="E900" s="8" t="n">
        <v>0</v>
      </c>
      <c r="F900" s="8" t="n">
        <v>0</v>
      </c>
    </row>
    <row r="901" customFormat="false" ht="15" hidden="false" customHeight="true" outlineLevel="0" collapsed="false">
      <c r="A901" s="8" t="s">
        <v>307</v>
      </c>
      <c r="B901" s="8" t="s">
        <v>1252</v>
      </c>
      <c r="C901" s="8" t="n">
        <v>0</v>
      </c>
      <c r="D901" s="8" t="n">
        <v>0</v>
      </c>
      <c r="E901" s="8" t="n">
        <v>2</v>
      </c>
      <c r="F901" s="8" t="n">
        <v>28.56</v>
      </c>
    </row>
    <row r="902" customFormat="false" ht="15" hidden="false" customHeight="true" outlineLevel="0" collapsed="false">
      <c r="A902" s="8" t="s">
        <v>263</v>
      </c>
      <c r="B902" s="8" t="s">
        <v>407</v>
      </c>
      <c r="C902" s="8" t="n">
        <v>0</v>
      </c>
      <c r="D902" s="8" t="n">
        <v>0</v>
      </c>
      <c r="E902" s="8" t="n">
        <v>2</v>
      </c>
      <c r="F902" s="8" t="n">
        <v>25.64</v>
      </c>
    </row>
    <row r="903" customFormat="false" ht="15" hidden="false" customHeight="true" outlineLevel="0" collapsed="false">
      <c r="A903" s="8" t="s">
        <v>188</v>
      </c>
      <c r="B903" s="8" t="s">
        <v>1225</v>
      </c>
      <c r="C903" s="8" t="n">
        <v>0</v>
      </c>
      <c r="D903" s="8" t="n">
        <v>0</v>
      </c>
      <c r="E903" s="8" t="n">
        <v>2</v>
      </c>
      <c r="F903" s="8" t="n">
        <v>57.86</v>
      </c>
    </row>
    <row r="904" customFormat="false" ht="15" hidden="false" customHeight="true" outlineLevel="0" collapsed="false">
      <c r="A904" s="8" t="s">
        <v>201</v>
      </c>
      <c r="B904" s="8" t="s">
        <v>1226</v>
      </c>
      <c r="C904" s="8" t="n">
        <v>7</v>
      </c>
      <c r="D904" s="8" t="n">
        <v>295.19</v>
      </c>
      <c r="E904" s="8" t="n">
        <v>0</v>
      </c>
      <c r="F904" s="8" t="n">
        <v>0</v>
      </c>
    </row>
    <row r="905" customFormat="false" ht="15" hidden="false" customHeight="true" outlineLevel="0" collapsed="false">
      <c r="A905" s="8" t="s">
        <v>219</v>
      </c>
      <c r="B905" s="8" t="s">
        <v>1227</v>
      </c>
      <c r="C905" s="8" t="n">
        <v>3</v>
      </c>
      <c r="D905" s="8" t="n">
        <v>51</v>
      </c>
      <c r="E905" s="8" t="n">
        <v>0</v>
      </c>
      <c r="F905" s="8" t="n">
        <v>0</v>
      </c>
    </row>
    <row r="906" customFormat="false" ht="15" hidden="false" customHeight="true" outlineLevel="0" collapsed="false">
      <c r="A906" s="8" t="s">
        <v>292</v>
      </c>
      <c r="B906" s="8" t="s">
        <v>1227</v>
      </c>
      <c r="C906" s="8" t="n">
        <v>0</v>
      </c>
      <c r="D906" s="8" t="n">
        <v>0</v>
      </c>
      <c r="E906" s="8" t="n">
        <v>2</v>
      </c>
      <c r="F906" s="8" t="n">
        <v>34</v>
      </c>
    </row>
    <row r="907" customFormat="false" ht="15" hidden="false" customHeight="true" outlineLevel="0" collapsed="false">
      <c r="A907" s="8" t="s">
        <v>223</v>
      </c>
      <c r="B907" s="8" t="s">
        <v>1227</v>
      </c>
      <c r="C907" s="8" t="n">
        <v>3</v>
      </c>
      <c r="D907" s="8" t="n">
        <v>51</v>
      </c>
      <c r="E907" s="8" t="n">
        <v>0</v>
      </c>
      <c r="F907" s="8" t="n">
        <v>0</v>
      </c>
    </row>
    <row r="908" customFormat="false" ht="15" hidden="false" customHeight="true" outlineLevel="0" collapsed="false">
      <c r="A908" s="8" t="s">
        <v>237</v>
      </c>
      <c r="B908" s="8" t="s">
        <v>1259</v>
      </c>
      <c r="C908" s="8" t="n">
        <v>4</v>
      </c>
      <c r="D908" s="8" t="n">
        <v>73.8</v>
      </c>
      <c r="E908" s="8" t="n">
        <v>3</v>
      </c>
      <c r="F908" s="8" t="n">
        <v>55.35</v>
      </c>
    </row>
    <row r="909" customFormat="false" ht="15" hidden="false" customHeight="true" outlineLevel="0" collapsed="false">
      <c r="A909" s="8" t="s">
        <v>244</v>
      </c>
      <c r="B909" s="8" t="s">
        <v>1213</v>
      </c>
      <c r="C909" s="8" t="n">
        <v>4</v>
      </c>
      <c r="D909" s="8" t="n">
        <v>38</v>
      </c>
      <c r="E909" s="8" t="n">
        <v>0</v>
      </c>
      <c r="F909" s="8" t="n">
        <v>0</v>
      </c>
    </row>
    <row r="910" customFormat="false" ht="15" hidden="false" customHeight="true" outlineLevel="0" collapsed="false">
      <c r="A910" s="8" t="s">
        <v>243</v>
      </c>
      <c r="B910" s="8" t="s">
        <v>1253</v>
      </c>
      <c r="C910" s="8" t="n">
        <v>4</v>
      </c>
      <c r="D910" s="8" t="n">
        <v>51.8</v>
      </c>
      <c r="E910" s="8" t="n">
        <v>0</v>
      </c>
      <c r="F910" s="8" t="n">
        <v>0</v>
      </c>
    </row>
    <row r="911" customFormat="false" ht="15" hidden="false" customHeight="true" outlineLevel="0" collapsed="false">
      <c r="A911" s="8" t="s">
        <v>172</v>
      </c>
      <c r="B911" s="8" t="s">
        <v>1214</v>
      </c>
      <c r="C911" s="8" t="n">
        <v>6</v>
      </c>
      <c r="D911" s="8" t="n">
        <v>73.08</v>
      </c>
      <c r="E911" s="8" t="n">
        <v>6</v>
      </c>
      <c r="F911" s="8" t="n">
        <v>73.08</v>
      </c>
    </row>
    <row r="912" customFormat="false" ht="15" hidden="false" customHeight="true" outlineLevel="0" collapsed="false">
      <c r="A912" s="8" t="s">
        <v>213</v>
      </c>
      <c r="B912" s="8" t="s">
        <v>1232</v>
      </c>
      <c r="C912" s="8" t="n">
        <v>10</v>
      </c>
      <c r="D912" s="8" t="n">
        <v>275.5</v>
      </c>
      <c r="E912" s="8" t="n">
        <v>0</v>
      </c>
      <c r="F912" s="8" t="n">
        <v>0</v>
      </c>
    </row>
    <row r="913" customFormat="false" ht="15" hidden="false" customHeight="true" outlineLevel="0" collapsed="false">
      <c r="A913" s="8" t="s">
        <v>232</v>
      </c>
      <c r="B913" s="8" t="s">
        <v>1233</v>
      </c>
      <c r="C913" s="8" t="n">
        <v>0</v>
      </c>
      <c r="D913" s="8" t="n">
        <v>0</v>
      </c>
      <c r="E913" s="8" t="n">
        <v>3</v>
      </c>
      <c r="F913" s="8" t="n">
        <v>48.6</v>
      </c>
    </row>
    <row r="914" customFormat="false" ht="15" hidden="false" customHeight="true" outlineLevel="0" collapsed="false">
      <c r="A914" s="8" t="s">
        <v>215</v>
      </c>
      <c r="B914" s="8" t="s">
        <v>1233</v>
      </c>
      <c r="C914" s="8" t="n">
        <v>4</v>
      </c>
      <c r="D914" s="8" t="n">
        <v>71.28</v>
      </c>
      <c r="E914" s="8" t="n">
        <v>0</v>
      </c>
      <c r="F914" s="8" t="n">
        <v>0</v>
      </c>
    </row>
    <row r="915" customFormat="false" ht="15" hidden="false" customHeight="true" outlineLevel="0" collapsed="false">
      <c r="A915" s="8" t="s">
        <v>255</v>
      </c>
      <c r="B915" s="8" t="s">
        <v>1273</v>
      </c>
      <c r="C915" s="8" t="n">
        <v>3</v>
      </c>
      <c r="D915" s="8" t="n">
        <v>24.6</v>
      </c>
      <c r="E915" s="8" t="n">
        <v>0</v>
      </c>
      <c r="F915" s="8" t="n">
        <v>0</v>
      </c>
    </row>
    <row r="916" customFormat="false" ht="15" hidden="false" customHeight="true" outlineLevel="0" collapsed="false">
      <c r="A916" s="8" t="s">
        <v>265</v>
      </c>
      <c r="B916" s="8" t="s">
        <v>621</v>
      </c>
      <c r="C916" s="8" t="n">
        <v>3</v>
      </c>
      <c r="D916" s="8" t="n">
        <v>126</v>
      </c>
      <c r="E916" s="8" t="n">
        <v>0</v>
      </c>
      <c r="F916" s="8" t="n">
        <v>0</v>
      </c>
    </row>
    <row r="917" customFormat="false" ht="15" hidden="false" customHeight="true" outlineLevel="0" collapsed="false">
      <c r="A917" s="8" t="s">
        <v>276</v>
      </c>
      <c r="B917" s="8" t="s">
        <v>621</v>
      </c>
      <c r="C917" s="8" t="n">
        <v>3</v>
      </c>
      <c r="D917" s="8" t="n">
        <v>126</v>
      </c>
      <c r="E917" s="8" t="n">
        <v>0</v>
      </c>
      <c r="F917" s="8" t="n">
        <v>0</v>
      </c>
    </row>
    <row r="918" customFormat="false" ht="15" hidden="false" customHeight="true" outlineLevel="0" collapsed="false">
      <c r="A918" s="8" t="s">
        <v>326</v>
      </c>
      <c r="B918" s="8" t="s">
        <v>1281</v>
      </c>
      <c r="C918" s="8" t="n">
        <v>0</v>
      </c>
      <c r="D918" s="8" t="n">
        <v>0</v>
      </c>
      <c r="E918" s="8" t="n">
        <v>2</v>
      </c>
      <c r="F918" s="8" t="n">
        <v>47.2</v>
      </c>
    </row>
    <row r="919" customFormat="false" ht="15" hidden="false" customHeight="true" outlineLevel="0" collapsed="false">
      <c r="A919" s="8" t="s">
        <v>325</v>
      </c>
      <c r="B919" s="8" t="s">
        <v>1264</v>
      </c>
      <c r="C919" s="8" t="n">
        <v>0</v>
      </c>
      <c r="D919" s="8" t="n">
        <v>0</v>
      </c>
      <c r="E919" s="8" t="n">
        <v>6</v>
      </c>
      <c r="F919" s="8" t="n">
        <v>110.4</v>
      </c>
    </row>
    <row r="920" customFormat="false" ht="15" hidden="false" customHeight="true" outlineLevel="0" collapsed="false">
      <c r="A920" s="8" t="s">
        <v>209</v>
      </c>
      <c r="B920" s="8" t="s">
        <v>1245</v>
      </c>
      <c r="C920" s="8" t="n">
        <v>3</v>
      </c>
      <c r="D920" s="8" t="n">
        <v>194.67</v>
      </c>
      <c r="E920" s="8" t="n">
        <v>0</v>
      </c>
      <c r="F920" s="8" t="n">
        <v>0</v>
      </c>
    </row>
    <row r="921" customFormat="false" ht="15" hidden="false" customHeight="true" outlineLevel="0" collapsed="false">
      <c r="A921" s="8" t="s">
        <v>180</v>
      </c>
      <c r="B921" s="8" t="s">
        <v>1216</v>
      </c>
      <c r="C921" s="8" t="n">
        <v>13</v>
      </c>
      <c r="D921" s="8" t="n">
        <v>214.5</v>
      </c>
      <c r="E921" s="8" t="n">
        <v>0</v>
      </c>
      <c r="F921" s="8" t="n">
        <v>0</v>
      </c>
    </row>
    <row r="922" customFormat="false" ht="15" hidden="false" customHeight="true" outlineLevel="0" collapsed="false">
      <c r="A922" s="8" t="s">
        <v>199</v>
      </c>
      <c r="B922" s="8" t="s">
        <v>1216</v>
      </c>
      <c r="C922" s="8" t="n">
        <v>3</v>
      </c>
      <c r="D922" s="8" t="n">
        <v>49.5</v>
      </c>
      <c r="E922" s="8" t="n">
        <v>0</v>
      </c>
      <c r="F922" s="8" t="n">
        <v>0</v>
      </c>
    </row>
    <row r="923" customFormat="false" ht="15" hidden="false" customHeight="true" outlineLevel="0" collapsed="false">
      <c r="A923" s="8" t="s">
        <v>198</v>
      </c>
      <c r="B923" s="8" t="s">
        <v>1217</v>
      </c>
      <c r="C923" s="8" t="n">
        <v>5</v>
      </c>
      <c r="D923" s="8" t="n">
        <v>102.5</v>
      </c>
      <c r="E923" s="8" t="n">
        <v>0</v>
      </c>
      <c r="F923" s="8" t="n">
        <v>0</v>
      </c>
    </row>
    <row r="924" customFormat="false" ht="15" hidden="false" customHeight="true" outlineLevel="0" collapsed="false">
      <c r="A924" s="8" t="s">
        <v>260</v>
      </c>
      <c r="B924" s="8" t="s">
        <v>1285</v>
      </c>
      <c r="C924" s="8" t="n">
        <v>1</v>
      </c>
      <c r="D924" s="8" t="n">
        <v>136.3</v>
      </c>
      <c r="E924" s="8" t="n">
        <v>0</v>
      </c>
      <c r="F924" s="8" t="n">
        <v>0</v>
      </c>
    </row>
    <row r="925" customFormat="false" ht="15" hidden="false" customHeight="true" outlineLevel="0" collapsed="false">
      <c r="A925" s="8" t="s">
        <v>95</v>
      </c>
      <c r="B925" s="8" t="s">
        <v>1247</v>
      </c>
      <c r="C925" s="8" t="n">
        <v>4</v>
      </c>
      <c r="D925" s="8" t="n">
        <v>100</v>
      </c>
      <c r="E925" s="8" t="n">
        <v>0</v>
      </c>
      <c r="F925" s="8" t="n">
        <v>0</v>
      </c>
    </row>
    <row r="926" customFormat="false" ht="15" hidden="false" customHeight="true" outlineLevel="0" collapsed="false">
      <c r="A926" s="8" t="s">
        <v>113</v>
      </c>
      <c r="B926" s="8" t="s">
        <v>1247</v>
      </c>
      <c r="C926" s="8" t="n">
        <v>4</v>
      </c>
      <c r="D926" s="8" t="n">
        <v>100</v>
      </c>
      <c r="E926" s="8" t="n">
        <v>0</v>
      </c>
      <c r="F926" s="8" t="n">
        <v>0</v>
      </c>
    </row>
    <row r="927" customFormat="false" ht="15" hidden="false" customHeight="true" outlineLevel="0" collapsed="false">
      <c r="A927" s="8" t="s">
        <v>99</v>
      </c>
      <c r="B927" s="8" t="s">
        <v>1247</v>
      </c>
      <c r="C927" s="8" t="n">
        <v>7</v>
      </c>
      <c r="D927" s="8" t="n">
        <v>175</v>
      </c>
      <c r="E927" s="8" t="n">
        <v>0</v>
      </c>
      <c r="F927" s="8" t="n">
        <v>0</v>
      </c>
    </row>
    <row r="928" customFormat="false" ht="15" hidden="false" customHeight="true" outlineLevel="0" collapsed="false">
      <c r="A928" s="8" t="s">
        <v>120</v>
      </c>
      <c r="B928" s="8" t="s">
        <v>1247</v>
      </c>
      <c r="C928" s="8" t="n">
        <v>4</v>
      </c>
      <c r="D928" s="8" t="n">
        <v>100</v>
      </c>
      <c r="E928" s="8" t="n">
        <v>0</v>
      </c>
      <c r="F928" s="8" t="n">
        <v>0</v>
      </c>
    </row>
    <row r="929" customFormat="false" ht="15" hidden="false" customHeight="true" outlineLevel="0" collapsed="false">
      <c r="A929" s="8" t="s">
        <v>178</v>
      </c>
      <c r="B929" s="8" t="s">
        <v>1236</v>
      </c>
      <c r="C929" s="8" t="n">
        <v>3</v>
      </c>
      <c r="D929" s="8" t="n">
        <v>105</v>
      </c>
      <c r="E929" s="8" t="n">
        <v>0</v>
      </c>
      <c r="F929" s="8" t="n">
        <v>0</v>
      </c>
    </row>
    <row r="930" customFormat="false" ht="15" hidden="false" customHeight="true" outlineLevel="0" collapsed="false">
      <c r="A930" s="8" t="s">
        <v>235</v>
      </c>
      <c r="B930" s="8" t="s">
        <v>1236</v>
      </c>
      <c r="C930" s="8" t="n">
        <v>0</v>
      </c>
      <c r="D930" s="8" t="n">
        <v>0</v>
      </c>
      <c r="E930" s="8" t="n">
        <v>1</v>
      </c>
      <c r="F930" s="8" t="n">
        <v>35</v>
      </c>
    </row>
    <row r="931" customFormat="false" ht="15" hidden="false" customHeight="true" outlineLevel="0" collapsed="false">
      <c r="A931" s="8" t="s">
        <v>195</v>
      </c>
      <c r="B931" s="8" t="s">
        <v>1218</v>
      </c>
      <c r="C931" s="8" t="n">
        <v>0</v>
      </c>
      <c r="D931" s="8" t="n">
        <v>0</v>
      </c>
      <c r="E931" s="8" t="n">
        <v>1</v>
      </c>
      <c r="F931" s="8" t="n">
        <v>126.5</v>
      </c>
    </row>
    <row r="932" customFormat="false" ht="15" hidden="false" customHeight="true" outlineLevel="0" collapsed="false">
      <c r="A932" s="8" t="s">
        <v>170</v>
      </c>
      <c r="B932" s="8" t="s">
        <v>1220</v>
      </c>
      <c r="C932" s="8" t="n">
        <v>6</v>
      </c>
      <c r="D932" s="8" t="n">
        <v>88.8</v>
      </c>
      <c r="E932" s="8" t="n">
        <v>0</v>
      </c>
      <c r="F932" s="8" t="n">
        <v>0</v>
      </c>
    </row>
    <row r="933" customFormat="false" ht="15" hidden="false" customHeight="true" outlineLevel="0" collapsed="false">
      <c r="A933" s="8" t="s">
        <v>252</v>
      </c>
      <c r="B933" s="8" t="s">
        <v>1177</v>
      </c>
      <c r="C933" s="8" t="n">
        <v>15</v>
      </c>
      <c r="D933" s="8" t="n">
        <v>249</v>
      </c>
      <c r="E933" s="8" t="n">
        <v>0</v>
      </c>
      <c r="F933" s="8" t="n">
        <v>0</v>
      </c>
    </row>
    <row r="934" customFormat="false" ht="15" hidden="false" customHeight="true" outlineLevel="0" collapsed="false">
      <c r="A934" s="8" t="s">
        <v>203</v>
      </c>
      <c r="B934" s="8" t="s">
        <v>1177</v>
      </c>
      <c r="C934" s="8" t="n">
        <v>13</v>
      </c>
      <c r="D934" s="8" t="n">
        <v>240.5</v>
      </c>
      <c r="E934" s="8" t="n">
        <v>0</v>
      </c>
      <c r="F934" s="8" t="n">
        <v>0</v>
      </c>
    </row>
    <row r="935" customFormat="false" ht="15" hidden="false" customHeight="true" outlineLevel="0" collapsed="false">
      <c r="A935" s="8" t="s">
        <v>248</v>
      </c>
      <c r="B935" s="8" t="s">
        <v>1242</v>
      </c>
      <c r="C935" s="8" t="n">
        <v>3</v>
      </c>
      <c r="D935" s="8" t="n">
        <v>63</v>
      </c>
      <c r="E935" s="8" t="n">
        <v>0</v>
      </c>
      <c r="F935" s="8" t="n">
        <v>0</v>
      </c>
    </row>
    <row r="936" customFormat="false" ht="15" hidden="false" customHeight="true" outlineLevel="0" collapsed="false">
      <c r="A936" s="8" t="s">
        <v>196</v>
      </c>
      <c r="B936" s="8" t="s">
        <v>1243</v>
      </c>
      <c r="C936" s="8" t="n">
        <v>3</v>
      </c>
      <c r="D936" s="8" t="n">
        <v>160.5</v>
      </c>
      <c r="E936" s="8" t="n">
        <v>5</v>
      </c>
      <c r="F936" s="8" t="n">
        <v>267.5</v>
      </c>
    </row>
    <row r="937" customFormat="false" ht="15" hidden="false" customHeight="true" outlineLevel="0" collapsed="false">
      <c r="A937" s="8" t="s">
        <v>212</v>
      </c>
      <c r="B937" s="8" t="s">
        <v>1278</v>
      </c>
      <c r="C937" s="8" t="n">
        <v>3</v>
      </c>
      <c r="D937" s="8" t="n">
        <v>280.5</v>
      </c>
      <c r="E937" s="8" t="n">
        <v>0</v>
      </c>
      <c r="F937" s="8" t="n">
        <v>0</v>
      </c>
    </row>
    <row r="938" customFormat="false" ht="15" hidden="false" customHeight="true" outlineLevel="0" collapsed="false">
      <c r="A938" s="8" t="s">
        <v>312</v>
      </c>
      <c r="B938" s="8" t="s">
        <v>767</v>
      </c>
      <c r="C938" s="8" t="n">
        <v>2</v>
      </c>
      <c r="D938" s="8" t="n">
        <v>41</v>
      </c>
      <c r="E938" s="8" t="n">
        <v>0</v>
      </c>
      <c r="F938" s="8" t="n">
        <v>0</v>
      </c>
    </row>
    <row r="939" customFormat="false" ht="15" hidden="false" customHeight="true" outlineLevel="0" collapsed="false">
      <c r="A939" s="8" t="s">
        <v>226</v>
      </c>
      <c r="B939" s="8" t="s">
        <v>566</v>
      </c>
      <c r="C939" s="8" t="n">
        <v>3</v>
      </c>
      <c r="D939" s="8" t="n">
        <v>62.4</v>
      </c>
      <c r="E939" s="8" t="n">
        <v>0</v>
      </c>
      <c r="F939" s="8" t="n">
        <v>0</v>
      </c>
    </row>
    <row r="940" customFormat="false" ht="15" hidden="false" customHeight="true" outlineLevel="0" collapsed="false">
      <c r="A940" s="8" t="s">
        <v>197</v>
      </c>
      <c r="B940" s="8" t="s">
        <v>1222</v>
      </c>
      <c r="C940" s="8" t="n">
        <v>1</v>
      </c>
      <c r="D940" s="8" t="n">
        <v>65</v>
      </c>
      <c r="E940" s="8" t="n">
        <v>0</v>
      </c>
      <c r="F940" s="8" t="n">
        <v>0</v>
      </c>
    </row>
    <row r="941" customFormat="false" ht="15" hidden="false" customHeight="true" outlineLevel="0" collapsed="false">
      <c r="A941" s="8" t="s">
        <v>207</v>
      </c>
      <c r="B941" s="8" t="s">
        <v>1222</v>
      </c>
      <c r="C941" s="8" t="n">
        <v>1</v>
      </c>
      <c r="D941" s="8" t="n">
        <v>65</v>
      </c>
      <c r="E941" s="8" t="n">
        <v>0</v>
      </c>
      <c r="F941" s="8" t="n">
        <v>0</v>
      </c>
    </row>
    <row r="942" customFormat="false" ht="15" hidden="false" customHeight="true" outlineLevel="0" collapsed="false">
      <c r="A942" s="8" t="s">
        <v>163</v>
      </c>
      <c r="B942" s="8" t="s">
        <v>897</v>
      </c>
      <c r="C942" s="8" t="n">
        <v>3</v>
      </c>
      <c r="D942" s="8" t="n">
        <v>195</v>
      </c>
      <c r="E942" s="8" t="n">
        <v>0</v>
      </c>
      <c r="F942" s="8" t="n">
        <v>0</v>
      </c>
    </row>
    <row r="943" customFormat="false" ht="15" hidden="false" customHeight="true" outlineLevel="0" collapsed="false">
      <c r="A943" s="8" t="s">
        <v>165</v>
      </c>
      <c r="B943" s="8" t="s">
        <v>897</v>
      </c>
      <c r="C943" s="8" t="n">
        <v>1</v>
      </c>
      <c r="D943" s="8" t="n">
        <v>65</v>
      </c>
      <c r="E943" s="8" t="n">
        <v>0</v>
      </c>
      <c r="F943" s="8" t="n">
        <v>0</v>
      </c>
    </row>
    <row r="944" customFormat="false" ht="15" hidden="false" customHeight="true" outlineLevel="0" collapsed="false">
      <c r="A944" s="8" t="s">
        <v>175</v>
      </c>
      <c r="B944" s="8" t="s">
        <v>1244</v>
      </c>
      <c r="C944" s="8" t="n">
        <v>1</v>
      </c>
      <c r="D944" s="8" t="n">
        <v>175.5</v>
      </c>
      <c r="E944" s="8" t="n">
        <v>0</v>
      </c>
      <c r="F944" s="8" t="n">
        <v>0</v>
      </c>
    </row>
    <row r="945" customFormat="false" ht="15" hidden="false" customHeight="true" outlineLevel="0" collapsed="false">
      <c r="A945" s="8" t="s">
        <v>173</v>
      </c>
      <c r="B945" s="8" t="s">
        <v>1244</v>
      </c>
      <c r="C945" s="8" t="n">
        <v>1</v>
      </c>
      <c r="D945" s="8" t="n">
        <v>175.5</v>
      </c>
      <c r="E945" s="8" t="n">
        <v>0</v>
      </c>
      <c r="F945" s="8" t="n">
        <v>0</v>
      </c>
    </row>
    <row r="946" customFormat="false" ht="15" hidden="false" customHeight="true" outlineLevel="0" collapsed="false">
      <c r="A946" s="8" t="s">
        <v>190</v>
      </c>
      <c r="B946" s="8" t="s">
        <v>1224</v>
      </c>
      <c r="C946" s="8" t="n">
        <v>2</v>
      </c>
      <c r="D946" s="8" t="n">
        <v>48.86</v>
      </c>
      <c r="E946" s="8" t="n">
        <v>0</v>
      </c>
      <c r="F946" s="8" t="n">
        <v>0</v>
      </c>
    </row>
    <row r="947" customFormat="false" ht="15" hidden="false" customHeight="true" outlineLevel="0" collapsed="false">
      <c r="A947" s="8" t="s">
        <v>183</v>
      </c>
      <c r="B947" s="8" t="s">
        <v>1224</v>
      </c>
      <c r="C947" s="8" t="n">
        <v>6</v>
      </c>
      <c r="D947" s="8" t="n">
        <v>146.58</v>
      </c>
      <c r="E947" s="8" t="n">
        <v>0</v>
      </c>
      <c r="F947" s="8" t="n">
        <v>0</v>
      </c>
    </row>
    <row r="948" customFormat="false" ht="15" hidden="false" customHeight="true" outlineLevel="0" collapsed="false">
      <c r="A948" s="8" t="s">
        <v>218</v>
      </c>
      <c r="B948" s="8" t="s">
        <v>1224</v>
      </c>
      <c r="C948" s="8" t="n">
        <v>2</v>
      </c>
      <c r="D948" s="8" t="n">
        <v>48.86</v>
      </c>
      <c r="E948" s="8" t="n">
        <v>0</v>
      </c>
      <c r="F948" s="8" t="n">
        <v>0</v>
      </c>
    </row>
    <row r="949" customFormat="false" ht="15" hidden="false" customHeight="true" outlineLevel="0" collapsed="false">
      <c r="A949" s="8" t="s">
        <v>231</v>
      </c>
      <c r="B949" s="8" t="s">
        <v>1224</v>
      </c>
      <c r="C949" s="8" t="n">
        <v>2</v>
      </c>
      <c r="D949" s="8" t="n">
        <v>48.86</v>
      </c>
      <c r="E949" s="8" t="n">
        <v>0</v>
      </c>
      <c r="F949" s="8" t="n">
        <v>0</v>
      </c>
    </row>
    <row r="950" customFormat="false" ht="15" hidden="false" customHeight="true" outlineLevel="0" collapsed="false">
      <c r="A950" s="8" t="s">
        <v>286</v>
      </c>
      <c r="B950" s="8" t="s">
        <v>1269</v>
      </c>
      <c r="C950" s="8" t="n">
        <v>6</v>
      </c>
      <c r="D950" s="8" t="n">
        <v>66</v>
      </c>
      <c r="E950" s="8" t="n">
        <v>0</v>
      </c>
      <c r="F950" s="8" t="n">
        <v>0</v>
      </c>
    </row>
    <row r="951" customFormat="false" ht="15" hidden="false" customHeight="true" outlineLevel="0" collapsed="false">
      <c r="A951" s="8" t="s">
        <v>289</v>
      </c>
      <c r="B951" s="8" t="s">
        <v>1270</v>
      </c>
      <c r="C951" s="8" t="n">
        <v>6</v>
      </c>
      <c r="D951" s="8" t="n">
        <v>66</v>
      </c>
      <c r="E951" s="8" t="n">
        <v>0</v>
      </c>
      <c r="F951" s="8" t="n">
        <v>0</v>
      </c>
    </row>
    <row r="952" customFormat="false" ht="15" hidden="false" customHeight="true" outlineLevel="0" collapsed="false">
      <c r="A952" s="8" t="s">
        <v>161</v>
      </c>
      <c r="B952" s="8" t="s">
        <v>1208</v>
      </c>
      <c r="C952" s="8" t="n">
        <v>1</v>
      </c>
      <c r="D952" s="8" t="n">
        <v>45.5</v>
      </c>
      <c r="E952" s="8" t="n">
        <v>0</v>
      </c>
      <c r="F952" s="8" t="n">
        <v>0</v>
      </c>
    </row>
    <row r="953" customFormat="false" ht="15" hidden="false" customHeight="true" outlineLevel="0" collapsed="false">
      <c r="A953" s="8" t="s">
        <v>162</v>
      </c>
      <c r="B953" s="8" t="s">
        <v>1209</v>
      </c>
      <c r="C953" s="8" t="n">
        <v>1</v>
      </c>
      <c r="D953" s="8" t="n">
        <v>77.8</v>
      </c>
      <c r="E953" s="8" t="n">
        <v>0</v>
      </c>
      <c r="F953" s="8" t="n">
        <v>0</v>
      </c>
    </row>
    <row r="954" customFormat="false" ht="15" hidden="false" customHeight="true" outlineLevel="0" collapsed="false">
      <c r="A954" s="8" t="s">
        <v>186</v>
      </c>
      <c r="B954" s="8" t="s">
        <v>1225</v>
      </c>
      <c r="C954" s="8" t="n">
        <v>2</v>
      </c>
      <c r="D954" s="8" t="n">
        <v>57.86</v>
      </c>
      <c r="E954" s="8" t="n">
        <v>0</v>
      </c>
      <c r="F954" s="8" t="n">
        <v>0</v>
      </c>
    </row>
    <row r="955" customFormat="false" ht="15" hidden="false" customHeight="true" outlineLevel="0" collapsed="false">
      <c r="A955" s="8" t="s">
        <v>239</v>
      </c>
      <c r="B955" s="8" t="s">
        <v>1225</v>
      </c>
      <c r="C955" s="8" t="n">
        <v>1</v>
      </c>
      <c r="D955" s="8" t="n">
        <v>28.93</v>
      </c>
      <c r="E955" s="8" t="n">
        <v>0</v>
      </c>
      <c r="F955" s="8" t="n">
        <v>0</v>
      </c>
    </row>
    <row r="956" customFormat="false" ht="15" hidden="false" customHeight="true" outlineLevel="0" collapsed="false">
      <c r="A956" s="8" t="s">
        <v>241</v>
      </c>
      <c r="B956" s="8" t="s">
        <v>1227</v>
      </c>
      <c r="C956" s="8" t="n">
        <v>1</v>
      </c>
      <c r="D956" s="8" t="n">
        <v>17</v>
      </c>
      <c r="E956" s="8" t="n">
        <v>0</v>
      </c>
      <c r="F956" s="8" t="n">
        <v>0</v>
      </c>
    </row>
    <row r="957" customFormat="false" ht="15" hidden="false" customHeight="true" outlineLevel="0" collapsed="false">
      <c r="A957" s="8" t="s">
        <v>219</v>
      </c>
      <c r="B957" s="8" t="s">
        <v>1227</v>
      </c>
      <c r="C957" s="8" t="n">
        <v>1</v>
      </c>
      <c r="D957" s="8" t="n">
        <v>17</v>
      </c>
      <c r="E957" s="8" t="n">
        <v>0</v>
      </c>
      <c r="F957" s="8" t="n">
        <v>0</v>
      </c>
    </row>
    <row r="958" customFormat="false" ht="15" hidden="false" customHeight="true" outlineLevel="0" collapsed="false">
      <c r="A958" s="8" t="s">
        <v>223</v>
      </c>
      <c r="B958" s="8" t="s">
        <v>1227</v>
      </c>
      <c r="C958" s="8" t="n">
        <v>2</v>
      </c>
      <c r="D958" s="8" t="n">
        <v>34</v>
      </c>
      <c r="E958" s="8" t="n">
        <v>0</v>
      </c>
      <c r="F958" s="8" t="n">
        <v>0</v>
      </c>
    </row>
    <row r="959" customFormat="false" ht="15" hidden="false" customHeight="true" outlineLevel="0" collapsed="false">
      <c r="A959" s="8" t="s">
        <v>266</v>
      </c>
      <c r="B959" s="8" t="s">
        <v>1228</v>
      </c>
      <c r="C959" s="8" t="n">
        <v>0</v>
      </c>
      <c r="D959" s="8" t="n">
        <v>0</v>
      </c>
      <c r="E959" s="8" t="n">
        <v>2</v>
      </c>
      <c r="F959" s="8" t="n">
        <v>39.84</v>
      </c>
    </row>
    <row r="960" customFormat="false" ht="15" hidden="false" customHeight="true" outlineLevel="0" collapsed="false">
      <c r="A960" s="8" t="s">
        <v>202</v>
      </c>
      <c r="B960" s="8" t="s">
        <v>1212</v>
      </c>
      <c r="C960" s="8" t="n">
        <v>1</v>
      </c>
      <c r="D960" s="8" t="n">
        <v>9.5</v>
      </c>
      <c r="E960" s="8" t="n">
        <v>3</v>
      </c>
      <c r="F960" s="8" t="n">
        <v>28.5</v>
      </c>
    </row>
    <row r="961" customFormat="false" ht="15" hidden="false" customHeight="true" outlineLevel="0" collapsed="false">
      <c r="A961" s="8" t="s">
        <v>251</v>
      </c>
      <c r="B961" s="8" t="s">
        <v>1262</v>
      </c>
      <c r="C961" s="8" t="n">
        <v>0</v>
      </c>
      <c r="D961" s="8" t="n">
        <v>0</v>
      </c>
      <c r="E961" s="8" t="n">
        <v>2</v>
      </c>
      <c r="F961" s="8" t="n">
        <v>19.42</v>
      </c>
    </row>
    <row r="962" customFormat="false" ht="15" hidden="false" customHeight="true" outlineLevel="0" collapsed="false">
      <c r="A962" s="8" t="s">
        <v>172</v>
      </c>
      <c r="B962" s="8" t="s">
        <v>1214</v>
      </c>
      <c r="C962" s="8" t="n">
        <v>4</v>
      </c>
      <c r="D962" s="8" t="n">
        <v>48.72</v>
      </c>
      <c r="E962" s="8" t="n">
        <v>0</v>
      </c>
      <c r="F962" s="8" t="n">
        <v>0</v>
      </c>
    </row>
    <row r="963" customFormat="false" ht="15" hidden="false" customHeight="true" outlineLevel="0" collapsed="false">
      <c r="A963" s="8" t="s">
        <v>213</v>
      </c>
      <c r="B963" s="8" t="s">
        <v>1232</v>
      </c>
      <c r="C963" s="8" t="n">
        <v>4</v>
      </c>
      <c r="D963" s="8" t="n">
        <v>110.2</v>
      </c>
      <c r="E963" s="8" t="n">
        <v>0</v>
      </c>
      <c r="F963" s="8" t="n">
        <v>0</v>
      </c>
    </row>
    <row r="964" customFormat="false" ht="15" hidden="false" customHeight="true" outlineLevel="0" collapsed="false">
      <c r="A964" s="8" t="s">
        <v>288</v>
      </c>
      <c r="B964" s="8" t="s">
        <v>939</v>
      </c>
      <c r="C964" s="8" t="n">
        <v>0</v>
      </c>
      <c r="D964" s="8" t="n">
        <v>0</v>
      </c>
      <c r="E964" s="8" t="n">
        <v>2</v>
      </c>
      <c r="F964" s="8" t="n">
        <v>40.48</v>
      </c>
    </row>
    <row r="965" customFormat="false" ht="15" hidden="false" customHeight="true" outlineLevel="0" collapsed="false">
      <c r="A965" s="8" t="s">
        <v>217</v>
      </c>
      <c r="B965" s="8" t="s">
        <v>1237</v>
      </c>
      <c r="C965" s="8" t="n">
        <v>3</v>
      </c>
      <c r="D965" s="8" t="n">
        <v>55.2</v>
      </c>
      <c r="E965" s="8" t="n">
        <v>0</v>
      </c>
      <c r="F965" s="8" t="n">
        <v>0</v>
      </c>
    </row>
    <row r="966" customFormat="false" ht="15" hidden="false" customHeight="true" outlineLevel="0" collapsed="false">
      <c r="A966" s="8" t="s">
        <v>168</v>
      </c>
      <c r="B966" s="8" t="s">
        <v>1240</v>
      </c>
      <c r="C966" s="8" t="n">
        <v>6</v>
      </c>
      <c r="D966" s="8" t="n">
        <v>250.86</v>
      </c>
      <c r="E966" s="8" t="n">
        <v>0</v>
      </c>
      <c r="F966" s="8" t="n">
        <v>0</v>
      </c>
    </row>
    <row r="967" customFormat="false" ht="15" hidden="false" customHeight="true" outlineLevel="0" collapsed="false">
      <c r="A967" s="8" t="s">
        <v>169</v>
      </c>
      <c r="B967" s="8" t="s">
        <v>1240</v>
      </c>
      <c r="C967" s="8" t="n">
        <v>4</v>
      </c>
      <c r="D967" s="8" t="n">
        <v>167.24</v>
      </c>
      <c r="E967" s="8" t="n">
        <v>0</v>
      </c>
      <c r="F967" s="8" t="n">
        <v>0</v>
      </c>
    </row>
    <row r="968" customFormat="false" ht="15" hidden="false" customHeight="true" outlineLevel="0" collapsed="false">
      <c r="A968" s="8" t="s">
        <v>180</v>
      </c>
      <c r="B968" s="8" t="s">
        <v>1216</v>
      </c>
      <c r="C968" s="8" t="n">
        <v>7</v>
      </c>
      <c r="D968" s="8" t="n">
        <v>115.5</v>
      </c>
      <c r="E968" s="8" t="n">
        <v>2</v>
      </c>
      <c r="F968" s="8" t="n">
        <v>33</v>
      </c>
    </row>
    <row r="969" customFormat="false" ht="15" hidden="false" customHeight="true" outlineLevel="0" collapsed="false">
      <c r="A969" s="8" t="s">
        <v>189</v>
      </c>
      <c r="B969" s="8" t="s">
        <v>1216</v>
      </c>
      <c r="C969" s="8" t="n">
        <v>1</v>
      </c>
      <c r="D969" s="8" t="n">
        <v>16.5</v>
      </c>
      <c r="E969" s="8" t="n">
        <v>2</v>
      </c>
      <c r="F969" s="8" t="n">
        <v>33</v>
      </c>
    </row>
    <row r="970" customFormat="false" ht="15" hidden="false" customHeight="true" outlineLevel="0" collapsed="false">
      <c r="A970" s="8" t="s">
        <v>267</v>
      </c>
      <c r="B970" s="8" t="s">
        <v>1216</v>
      </c>
      <c r="C970" s="8" t="n">
        <v>0</v>
      </c>
      <c r="D970" s="8" t="n">
        <v>0</v>
      </c>
      <c r="E970" s="8" t="n">
        <v>2</v>
      </c>
      <c r="F970" s="8" t="n">
        <v>33</v>
      </c>
    </row>
    <row r="971" customFormat="false" ht="15" hidden="false" customHeight="true" outlineLevel="0" collapsed="false">
      <c r="A971" s="8" t="s">
        <v>199</v>
      </c>
      <c r="B971" s="8" t="s">
        <v>1216</v>
      </c>
      <c r="C971" s="8" t="n">
        <v>0</v>
      </c>
      <c r="D971" s="8" t="n">
        <v>0</v>
      </c>
      <c r="E971" s="8" t="n">
        <v>1</v>
      </c>
      <c r="F971" s="8" t="n">
        <v>16.5</v>
      </c>
    </row>
    <row r="972" customFormat="false" ht="15" hidden="false" customHeight="true" outlineLevel="0" collapsed="false">
      <c r="A972" s="8" t="s">
        <v>250</v>
      </c>
      <c r="B972" s="8" t="s">
        <v>1216</v>
      </c>
      <c r="C972" s="8" t="n">
        <v>0</v>
      </c>
      <c r="D972" s="8" t="n">
        <v>0</v>
      </c>
      <c r="E972" s="8" t="n">
        <v>4</v>
      </c>
      <c r="F972" s="8" t="n">
        <v>66</v>
      </c>
    </row>
    <row r="973" customFormat="false" ht="15" hidden="false" customHeight="true" outlineLevel="0" collapsed="false">
      <c r="A973" s="8" t="s">
        <v>198</v>
      </c>
      <c r="B973" s="8" t="s">
        <v>1217</v>
      </c>
      <c r="C973" s="8" t="n">
        <v>2</v>
      </c>
      <c r="D973" s="8" t="n">
        <v>41</v>
      </c>
      <c r="E973" s="8" t="n">
        <v>0</v>
      </c>
      <c r="F973" s="8" t="n">
        <v>0</v>
      </c>
    </row>
    <row r="974" customFormat="false" ht="15" hidden="false" customHeight="true" outlineLevel="0" collapsed="false">
      <c r="A974" s="8" t="s">
        <v>193</v>
      </c>
      <c r="B974" s="8" t="s">
        <v>1217</v>
      </c>
      <c r="C974" s="8" t="n">
        <v>2</v>
      </c>
      <c r="D974" s="8" t="n">
        <v>41</v>
      </c>
      <c r="E974" s="8" t="n">
        <v>0</v>
      </c>
      <c r="F974" s="8" t="n">
        <v>0</v>
      </c>
    </row>
    <row r="975" customFormat="false" ht="15" hidden="false" customHeight="true" outlineLevel="0" collapsed="false">
      <c r="A975" s="8" t="s">
        <v>302</v>
      </c>
      <c r="B975" s="8" t="s">
        <v>1217</v>
      </c>
      <c r="C975" s="8" t="n">
        <v>2</v>
      </c>
      <c r="D975" s="8" t="n">
        <v>41</v>
      </c>
      <c r="E975" s="8" t="n">
        <v>2</v>
      </c>
      <c r="F975" s="8" t="n">
        <v>41</v>
      </c>
    </row>
    <row r="976" customFormat="false" ht="15" hidden="false" customHeight="true" outlineLevel="0" collapsed="false">
      <c r="A976" s="8" t="s">
        <v>205</v>
      </c>
      <c r="B976" s="8" t="s">
        <v>1217</v>
      </c>
      <c r="C976" s="8" t="n">
        <v>4</v>
      </c>
      <c r="D976" s="8" t="n">
        <v>82</v>
      </c>
      <c r="E976" s="8" t="n">
        <v>0</v>
      </c>
      <c r="F976" s="8" t="n">
        <v>0</v>
      </c>
    </row>
    <row r="977" customFormat="false" ht="15" hidden="false" customHeight="true" outlineLevel="0" collapsed="false">
      <c r="A977" s="8" t="s">
        <v>256</v>
      </c>
      <c r="B977" s="8" t="s">
        <v>1217</v>
      </c>
      <c r="C977" s="8" t="n">
        <v>1</v>
      </c>
      <c r="D977" s="8" t="n">
        <v>20.5</v>
      </c>
      <c r="E977" s="8" t="n">
        <v>0</v>
      </c>
      <c r="F977" s="8" t="n">
        <v>0</v>
      </c>
    </row>
    <row r="978" customFormat="false" ht="15" hidden="false" customHeight="true" outlineLevel="0" collapsed="false">
      <c r="A978" s="8" t="s">
        <v>369</v>
      </c>
      <c r="B978" s="8" t="s">
        <v>767</v>
      </c>
      <c r="C978" s="8" t="n">
        <v>1</v>
      </c>
      <c r="D978" s="8" t="n">
        <v>21</v>
      </c>
      <c r="E978" s="8" t="n">
        <v>0</v>
      </c>
      <c r="F978" s="8" t="n">
        <v>0</v>
      </c>
    </row>
    <row r="979" customFormat="false" ht="15" hidden="false" customHeight="true" outlineLevel="0" collapsed="false">
      <c r="A979" s="8" t="s">
        <v>178</v>
      </c>
      <c r="B979" s="8" t="s">
        <v>1236</v>
      </c>
      <c r="C979" s="8" t="n">
        <v>2</v>
      </c>
      <c r="D979" s="8" t="n">
        <v>70</v>
      </c>
      <c r="E979" s="8" t="n">
        <v>0</v>
      </c>
      <c r="F979" s="8" t="n">
        <v>0</v>
      </c>
    </row>
    <row r="980" customFormat="false" ht="15" hidden="false" customHeight="true" outlineLevel="0" collapsed="false">
      <c r="A980" s="8" t="s">
        <v>176</v>
      </c>
      <c r="B980" s="8" t="s">
        <v>1236</v>
      </c>
      <c r="C980" s="8" t="n">
        <v>1</v>
      </c>
      <c r="D980" s="8" t="n">
        <v>35</v>
      </c>
      <c r="E980" s="8" t="n">
        <v>0</v>
      </c>
      <c r="F980" s="8" t="n">
        <v>0</v>
      </c>
    </row>
    <row r="981" customFormat="false" ht="15" hidden="false" customHeight="true" outlineLevel="0" collapsed="false">
      <c r="A981" s="8" t="s">
        <v>179</v>
      </c>
      <c r="B981" s="8" t="s">
        <v>1218</v>
      </c>
      <c r="C981" s="8" t="n">
        <v>0</v>
      </c>
      <c r="D981" s="8" t="n">
        <v>0</v>
      </c>
      <c r="E981" s="8" t="n">
        <v>1</v>
      </c>
      <c r="F981" s="8" t="n">
        <v>126.5</v>
      </c>
    </row>
    <row r="982" customFormat="false" ht="15" hidden="false" customHeight="true" outlineLevel="0" collapsed="false">
      <c r="A982" s="8" t="s">
        <v>240</v>
      </c>
      <c r="B982" s="8" t="s">
        <v>769</v>
      </c>
      <c r="C982" s="8" t="n">
        <v>1</v>
      </c>
      <c r="D982" s="8" t="n">
        <v>17</v>
      </c>
      <c r="E982" s="8" t="n">
        <v>0</v>
      </c>
      <c r="F982" s="8" t="n">
        <v>0</v>
      </c>
    </row>
    <row r="983" customFormat="false" ht="15" hidden="false" customHeight="true" outlineLevel="0" collapsed="false">
      <c r="A983" s="8" t="s">
        <v>234</v>
      </c>
      <c r="B983" s="8" t="s">
        <v>769</v>
      </c>
      <c r="C983" s="8" t="n">
        <v>2</v>
      </c>
      <c r="D983" s="8" t="n">
        <v>34</v>
      </c>
      <c r="E983" s="8" t="n">
        <v>0</v>
      </c>
      <c r="F983" s="8" t="n">
        <v>0</v>
      </c>
    </row>
    <row r="984" customFormat="false" ht="15" hidden="false" customHeight="true" outlineLevel="0" collapsed="false">
      <c r="A984" s="8" t="s">
        <v>247</v>
      </c>
      <c r="B984" s="8" t="s">
        <v>769</v>
      </c>
      <c r="C984" s="8" t="n">
        <v>0</v>
      </c>
      <c r="D984" s="8" t="n">
        <v>0</v>
      </c>
      <c r="E984" s="8" t="n">
        <v>2</v>
      </c>
      <c r="F984" s="8" t="n">
        <v>34</v>
      </c>
    </row>
    <row r="985" customFormat="false" ht="15" hidden="false" customHeight="true" outlineLevel="0" collapsed="false">
      <c r="A985" s="8" t="s">
        <v>182</v>
      </c>
      <c r="B985" s="8" t="s">
        <v>799</v>
      </c>
      <c r="C985" s="8" t="n">
        <v>2</v>
      </c>
      <c r="D985" s="8" t="n">
        <v>40</v>
      </c>
      <c r="E985" s="8" t="n">
        <v>0</v>
      </c>
      <c r="F985" s="8" t="n">
        <v>0</v>
      </c>
    </row>
    <row r="986" customFormat="false" ht="15" hidden="false" customHeight="true" outlineLevel="0" collapsed="false">
      <c r="A986" s="8" t="s">
        <v>170</v>
      </c>
      <c r="B986" s="8" t="s">
        <v>1220</v>
      </c>
      <c r="C986" s="8" t="n">
        <v>6</v>
      </c>
      <c r="D986" s="8" t="n">
        <v>88.8</v>
      </c>
      <c r="E986" s="8" t="n">
        <v>0</v>
      </c>
      <c r="F986" s="8" t="n">
        <v>0</v>
      </c>
    </row>
    <row r="987" customFormat="false" ht="15" hidden="false" customHeight="true" outlineLevel="0" collapsed="false">
      <c r="A987" s="8" t="s">
        <v>167</v>
      </c>
      <c r="B987" s="8" t="s">
        <v>1238</v>
      </c>
      <c r="C987" s="8" t="n">
        <v>9</v>
      </c>
      <c r="D987" s="8" t="n">
        <v>120.6</v>
      </c>
      <c r="E987" s="8" t="n">
        <v>0</v>
      </c>
      <c r="F987" s="8" t="n">
        <v>0</v>
      </c>
    </row>
    <row r="988" customFormat="false" ht="15" hidden="false" customHeight="true" outlineLevel="0" collapsed="false">
      <c r="A988" s="8" t="s">
        <v>220</v>
      </c>
      <c r="B988" s="8" t="s">
        <v>1248</v>
      </c>
      <c r="C988" s="8" t="n">
        <v>19</v>
      </c>
      <c r="D988" s="8" t="n">
        <v>197.6</v>
      </c>
      <c r="E988" s="8" t="n">
        <v>0</v>
      </c>
      <c r="F988" s="8" t="n">
        <v>0</v>
      </c>
    </row>
    <row r="989" customFormat="false" ht="15" hidden="false" customHeight="true" outlineLevel="0" collapsed="false">
      <c r="A989" s="8" t="s">
        <v>275</v>
      </c>
      <c r="B989" s="8" t="s">
        <v>1257</v>
      </c>
      <c r="C989" s="8" t="n">
        <v>0</v>
      </c>
      <c r="D989" s="8" t="n">
        <v>0</v>
      </c>
      <c r="E989" s="8" t="n">
        <v>5</v>
      </c>
      <c r="F989" s="8" t="n">
        <v>108</v>
      </c>
    </row>
    <row r="990" customFormat="false" ht="15" hidden="false" customHeight="true" outlineLevel="0" collapsed="false">
      <c r="A990" s="8" t="s">
        <v>233</v>
      </c>
      <c r="B990" s="8" t="s">
        <v>1249</v>
      </c>
      <c r="C990" s="8" t="n">
        <v>0</v>
      </c>
      <c r="D990" s="8" t="n">
        <v>0</v>
      </c>
      <c r="E990" s="8" t="n">
        <v>4</v>
      </c>
      <c r="F990" s="8" t="n">
        <v>71.8</v>
      </c>
    </row>
    <row r="991" customFormat="false" ht="15" hidden="false" customHeight="true" outlineLevel="0" collapsed="false">
      <c r="A991" s="8" t="s">
        <v>252</v>
      </c>
      <c r="B991" s="8" t="s">
        <v>1177</v>
      </c>
      <c r="C991" s="8" t="n">
        <v>2</v>
      </c>
      <c r="D991" s="8" t="n">
        <v>33.2</v>
      </c>
      <c r="E991" s="8" t="n">
        <v>0</v>
      </c>
      <c r="F991" s="8" t="n">
        <v>0</v>
      </c>
    </row>
    <row r="992" customFormat="false" ht="15" hidden="false" customHeight="true" outlineLevel="0" collapsed="false">
      <c r="A992" s="8" t="s">
        <v>203</v>
      </c>
      <c r="B992" s="8" t="s">
        <v>1177</v>
      </c>
      <c r="C992" s="8" t="n">
        <v>9</v>
      </c>
      <c r="D992" s="8" t="n">
        <v>166.5</v>
      </c>
      <c r="E992" s="8" t="n">
        <v>0</v>
      </c>
      <c r="F992" s="8" t="n">
        <v>0</v>
      </c>
    </row>
    <row r="993" customFormat="false" ht="15" hidden="false" customHeight="true" outlineLevel="0" collapsed="false">
      <c r="A993" s="8" t="s">
        <v>248</v>
      </c>
      <c r="B993" s="8" t="s">
        <v>1242</v>
      </c>
      <c r="C993" s="8" t="n">
        <v>2</v>
      </c>
      <c r="D993" s="8" t="n">
        <v>42</v>
      </c>
      <c r="E993" s="8" t="n">
        <v>0</v>
      </c>
      <c r="F993" s="8" t="n">
        <v>0</v>
      </c>
    </row>
    <row r="994" customFormat="false" ht="15" hidden="false" customHeight="true" outlineLevel="0" collapsed="false">
      <c r="A994" s="8" t="s">
        <v>196</v>
      </c>
      <c r="B994" s="8" t="s">
        <v>1243</v>
      </c>
      <c r="C994" s="8" t="n">
        <v>2</v>
      </c>
      <c r="D994" s="8" t="n">
        <v>107</v>
      </c>
      <c r="E994" s="8" t="n">
        <v>0</v>
      </c>
      <c r="F994" s="8" t="n">
        <v>0</v>
      </c>
    </row>
    <row r="995" customFormat="false" ht="15" hidden="false" customHeight="true" outlineLevel="0" collapsed="false">
      <c r="A995" s="8" t="s">
        <v>312</v>
      </c>
      <c r="B995" s="8" t="s">
        <v>767</v>
      </c>
      <c r="C995" s="8" t="n">
        <v>2</v>
      </c>
      <c r="D995" s="8" t="n">
        <v>41</v>
      </c>
      <c r="E995" s="8" t="n">
        <v>0</v>
      </c>
      <c r="F995" s="8" t="n">
        <v>0</v>
      </c>
    </row>
    <row r="996" customFormat="false" ht="15" hidden="false" customHeight="true" outlineLevel="0" collapsed="false">
      <c r="A996" s="8" t="s">
        <v>226</v>
      </c>
      <c r="B996" s="8" t="s">
        <v>566</v>
      </c>
      <c r="C996" s="8" t="n">
        <v>4</v>
      </c>
      <c r="D996" s="8" t="n">
        <v>83.2</v>
      </c>
      <c r="E996" s="8" t="n">
        <v>0</v>
      </c>
      <c r="F996" s="8" t="n">
        <v>0</v>
      </c>
    </row>
    <row r="997" customFormat="false" ht="15" hidden="false" customHeight="true" outlineLevel="0" collapsed="false">
      <c r="A997" s="8" t="s">
        <v>161</v>
      </c>
      <c r="B997" s="8" t="s">
        <v>1208</v>
      </c>
      <c r="C997" s="8" t="n">
        <v>5</v>
      </c>
      <c r="D997" s="8" t="n">
        <v>227.5</v>
      </c>
      <c r="E997" s="8" t="n">
        <v>0</v>
      </c>
      <c r="F997" s="8" t="n">
        <v>0</v>
      </c>
    </row>
    <row r="998" customFormat="false" ht="15" hidden="false" customHeight="true" outlineLevel="0" collapsed="false">
      <c r="A998" s="8" t="s">
        <v>266</v>
      </c>
      <c r="B998" s="8" t="s">
        <v>1228</v>
      </c>
      <c r="C998" s="8" t="n">
        <v>4</v>
      </c>
      <c r="D998" s="8" t="n">
        <v>79.68</v>
      </c>
      <c r="E998" s="8" t="n">
        <v>0</v>
      </c>
      <c r="F998" s="8" t="n">
        <v>0</v>
      </c>
    </row>
    <row r="999" customFormat="false" ht="15" hidden="false" customHeight="true" outlineLevel="0" collapsed="false">
      <c r="A999" s="8" t="s">
        <v>269</v>
      </c>
      <c r="B999" s="8" t="s">
        <v>1231</v>
      </c>
      <c r="C999" s="8" t="n">
        <v>5</v>
      </c>
      <c r="D999" s="8" t="n">
        <v>56.65</v>
      </c>
      <c r="E999" s="8" t="n">
        <v>0</v>
      </c>
      <c r="F999" s="8" t="n">
        <v>0</v>
      </c>
    </row>
    <row r="1000" customFormat="false" ht="15" hidden="false" customHeight="true" outlineLevel="0" collapsed="false">
      <c r="A1000" s="8" t="s">
        <v>168</v>
      </c>
      <c r="B1000" s="8" t="s">
        <v>1240</v>
      </c>
      <c r="C1000" s="8" t="n">
        <v>1</v>
      </c>
      <c r="D1000" s="8" t="n">
        <v>41.81</v>
      </c>
      <c r="E1000" s="8" t="n">
        <v>0</v>
      </c>
      <c r="F1000" s="8" t="n">
        <v>0</v>
      </c>
    </row>
    <row r="1001" customFormat="false" ht="15" hidden="false" customHeight="true" outlineLevel="0" collapsed="false">
      <c r="A1001" s="8" t="s">
        <v>169</v>
      </c>
      <c r="B1001" s="8" t="s">
        <v>1240</v>
      </c>
      <c r="C1001" s="8" t="n">
        <v>2</v>
      </c>
      <c r="D1001" s="8" t="n">
        <v>83.62</v>
      </c>
      <c r="E1001" s="8" t="n">
        <v>0</v>
      </c>
      <c r="F1001" s="8" t="n">
        <v>0</v>
      </c>
    </row>
    <row r="1002" customFormat="false" ht="15" hidden="false" customHeight="true" outlineLevel="0" collapsed="false">
      <c r="A1002" s="8" t="s">
        <v>167</v>
      </c>
      <c r="B1002" s="8" t="s">
        <v>1238</v>
      </c>
      <c r="C1002" s="8" t="n">
        <v>20</v>
      </c>
      <c r="D1002" s="8" t="n">
        <v>268</v>
      </c>
      <c r="E1002" s="8" t="n">
        <v>0</v>
      </c>
      <c r="F1002" s="8" t="n">
        <v>0</v>
      </c>
    </row>
    <row r="1003" customFormat="false" ht="15" hidden="false" customHeight="true" outlineLevel="0" collapsed="false">
      <c r="A1003" s="8" t="s">
        <v>311</v>
      </c>
      <c r="B1003" s="8" t="s">
        <v>1282</v>
      </c>
      <c r="C1003" s="8" t="n">
        <v>2</v>
      </c>
      <c r="D1003" s="8" t="n">
        <v>214.18</v>
      </c>
      <c r="E1003" s="8" t="n">
        <v>0</v>
      </c>
      <c r="F1003" s="8" t="n">
        <v>0</v>
      </c>
    </row>
    <row r="1004" customFormat="false" ht="15" hidden="false" customHeight="true" outlineLevel="0" collapsed="false">
      <c r="A1004" s="8" t="s">
        <v>190</v>
      </c>
      <c r="B1004" s="8" t="s">
        <v>1224</v>
      </c>
      <c r="C1004" s="8" t="n">
        <v>3</v>
      </c>
      <c r="D1004" s="8" t="n">
        <v>73.29</v>
      </c>
      <c r="E1004" s="8" t="n">
        <v>0</v>
      </c>
      <c r="F1004" s="8" t="n">
        <v>0</v>
      </c>
    </row>
    <row r="1005" customFormat="false" ht="15" hidden="false" customHeight="true" outlineLevel="0" collapsed="false">
      <c r="A1005" s="8" t="s">
        <v>162</v>
      </c>
      <c r="B1005" s="8" t="s">
        <v>1209</v>
      </c>
      <c r="C1005" s="8" t="n">
        <v>10</v>
      </c>
      <c r="D1005" s="8" t="n">
        <v>778</v>
      </c>
      <c r="E1005" s="8" t="n">
        <v>0</v>
      </c>
      <c r="F1005" s="8" t="n">
        <v>0</v>
      </c>
    </row>
    <row r="1006" customFormat="false" ht="15" hidden="false" customHeight="true" outlineLevel="0" collapsed="false">
      <c r="A1006" s="8" t="s">
        <v>239</v>
      </c>
      <c r="B1006" s="8" t="s">
        <v>1225</v>
      </c>
      <c r="C1006" s="8" t="n">
        <v>9</v>
      </c>
      <c r="D1006" s="8" t="n">
        <v>260.37</v>
      </c>
      <c r="E1006" s="8" t="n">
        <v>0</v>
      </c>
      <c r="F1006" s="8" t="n">
        <v>0</v>
      </c>
    </row>
    <row r="1007" customFormat="false" ht="15" hidden="false" customHeight="true" outlineLevel="0" collapsed="false">
      <c r="A1007" s="8" t="s">
        <v>201</v>
      </c>
      <c r="B1007" s="8" t="s">
        <v>1226</v>
      </c>
      <c r="C1007" s="8" t="n">
        <v>4</v>
      </c>
      <c r="D1007" s="8" t="n">
        <v>168.68</v>
      </c>
      <c r="E1007" s="8" t="n">
        <v>0</v>
      </c>
      <c r="F1007" s="8" t="n">
        <v>0</v>
      </c>
    </row>
    <row r="1008" customFormat="false" ht="15" hidden="false" customHeight="true" outlineLevel="0" collapsed="false">
      <c r="A1008" s="8" t="s">
        <v>241</v>
      </c>
      <c r="B1008" s="8" t="s">
        <v>1227</v>
      </c>
      <c r="C1008" s="8" t="n">
        <v>0</v>
      </c>
      <c r="D1008" s="8" t="n">
        <v>0</v>
      </c>
      <c r="E1008" s="8" t="n">
        <v>4</v>
      </c>
      <c r="F1008" s="8" t="n">
        <v>68</v>
      </c>
    </row>
    <row r="1009" customFormat="false" ht="15" hidden="false" customHeight="true" outlineLevel="0" collapsed="false">
      <c r="A1009" s="8" t="s">
        <v>219</v>
      </c>
      <c r="B1009" s="8" t="s">
        <v>1227</v>
      </c>
      <c r="C1009" s="8" t="n">
        <v>5</v>
      </c>
      <c r="D1009" s="8" t="n">
        <v>85</v>
      </c>
      <c r="E1009" s="8" t="n">
        <v>0</v>
      </c>
      <c r="F1009" s="8" t="n">
        <v>0</v>
      </c>
    </row>
    <row r="1010" customFormat="false" ht="15" hidden="false" customHeight="true" outlineLevel="0" collapsed="false">
      <c r="A1010" s="8" t="s">
        <v>223</v>
      </c>
      <c r="B1010" s="8" t="s">
        <v>1227</v>
      </c>
      <c r="C1010" s="8" t="n">
        <v>5</v>
      </c>
      <c r="D1010" s="8" t="n">
        <v>85</v>
      </c>
      <c r="E1010" s="8" t="n">
        <v>0</v>
      </c>
      <c r="F1010" s="8" t="n">
        <v>0</v>
      </c>
    </row>
    <row r="1011" customFormat="false" ht="15" hidden="false" customHeight="true" outlineLevel="0" collapsed="false">
      <c r="A1011" s="8" t="s">
        <v>180</v>
      </c>
      <c r="B1011" s="8" t="s">
        <v>1216</v>
      </c>
      <c r="C1011" s="8" t="n">
        <v>3</v>
      </c>
      <c r="D1011" s="8" t="n">
        <v>49.5</v>
      </c>
      <c r="E1011" s="8" t="n">
        <v>0</v>
      </c>
      <c r="F1011" s="8" t="n">
        <v>0</v>
      </c>
    </row>
    <row r="1012" customFormat="false" ht="15" hidden="false" customHeight="true" outlineLevel="0" collapsed="false">
      <c r="A1012" s="8" t="s">
        <v>189</v>
      </c>
      <c r="B1012" s="8" t="s">
        <v>1216</v>
      </c>
      <c r="C1012" s="8" t="n">
        <v>5</v>
      </c>
      <c r="D1012" s="8" t="n">
        <v>82.5</v>
      </c>
      <c r="E1012" s="8" t="n">
        <v>0</v>
      </c>
      <c r="F1012" s="8" t="n">
        <v>0</v>
      </c>
    </row>
    <row r="1013" customFormat="false" ht="15" hidden="false" customHeight="true" outlineLevel="0" collapsed="false">
      <c r="A1013" s="8" t="s">
        <v>199</v>
      </c>
      <c r="B1013" s="8" t="s">
        <v>1216</v>
      </c>
      <c r="C1013" s="8" t="n">
        <v>9</v>
      </c>
      <c r="D1013" s="8" t="n">
        <v>148.5</v>
      </c>
      <c r="E1013" s="8" t="n">
        <v>0</v>
      </c>
      <c r="F1013" s="8" t="n">
        <v>0</v>
      </c>
    </row>
    <row r="1014" customFormat="false" ht="15" hidden="false" customHeight="true" outlineLevel="0" collapsed="false">
      <c r="A1014" s="8" t="s">
        <v>193</v>
      </c>
      <c r="B1014" s="8" t="s">
        <v>1217</v>
      </c>
      <c r="C1014" s="8" t="n">
        <v>8</v>
      </c>
      <c r="D1014" s="8" t="n">
        <v>164</v>
      </c>
      <c r="E1014" s="8" t="n">
        <v>0</v>
      </c>
      <c r="F1014" s="8" t="n">
        <v>0</v>
      </c>
    </row>
    <row r="1015" customFormat="false" ht="15" hidden="false" customHeight="true" outlineLevel="0" collapsed="false">
      <c r="A1015" s="8" t="s">
        <v>205</v>
      </c>
      <c r="B1015" s="8" t="s">
        <v>1217</v>
      </c>
      <c r="C1015" s="8" t="n">
        <v>3</v>
      </c>
      <c r="D1015" s="8" t="n">
        <v>61.5</v>
      </c>
      <c r="E1015" s="8" t="n">
        <v>0</v>
      </c>
      <c r="F1015" s="8" t="n">
        <v>0</v>
      </c>
    </row>
    <row r="1016" customFormat="false" ht="15" hidden="false" customHeight="true" outlineLevel="0" collapsed="false">
      <c r="A1016" s="8" t="s">
        <v>178</v>
      </c>
      <c r="B1016" s="8" t="s">
        <v>1236</v>
      </c>
      <c r="C1016" s="8" t="n">
        <v>6</v>
      </c>
      <c r="D1016" s="8" t="n">
        <v>210</v>
      </c>
      <c r="E1016" s="8" t="n">
        <v>0</v>
      </c>
      <c r="F1016" s="8" t="n">
        <v>0</v>
      </c>
    </row>
    <row r="1017" customFormat="false" ht="15" hidden="false" customHeight="true" outlineLevel="0" collapsed="false">
      <c r="A1017" s="8" t="s">
        <v>224</v>
      </c>
      <c r="B1017" s="8" t="s">
        <v>1236</v>
      </c>
      <c r="C1017" s="8" t="n">
        <v>6</v>
      </c>
      <c r="D1017" s="8" t="n">
        <v>210</v>
      </c>
      <c r="E1017" s="8" t="n">
        <v>0</v>
      </c>
      <c r="F1017" s="8" t="n">
        <v>0</v>
      </c>
    </row>
    <row r="1018" customFormat="false" ht="15" hidden="false" customHeight="true" outlineLevel="0" collapsed="false">
      <c r="A1018" s="8" t="s">
        <v>170</v>
      </c>
      <c r="B1018" s="8" t="s">
        <v>1220</v>
      </c>
      <c r="C1018" s="8" t="n">
        <v>6</v>
      </c>
      <c r="D1018" s="8" t="n">
        <v>88.8</v>
      </c>
      <c r="E1018" s="8" t="n">
        <v>0</v>
      </c>
      <c r="F1018" s="8" t="n">
        <v>0</v>
      </c>
    </row>
    <row r="1019" customFormat="false" ht="15" hidden="false" customHeight="true" outlineLevel="0" collapsed="false">
      <c r="A1019" s="8" t="s">
        <v>220</v>
      </c>
      <c r="B1019" s="8" t="s">
        <v>1248</v>
      </c>
      <c r="C1019" s="8" t="n">
        <v>0</v>
      </c>
      <c r="D1019" s="8" t="n">
        <v>0</v>
      </c>
      <c r="E1019" s="8" t="n">
        <v>12</v>
      </c>
      <c r="F1019" s="8" t="n">
        <v>124.8</v>
      </c>
    </row>
    <row r="1020" customFormat="false" ht="15" hidden="false" customHeight="true" outlineLevel="0" collapsed="false">
      <c r="A1020" s="8" t="s">
        <v>312</v>
      </c>
      <c r="B1020" s="8" t="s">
        <v>767</v>
      </c>
      <c r="C1020" s="8" t="n">
        <v>2</v>
      </c>
      <c r="D1020" s="8" t="n">
        <v>41</v>
      </c>
      <c r="E1020" s="8" t="n">
        <v>0</v>
      </c>
      <c r="F1020" s="8" t="n">
        <v>0</v>
      </c>
    </row>
    <row r="1021" customFormat="false" ht="15" hidden="false" customHeight="true" outlineLevel="0" collapsed="false">
      <c r="A1021" s="8" t="s">
        <v>262</v>
      </c>
      <c r="B1021" s="8" t="s">
        <v>1267</v>
      </c>
      <c r="C1021" s="8" t="n">
        <v>4</v>
      </c>
      <c r="D1021" s="8" t="n">
        <v>514.84</v>
      </c>
      <c r="E1021" s="8" t="n">
        <v>0</v>
      </c>
      <c r="F1021" s="8" t="n">
        <v>0</v>
      </c>
    </row>
    <row r="1022" customFormat="false" ht="15" hidden="false" customHeight="true" outlineLevel="0" collapsed="false">
      <c r="A1022" s="8" t="s">
        <v>197</v>
      </c>
      <c r="B1022" s="8" t="s">
        <v>1222</v>
      </c>
      <c r="C1022" s="8" t="n">
        <v>2</v>
      </c>
      <c r="D1022" s="8" t="n">
        <v>130</v>
      </c>
      <c r="E1022" s="8" t="n">
        <v>2</v>
      </c>
      <c r="F1022" s="8" t="n">
        <v>130</v>
      </c>
    </row>
    <row r="1023" customFormat="false" ht="15" hidden="false" customHeight="true" outlineLevel="0" collapsed="false">
      <c r="A1023" s="8" t="s">
        <v>207</v>
      </c>
      <c r="B1023" s="8" t="s">
        <v>1222</v>
      </c>
      <c r="C1023" s="8" t="n">
        <v>1</v>
      </c>
      <c r="D1023" s="8" t="n">
        <v>65</v>
      </c>
      <c r="E1023" s="8" t="n">
        <v>0</v>
      </c>
      <c r="F1023" s="8" t="n">
        <v>0</v>
      </c>
    </row>
    <row r="1024" customFormat="false" ht="15" hidden="false" customHeight="true" outlineLevel="0" collapsed="false">
      <c r="A1024" s="8" t="s">
        <v>358</v>
      </c>
      <c r="B1024" s="8" t="s">
        <v>1280</v>
      </c>
      <c r="C1024" s="8" t="n">
        <v>1</v>
      </c>
      <c r="D1024" s="8" t="n">
        <v>65</v>
      </c>
      <c r="E1024" s="8" t="n">
        <v>0</v>
      </c>
      <c r="F1024" s="8" t="n">
        <v>0</v>
      </c>
    </row>
    <row r="1025" customFormat="false" ht="15" hidden="false" customHeight="true" outlineLevel="0" collapsed="false">
      <c r="A1025" s="8" t="s">
        <v>163</v>
      </c>
      <c r="B1025" s="8" t="s">
        <v>897</v>
      </c>
      <c r="C1025" s="8" t="n">
        <v>22</v>
      </c>
      <c r="D1025" s="8" t="n">
        <v>1430</v>
      </c>
      <c r="E1025" s="8" t="n">
        <v>0</v>
      </c>
      <c r="F1025" s="8" t="n">
        <v>0</v>
      </c>
    </row>
    <row r="1026" customFormat="false" ht="15" hidden="false" customHeight="true" outlineLevel="0" collapsed="false">
      <c r="A1026" s="8" t="s">
        <v>181</v>
      </c>
      <c r="B1026" s="8" t="s">
        <v>897</v>
      </c>
      <c r="C1026" s="8" t="n">
        <v>5</v>
      </c>
      <c r="D1026" s="8" t="n">
        <v>325</v>
      </c>
      <c r="E1026" s="8" t="n">
        <v>0</v>
      </c>
      <c r="F1026" s="8" t="n">
        <v>0</v>
      </c>
    </row>
    <row r="1027" customFormat="false" ht="15" hidden="false" customHeight="true" outlineLevel="0" collapsed="false">
      <c r="A1027" s="8" t="s">
        <v>165</v>
      </c>
      <c r="B1027" s="8" t="s">
        <v>897</v>
      </c>
      <c r="C1027" s="8" t="n">
        <v>10</v>
      </c>
      <c r="D1027" s="8" t="n">
        <v>650</v>
      </c>
      <c r="E1027" s="8" t="n">
        <v>0</v>
      </c>
      <c r="F1027" s="8" t="n">
        <v>0</v>
      </c>
    </row>
    <row r="1028" customFormat="false" ht="15" hidden="false" customHeight="true" outlineLevel="0" collapsed="false">
      <c r="A1028" s="8" t="s">
        <v>184</v>
      </c>
      <c r="B1028" s="8" t="s">
        <v>897</v>
      </c>
      <c r="C1028" s="8" t="n">
        <v>5</v>
      </c>
      <c r="D1028" s="8" t="n">
        <v>325</v>
      </c>
      <c r="E1028" s="8" t="n">
        <v>0</v>
      </c>
      <c r="F1028" s="8" t="n">
        <v>0</v>
      </c>
    </row>
    <row r="1029" customFormat="false" ht="15" hidden="false" customHeight="true" outlineLevel="0" collapsed="false">
      <c r="A1029" s="8" t="s">
        <v>175</v>
      </c>
      <c r="B1029" s="8" t="s">
        <v>1244</v>
      </c>
      <c r="C1029" s="8" t="n">
        <v>2</v>
      </c>
      <c r="D1029" s="8" t="n">
        <v>351</v>
      </c>
      <c r="E1029" s="8" t="n">
        <v>0</v>
      </c>
      <c r="F1029" s="8" t="n">
        <v>0</v>
      </c>
    </row>
    <row r="1030" customFormat="false" ht="15" hidden="false" customHeight="true" outlineLevel="0" collapsed="false">
      <c r="A1030" s="8" t="s">
        <v>230</v>
      </c>
      <c r="B1030" s="8" t="s">
        <v>1244</v>
      </c>
      <c r="C1030" s="8" t="n">
        <v>1</v>
      </c>
      <c r="D1030" s="8" t="n">
        <v>175.5</v>
      </c>
      <c r="E1030" s="8" t="n">
        <v>0</v>
      </c>
      <c r="F1030" s="8" t="n">
        <v>0</v>
      </c>
    </row>
    <row r="1031" customFormat="false" ht="15" hidden="false" customHeight="true" outlineLevel="0" collapsed="false">
      <c r="A1031" s="8" t="s">
        <v>173</v>
      </c>
      <c r="B1031" s="8" t="s">
        <v>1244</v>
      </c>
      <c r="C1031" s="8" t="n">
        <v>4</v>
      </c>
      <c r="D1031" s="8" t="n">
        <v>702</v>
      </c>
      <c r="E1031" s="8" t="n">
        <v>0</v>
      </c>
      <c r="F1031" s="8" t="n">
        <v>0</v>
      </c>
    </row>
    <row r="1032" customFormat="false" ht="15" hidden="false" customHeight="true" outlineLevel="0" collapsed="false">
      <c r="A1032" s="8" t="s">
        <v>177</v>
      </c>
      <c r="B1032" s="8" t="s">
        <v>1244</v>
      </c>
      <c r="C1032" s="8" t="n">
        <v>1</v>
      </c>
      <c r="D1032" s="8" t="n">
        <v>175.5</v>
      </c>
      <c r="E1032" s="8" t="n">
        <v>0</v>
      </c>
      <c r="F1032" s="8" t="n">
        <v>0</v>
      </c>
    </row>
    <row r="1033" customFormat="false" ht="15" hidden="false" customHeight="true" outlineLevel="0" collapsed="false">
      <c r="A1033" s="8" t="s">
        <v>208</v>
      </c>
      <c r="B1033" s="8" t="s">
        <v>1179</v>
      </c>
      <c r="C1033" s="8" t="n">
        <v>1</v>
      </c>
      <c r="D1033" s="8" t="n">
        <v>72.34</v>
      </c>
      <c r="E1033" s="8" t="n">
        <v>0</v>
      </c>
      <c r="F1033" s="8" t="n">
        <v>0</v>
      </c>
    </row>
    <row r="1034" customFormat="false" ht="15" hidden="false" customHeight="true" outlineLevel="0" collapsed="false">
      <c r="A1034" s="8" t="s">
        <v>221</v>
      </c>
      <c r="B1034" s="8" t="s">
        <v>1179</v>
      </c>
      <c r="C1034" s="8" t="n">
        <v>1</v>
      </c>
      <c r="D1034" s="8" t="n">
        <v>72.34</v>
      </c>
      <c r="E1034" s="8" t="n">
        <v>0</v>
      </c>
      <c r="F1034" s="8" t="n">
        <v>0</v>
      </c>
    </row>
    <row r="1035" customFormat="false" ht="15" hidden="false" customHeight="true" outlineLevel="0" collapsed="false">
      <c r="A1035" s="8" t="s">
        <v>245</v>
      </c>
      <c r="B1035" s="8" t="s">
        <v>1179</v>
      </c>
      <c r="C1035" s="8" t="n">
        <v>3</v>
      </c>
      <c r="D1035" s="8" t="n">
        <v>217.02</v>
      </c>
      <c r="E1035" s="8" t="n">
        <v>0</v>
      </c>
      <c r="F1035" s="8" t="n">
        <v>0</v>
      </c>
    </row>
    <row r="1036" customFormat="false" ht="15" hidden="false" customHeight="true" outlineLevel="0" collapsed="false">
      <c r="A1036" s="8" t="s">
        <v>191</v>
      </c>
      <c r="B1036" s="8" t="s">
        <v>1179</v>
      </c>
      <c r="C1036" s="8" t="n">
        <v>4</v>
      </c>
      <c r="D1036" s="8" t="n">
        <v>289.36</v>
      </c>
      <c r="E1036" s="8" t="n">
        <v>0</v>
      </c>
      <c r="F1036" s="8" t="n">
        <v>0</v>
      </c>
    </row>
    <row r="1037" customFormat="false" ht="15" hidden="false" customHeight="true" outlineLevel="0" collapsed="false">
      <c r="A1037" s="8" t="s">
        <v>204</v>
      </c>
      <c r="B1037" s="8" t="s">
        <v>1179</v>
      </c>
      <c r="C1037" s="8" t="n">
        <v>4</v>
      </c>
      <c r="D1037" s="8" t="n">
        <v>289.36</v>
      </c>
      <c r="E1037" s="8" t="n">
        <v>0</v>
      </c>
      <c r="F1037" s="8" t="n">
        <v>0</v>
      </c>
    </row>
    <row r="1038" customFormat="false" ht="15" hidden="false" customHeight="true" outlineLevel="0" collapsed="false">
      <c r="A1038" s="8" t="s">
        <v>305</v>
      </c>
      <c r="B1038" s="8" t="s">
        <v>1268</v>
      </c>
      <c r="C1038" s="8" t="n">
        <v>1</v>
      </c>
      <c r="D1038" s="8" t="n">
        <v>113.58</v>
      </c>
      <c r="E1038" s="8" t="n">
        <v>0</v>
      </c>
      <c r="F1038" s="8" t="n">
        <v>0</v>
      </c>
    </row>
    <row r="1039" customFormat="false" ht="15" hidden="false" customHeight="true" outlineLevel="0" collapsed="false">
      <c r="A1039" s="8" t="s">
        <v>291</v>
      </c>
      <c r="B1039" s="8" t="s">
        <v>1286</v>
      </c>
      <c r="C1039" s="8" t="n">
        <v>3</v>
      </c>
      <c r="D1039" s="8" t="n">
        <v>194.67</v>
      </c>
      <c r="E1039" s="8" t="n">
        <v>0</v>
      </c>
      <c r="F1039" s="8" t="n">
        <v>0</v>
      </c>
    </row>
    <row r="1040" customFormat="false" ht="15" hidden="false" customHeight="true" outlineLevel="0" collapsed="false">
      <c r="A1040" s="8" t="s">
        <v>339</v>
      </c>
      <c r="B1040" s="8" t="s">
        <v>1286</v>
      </c>
      <c r="C1040" s="8" t="n">
        <v>4</v>
      </c>
      <c r="D1040" s="8" t="n">
        <v>259.56</v>
      </c>
      <c r="E1040" s="8" t="n">
        <v>0</v>
      </c>
      <c r="F1040" s="8" t="n">
        <v>0</v>
      </c>
    </row>
    <row r="1041" customFormat="false" ht="15" hidden="false" customHeight="true" outlineLevel="0" collapsed="false">
      <c r="A1041" s="8" t="s">
        <v>190</v>
      </c>
      <c r="B1041" s="8" t="s">
        <v>1224</v>
      </c>
      <c r="C1041" s="8" t="n">
        <v>7</v>
      </c>
      <c r="D1041" s="8" t="n">
        <v>171.01</v>
      </c>
      <c r="E1041" s="8" t="n">
        <v>2</v>
      </c>
      <c r="F1041" s="8" t="n">
        <v>48.86</v>
      </c>
    </row>
    <row r="1042" customFormat="false" ht="15" hidden="false" customHeight="true" outlineLevel="0" collapsed="false">
      <c r="A1042" s="8" t="s">
        <v>183</v>
      </c>
      <c r="B1042" s="8" t="s">
        <v>1224</v>
      </c>
      <c r="C1042" s="8" t="n">
        <v>11</v>
      </c>
      <c r="D1042" s="8" t="n">
        <v>268.73</v>
      </c>
      <c r="E1042" s="8" t="n">
        <v>6</v>
      </c>
      <c r="F1042" s="8" t="n">
        <v>146.58</v>
      </c>
    </row>
    <row r="1043" customFormat="false" ht="15" hidden="false" customHeight="true" outlineLevel="0" collapsed="false">
      <c r="A1043" s="8" t="s">
        <v>218</v>
      </c>
      <c r="B1043" s="8" t="s">
        <v>1224</v>
      </c>
      <c r="C1043" s="8" t="n">
        <v>3</v>
      </c>
      <c r="D1043" s="8" t="n">
        <v>73.29</v>
      </c>
      <c r="E1043" s="8" t="n">
        <v>1</v>
      </c>
      <c r="F1043" s="8" t="n">
        <v>24.43</v>
      </c>
    </row>
    <row r="1044" customFormat="false" ht="15" hidden="false" customHeight="true" outlineLevel="0" collapsed="false">
      <c r="A1044" s="8" t="s">
        <v>231</v>
      </c>
      <c r="B1044" s="8" t="s">
        <v>1224</v>
      </c>
      <c r="C1044" s="8" t="n">
        <v>3</v>
      </c>
      <c r="D1044" s="8" t="n">
        <v>73.29</v>
      </c>
      <c r="E1044" s="8" t="n">
        <v>0</v>
      </c>
      <c r="F1044" s="8" t="n">
        <v>0</v>
      </c>
    </row>
    <row r="1045" customFormat="false" ht="15" hidden="false" customHeight="true" outlineLevel="0" collapsed="false">
      <c r="A1045" s="8" t="s">
        <v>161</v>
      </c>
      <c r="B1045" s="8" t="s">
        <v>1208</v>
      </c>
      <c r="C1045" s="8" t="n">
        <v>18</v>
      </c>
      <c r="D1045" s="8" t="n">
        <v>819</v>
      </c>
      <c r="E1045" s="8" t="n">
        <v>0</v>
      </c>
      <c r="F1045" s="8" t="n">
        <v>0</v>
      </c>
    </row>
    <row r="1046" customFormat="false" ht="15" hidden="false" customHeight="true" outlineLevel="0" collapsed="false">
      <c r="A1046" s="8" t="s">
        <v>162</v>
      </c>
      <c r="B1046" s="8" t="s">
        <v>1209</v>
      </c>
      <c r="C1046" s="8" t="n">
        <v>18</v>
      </c>
      <c r="D1046" s="8" t="n">
        <v>1400.4</v>
      </c>
      <c r="E1046" s="8" t="n">
        <v>2</v>
      </c>
      <c r="F1046" s="8" t="n">
        <v>155.6</v>
      </c>
    </row>
    <row r="1047" customFormat="false" ht="15" hidden="false" customHeight="true" outlineLevel="0" collapsed="false">
      <c r="A1047" s="8" t="s">
        <v>171</v>
      </c>
      <c r="B1047" s="8" t="s">
        <v>1210</v>
      </c>
      <c r="C1047" s="8" t="n">
        <v>1</v>
      </c>
      <c r="D1047" s="8" t="n">
        <v>47.23</v>
      </c>
      <c r="E1047" s="8" t="n">
        <v>0</v>
      </c>
      <c r="F1047" s="8" t="n">
        <v>0</v>
      </c>
    </row>
    <row r="1048" customFormat="false" ht="15" hidden="false" customHeight="true" outlineLevel="0" collapsed="false">
      <c r="A1048" s="8" t="s">
        <v>166</v>
      </c>
      <c r="B1048" s="8" t="s">
        <v>1211</v>
      </c>
      <c r="C1048" s="8" t="n">
        <v>4</v>
      </c>
      <c r="D1048" s="8" t="n">
        <v>253.08</v>
      </c>
      <c r="E1048" s="8" t="n">
        <v>0</v>
      </c>
      <c r="F1048" s="8" t="n">
        <v>0</v>
      </c>
    </row>
    <row r="1049" customFormat="false" ht="15" hidden="false" customHeight="true" outlineLevel="0" collapsed="false">
      <c r="A1049" s="8" t="s">
        <v>164</v>
      </c>
      <c r="B1049" s="8" t="s">
        <v>1211</v>
      </c>
      <c r="C1049" s="8" t="n">
        <v>1</v>
      </c>
      <c r="D1049" s="8" t="n">
        <v>63.27</v>
      </c>
      <c r="E1049" s="8" t="n">
        <v>1</v>
      </c>
      <c r="F1049" s="8" t="n">
        <v>63.27</v>
      </c>
    </row>
    <row r="1050" customFormat="false" ht="15" hidden="false" customHeight="true" outlineLevel="0" collapsed="false">
      <c r="A1050" s="8" t="s">
        <v>270</v>
      </c>
      <c r="B1050" s="8" t="s">
        <v>1251</v>
      </c>
      <c r="C1050" s="8" t="n">
        <v>8</v>
      </c>
      <c r="D1050" s="8" t="n">
        <v>78.56</v>
      </c>
      <c r="E1050" s="8" t="n">
        <v>0</v>
      </c>
      <c r="F1050" s="8" t="n">
        <v>0</v>
      </c>
    </row>
    <row r="1051" customFormat="false" ht="15" hidden="false" customHeight="true" outlineLevel="0" collapsed="false">
      <c r="A1051" s="8" t="s">
        <v>307</v>
      </c>
      <c r="B1051" s="8" t="s">
        <v>1252</v>
      </c>
      <c r="C1051" s="8" t="n">
        <v>8</v>
      </c>
      <c r="D1051" s="8" t="n">
        <v>114.24</v>
      </c>
      <c r="E1051" s="8" t="n">
        <v>0</v>
      </c>
      <c r="F1051" s="8" t="n">
        <v>0</v>
      </c>
    </row>
    <row r="1052" customFormat="false" ht="15" hidden="false" customHeight="true" outlineLevel="0" collapsed="false">
      <c r="A1052" s="8" t="s">
        <v>263</v>
      </c>
      <c r="B1052" s="8" t="s">
        <v>407</v>
      </c>
      <c r="C1052" s="8" t="n">
        <v>6</v>
      </c>
      <c r="D1052" s="8" t="n">
        <v>76.92</v>
      </c>
      <c r="E1052" s="8" t="n">
        <v>2</v>
      </c>
      <c r="F1052" s="8" t="n">
        <v>25.64</v>
      </c>
    </row>
    <row r="1053" customFormat="false" ht="15" hidden="false" customHeight="true" outlineLevel="0" collapsed="false">
      <c r="A1053" s="8" t="s">
        <v>206</v>
      </c>
      <c r="B1053" s="8" t="s">
        <v>1288</v>
      </c>
      <c r="C1053" s="8" t="n">
        <v>3</v>
      </c>
      <c r="D1053" s="8" t="n">
        <v>292.05</v>
      </c>
      <c r="E1053" s="8" t="n">
        <v>0</v>
      </c>
      <c r="F1053" s="8" t="n">
        <v>0</v>
      </c>
    </row>
    <row r="1054" customFormat="false" ht="15" hidden="false" customHeight="true" outlineLevel="0" collapsed="false">
      <c r="A1054" s="8" t="s">
        <v>188</v>
      </c>
      <c r="B1054" s="8" t="s">
        <v>1225</v>
      </c>
      <c r="C1054" s="8" t="n">
        <v>9</v>
      </c>
      <c r="D1054" s="8" t="n">
        <v>260.37</v>
      </c>
      <c r="E1054" s="8" t="n">
        <v>7</v>
      </c>
      <c r="F1054" s="8" t="n">
        <v>202.51</v>
      </c>
    </row>
    <row r="1055" customFormat="false" ht="15" hidden="false" customHeight="true" outlineLevel="0" collapsed="false">
      <c r="A1055" s="8" t="s">
        <v>186</v>
      </c>
      <c r="B1055" s="8" t="s">
        <v>1225</v>
      </c>
      <c r="C1055" s="8" t="n">
        <v>2</v>
      </c>
      <c r="D1055" s="8" t="n">
        <v>57.86</v>
      </c>
      <c r="E1055" s="8" t="n">
        <v>0</v>
      </c>
      <c r="F1055" s="8" t="n">
        <v>0</v>
      </c>
    </row>
    <row r="1056" customFormat="false" ht="15" hidden="false" customHeight="true" outlineLevel="0" collapsed="false">
      <c r="A1056" s="8" t="s">
        <v>210</v>
      </c>
      <c r="B1056" s="8" t="s">
        <v>1225</v>
      </c>
      <c r="C1056" s="8" t="n">
        <v>2</v>
      </c>
      <c r="D1056" s="8" t="n">
        <v>57.86</v>
      </c>
      <c r="E1056" s="8" t="n">
        <v>0</v>
      </c>
      <c r="F1056" s="8" t="n">
        <v>0</v>
      </c>
    </row>
    <row r="1057" customFormat="false" ht="15" hidden="false" customHeight="true" outlineLevel="0" collapsed="false">
      <c r="A1057" s="8" t="s">
        <v>278</v>
      </c>
      <c r="B1057" s="8" t="s">
        <v>1225</v>
      </c>
      <c r="C1057" s="8" t="n">
        <v>2</v>
      </c>
      <c r="D1057" s="8" t="n">
        <v>57.86</v>
      </c>
      <c r="E1057" s="8" t="n">
        <v>0</v>
      </c>
      <c r="F1057" s="8" t="n">
        <v>0</v>
      </c>
    </row>
    <row r="1058" customFormat="false" ht="15" hidden="false" customHeight="true" outlineLevel="0" collapsed="false">
      <c r="A1058" s="8" t="s">
        <v>238</v>
      </c>
      <c r="B1058" s="8" t="s">
        <v>1226</v>
      </c>
      <c r="C1058" s="8" t="n">
        <v>4</v>
      </c>
      <c r="D1058" s="8" t="n">
        <v>168.68</v>
      </c>
      <c r="E1058" s="8" t="n">
        <v>0</v>
      </c>
      <c r="F1058" s="8" t="n">
        <v>0</v>
      </c>
    </row>
    <row r="1059" customFormat="false" ht="15" hidden="false" customHeight="true" outlineLevel="0" collapsed="false">
      <c r="A1059" s="8" t="s">
        <v>201</v>
      </c>
      <c r="B1059" s="8" t="s">
        <v>1226</v>
      </c>
      <c r="C1059" s="8" t="n">
        <v>5</v>
      </c>
      <c r="D1059" s="8" t="n">
        <v>210.85</v>
      </c>
      <c r="E1059" s="8" t="n">
        <v>0</v>
      </c>
      <c r="F1059" s="8" t="n">
        <v>0</v>
      </c>
    </row>
    <row r="1060" customFormat="false" ht="15" hidden="false" customHeight="true" outlineLevel="0" collapsed="false">
      <c r="A1060" s="8" t="s">
        <v>214</v>
      </c>
      <c r="B1060" s="8" t="s">
        <v>1226</v>
      </c>
      <c r="C1060" s="8" t="n">
        <v>0</v>
      </c>
      <c r="D1060" s="8" t="n">
        <v>0</v>
      </c>
      <c r="E1060" s="8" t="n">
        <v>1</v>
      </c>
      <c r="F1060" s="8" t="n">
        <v>42.17</v>
      </c>
    </row>
    <row r="1061" customFormat="false" ht="15" hidden="false" customHeight="true" outlineLevel="0" collapsed="false">
      <c r="A1061" s="8" t="s">
        <v>309</v>
      </c>
      <c r="B1061" s="8" t="s">
        <v>1226</v>
      </c>
      <c r="C1061" s="8" t="n">
        <v>2</v>
      </c>
      <c r="D1061" s="8" t="n">
        <v>84.34</v>
      </c>
      <c r="E1061" s="8" t="n">
        <v>0</v>
      </c>
      <c r="F1061" s="8" t="n">
        <v>0</v>
      </c>
    </row>
    <row r="1062" customFormat="false" ht="15" hidden="false" customHeight="true" outlineLevel="0" collapsed="false">
      <c r="A1062" s="8" t="s">
        <v>241</v>
      </c>
      <c r="B1062" s="8" t="s">
        <v>1227</v>
      </c>
      <c r="C1062" s="8" t="n">
        <v>8</v>
      </c>
      <c r="D1062" s="8" t="n">
        <v>136</v>
      </c>
      <c r="E1062" s="8" t="n">
        <v>2</v>
      </c>
      <c r="F1062" s="8" t="n">
        <v>34</v>
      </c>
    </row>
    <row r="1063" customFormat="false" ht="15" hidden="false" customHeight="true" outlineLevel="0" collapsed="false">
      <c r="A1063" s="8" t="s">
        <v>219</v>
      </c>
      <c r="B1063" s="8" t="s">
        <v>1227</v>
      </c>
      <c r="C1063" s="8" t="n">
        <v>1</v>
      </c>
      <c r="D1063" s="8" t="n">
        <v>17</v>
      </c>
      <c r="E1063" s="8" t="n">
        <v>0</v>
      </c>
      <c r="F1063" s="8" t="n">
        <v>0</v>
      </c>
    </row>
    <row r="1064" customFormat="false" ht="15" hidden="false" customHeight="true" outlineLevel="0" collapsed="false">
      <c r="A1064" s="8" t="s">
        <v>292</v>
      </c>
      <c r="B1064" s="8" t="s">
        <v>1227</v>
      </c>
      <c r="C1064" s="8" t="n">
        <v>6</v>
      </c>
      <c r="D1064" s="8" t="n">
        <v>102</v>
      </c>
      <c r="E1064" s="8" t="n">
        <v>0</v>
      </c>
      <c r="F1064" s="8" t="n">
        <v>0</v>
      </c>
    </row>
    <row r="1065" customFormat="false" ht="15" hidden="false" customHeight="true" outlineLevel="0" collapsed="false">
      <c r="A1065" s="8" t="s">
        <v>223</v>
      </c>
      <c r="B1065" s="8" t="s">
        <v>1227</v>
      </c>
      <c r="C1065" s="8" t="n">
        <v>0</v>
      </c>
      <c r="D1065" s="8" t="n">
        <v>0</v>
      </c>
      <c r="E1065" s="8" t="n">
        <v>2</v>
      </c>
      <c r="F1065" s="8" t="n">
        <v>34</v>
      </c>
    </row>
    <row r="1066" customFormat="false" ht="15" hidden="false" customHeight="true" outlineLevel="0" collapsed="false">
      <c r="A1066" s="8" t="s">
        <v>229</v>
      </c>
      <c r="B1066" s="8" t="s">
        <v>881</v>
      </c>
      <c r="C1066" s="8" t="n">
        <v>6</v>
      </c>
      <c r="D1066" s="8" t="n">
        <v>247.2</v>
      </c>
      <c r="E1066" s="8" t="n">
        <v>0</v>
      </c>
      <c r="F1066" s="8" t="n">
        <v>0</v>
      </c>
    </row>
    <row r="1067" customFormat="false" ht="15" hidden="false" customHeight="true" outlineLevel="0" collapsed="false">
      <c r="A1067" s="8" t="s">
        <v>237</v>
      </c>
      <c r="B1067" s="8" t="s">
        <v>1259</v>
      </c>
      <c r="C1067" s="8" t="n">
        <v>5</v>
      </c>
      <c r="D1067" s="8" t="n">
        <v>92.25</v>
      </c>
      <c r="E1067" s="8" t="n">
        <v>0</v>
      </c>
      <c r="F1067" s="8" t="n">
        <v>0</v>
      </c>
    </row>
    <row r="1068" customFormat="false" ht="15" hidden="false" customHeight="true" outlineLevel="0" collapsed="false">
      <c r="A1068" s="8" t="s">
        <v>266</v>
      </c>
      <c r="B1068" s="8" t="s">
        <v>1228</v>
      </c>
      <c r="C1068" s="8" t="n">
        <v>4</v>
      </c>
      <c r="D1068" s="8" t="n">
        <v>79.68</v>
      </c>
      <c r="E1068" s="8" t="n">
        <v>0</v>
      </c>
      <c r="F1068" s="8" t="n">
        <v>0</v>
      </c>
    </row>
    <row r="1069" customFormat="false" ht="15" hidden="false" customHeight="true" outlineLevel="0" collapsed="false">
      <c r="A1069" s="8" t="s">
        <v>246</v>
      </c>
      <c r="B1069" s="8" t="s">
        <v>1261</v>
      </c>
      <c r="C1069" s="8" t="n">
        <v>6</v>
      </c>
      <c r="D1069" s="8" t="n">
        <v>104.1</v>
      </c>
      <c r="E1069" s="8" t="n">
        <v>1</v>
      </c>
      <c r="F1069" s="8" t="n">
        <v>17.35</v>
      </c>
    </row>
    <row r="1070" customFormat="false" ht="15" hidden="false" customHeight="true" outlineLevel="0" collapsed="false">
      <c r="A1070" s="8" t="s">
        <v>202</v>
      </c>
      <c r="B1070" s="8" t="s">
        <v>1212</v>
      </c>
      <c r="C1070" s="8" t="n">
        <v>20</v>
      </c>
      <c r="D1070" s="8" t="n">
        <v>190</v>
      </c>
      <c r="E1070" s="8" t="n">
        <v>0</v>
      </c>
      <c r="F1070" s="8" t="n">
        <v>0</v>
      </c>
    </row>
    <row r="1071" customFormat="false" ht="15" hidden="false" customHeight="true" outlineLevel="0" collapsed="false">
      <c r="A1071" s="8" t="s">
        <v>244</v>
      </c>
      <c r="B1071" s="8" t="s">
        <v>1213</v>
      </c>
      <c r="C1071" s="8" t="n">
        <v>6</v>
      </c>
      <c r="D1071" s="8" t="n">
        <v>57</v>
      </c>
      <c r="E1071" s="8" t="n">
        <v>4</v>
      </c>
      <c r="F1071" s="8" t="n">
        <v>38</v>
      </c>
    </row>
    <row r="1072" customFormat="false" ht="15" hidden="false" customHeight="true" outlineLevel="0" collapsed="false">
      <c r="A1072" s="8" t="s">
        <v>308</v>
      </c>
      <c r="B1072" s="8" t="s">
        <v>1229</v>
      </c>
      <c r="C1072" s="8" t="n">
        <v>2</v>
      </c>
      <c r="D1072" s="8" t="n">
        <v>16.16</v>
      </c>
      <c r="E1072" s="8" t="n">
        <v>0</v>
      </c>
      <c r="F1072" s="8" t="n">
        <v>0</v>
      </c>
    </row>
    <row r="1073" customFormat="false" ht="15" hidden="false" customHeight="true" outlineLevel="0" collapsed="false">
      <c r="A1073" s="8" t="s">
        <v>172</v>
      </c>
      <c r="B1073" s="8" t="s">
        <v>1214</v>
      </c>
      <c r="C1073" s="8" t="n">
        <v>23</v>
      </c>
      <c r="D1073" s="8" t="n">
        <v>280.14</v>
      </c>
      <c r="E1073" s="8" t="n">
        <v>3</v>
      </c>
      <c r="F1073" s="8" t="n">
        <v>36.54</v>
      </c>
    </row>
    <row r="1074" customFormat="false" ht="15" hidden="false" customHeight="true" outlineLevel="0" collapsed="false">
      <c r="A1074" s="8" t="s">
        <v>261</v>
      </c>
      <c r="B1074" s="8" t="s">
        <v>1215</v>
      </c>
      <c r="C1074" s="8" t="n">
        <v>4</v>
      </c>
      <c r="D1074" s="8" t="n">
        <v>84.84</v>
      </c>
      <c r="E1074" s="8" t="n">
        <v>0</v>
      </c>
      <c r="F1074" s="8" t="n">
        <v>0</v>
      </c>
    </row>
    <row r="1075" customFormat="false" ht="15" hidden="false" customHeight="true" outlineLevel="0" collapsed="false">
      <c r="A1075" s="8" t="s">
        <v>269</v>
      </c>
      <c r="B1075" s="8" t="s">
        <v>1231</v>
      </c>
      <c r="C1075" s="8" t="n">
        <v>4</v>
      </c>
      <c r="D1075" s="8" t="n">
        <v>45.32</v>
      </c>
      <c r="E1075" s="8" t="n">
        <v>0</v>
      </c>
      <c r="F1075" s="8" t="n">
        <v>0</v>
      </c>
    </row>
    <row r="1076" customFormat="false" ht="15" hidden="false" customHeight="true" outlineLevel="0" collapsed="false">
      <c r="A1076" s="8" t="s">
        <v>213</v>
      </c>
      <c r="B1076" s="8" t="s">
        <v>1232</v>
      </c>
      <c r="C1076" s="8" t="n">
        <v>4</v>
      </c>
      <c r="D1076" s="8" t="n">
        <v>110.2</v>
      </c>
      <c r="E1076" s="8" t="n">
        <v>0</v>
      </c>
      <c r="F1076" s="8" t="n">
        <v>0</v>
      </c>
    </row>
    <row r="1077" customFormat="false" ht="15" hidden="false" customHeight="true" outlineLevel="0" collapsed="false">
      <c r="A1077" s="8" t="s">
        <v>232</v>
      </c>
      <c r="B1077" s="8" t="s">
        <v>1233</v>
      </c>
      <c r="C1077" s="8" t="n">
        <v>3</v>
      </c>
      <c r="D1077" s="8" t="n">
        <v>48.6</v>
      </c>
      <c r="E1077" s="8" t="n">
        <v>2</v>
      </c>
      <c r="F1077" s="8" t="n">
        <v>32.4</v>
      </c>
    </row>
    <row r="1078" customFormat="false" ht="15" hidden="false" customHeight="true" outlineLevel="0" collapsed="false">
      <c r="A1078" s="8" t="s">
        <v>215</v>
      </c>
      <c r="B1078" s="8" t="s">
        <v>1233</v>
      </c>
      <c r="C1078" s="8" t="n">
        <v>6</v>
      </c>
      <c r="D1078" s="8" t="n">
        <v>106.92</v>
      </c>
      <c r="E1078" s="8" t="n">
        <v>0</v>
      </c>
      <c r="F1078" s="8" t="n">
        <v>0</v>
      </c>
    </row>
    <row r="1079" customFormat="false" ht="15" hidden="false" customHeight="true" outlineLevel="0" collapsed="false">
      <c r="A1079" s="8" t="s">
        <v>255</v>
      </c>
      <c r="B1079" s="8" t="s">
        <v>1273</v>
      </c>
      <c r="C1079" s="8" t="n">
        <v>2</v>
      </c>
      <c r="D1079" s="8" t="n">
        <v>16.4</v>
      </c>
      <c r="E1079" s="8" t="n">
        <v>0</v>
      </c>
      <c r="F1079" s="8" t="n">
        <v>0</v>
      </c>
    </row>
    <row r="1080" customFormat="false" ht="15" hidden="false" customHeight="true" outlineLevel="0" collapsed="false">
      <c r="A1080" s="8" t="s">
        <v>265</v>
      </c>
      <c r="B1080" s="8" t="s">
        <v>621</v>
      </c>
      <c r="C1080" s="8" t="n">
        <v>1</v>
      </c>
      <c r="D1080" s="8" t="n">
        <v>42</v>
      </c>
      <c r="E1080" s="8" t="n">
        <v>1</v>
      </c>
      <c r="F1080" s="8" t="n">
        <v>42</v>
      </c>
    </row>
    <row r="1081" customFormat="false" ht="15" hidden="false" customHeight="true" outlineLevel="0" collapsed="false">
      <c r="A1081" s="8" t="s">
        <v>276</v>
      </c>
      <c r="B1081" s="8" t="s">
        <v>621</v>
      </c>
      <c r="C1081" s="8" t="n">
        <v>1</v>
      </c>
      <c r="D1081" s="8" t="n">
        <v>42</v>
      </c>
      <c r="E1081" s="8" t="n">
        <v>0</v>
      </c>
      <c r="F1081" s="8" t="n">
        <v>0</v>
      </c>
    </row>
    <row r="1082" customFormat="false" ht="15" hidden="false" customHeight="true" outlineLevel="0" collapsed="false">
      <c r="A1082" s="8" t="s">
        <v>326</v>
      </c>
      <c r="B1082" s="8" t="s">
        <v>1281</v>
      </c>
      <c r="C1082" s="8" t="n">
        <v>2</v>
      </c>
      <c r="D1082" s="8" t="n">
        <v>47.2</v>
      </c>
      <c r="E1082" s="8" t="n">
        <v>7</v>
      </c>
      <c r="F1082" s="8" t="n">
        <v>165.2</v>
      </c>
    </row>
    <row r="1083" customFormat="false" ht="15" hidden="false" customHeight="true" outlineLevel="0" collapsed="false">
      <c r="A1083" s="8" t="s">
        <v>338</v>
      </c>
      <c r="B1083" s="8" t="s">
        <v>1281</v>
      </c>
      <c r="C1083" s="8" t="n">
        <v>2</v>
      </c>
      <c r="D1083" s="8" t="n">
        <v>47.2</v>
      </c>
      <c r="E1083" s="8" t="n">
        <v>0</v>
      </c>
      <c r="F1083" s="8" t="n">
        <v>0</v>
      </c>
    </row>
    <row r="1084" customFormat="false" ht="15" hidden="false" customHeight="true" outlineLevel="0" collapsed="false">
      <c r="A1084" s="8" t="s">
        <v>342</v>
      </c>
      <c r="B1084" s="8" t="s">
        <v>1255</v>
      </c>
      <c r="C1084" s="8" t="n">
        <v>3</v>
      </c>
      <c r="D1084" s="8" t="n">
        <v>70.8</v>
      </c>
      <c r="E1084" s="8" t="n">
        <v>0</v>
      </c>
      <c r="F1084" s="8" t="n">
        <v>0</v>
      </c>
    </row>
    <row r="1085" customFormat="false" ht="15" hidden="false" customHeight="true" outlineLevel="0" collapsed="false">
      <c r="A1085" s="8" t="s">
        <v>168</v>
      </c>
      <c r="B1085" s="8" t="s">
        <v>1240</v>
      </c>
      <c r="C1085" s="8" t="n">
        <v>3</v>
      </c>
      <c r="D1085" s="8" t="n">
        <v>125.43</v>
      </c>
      <c r="E1085" s="8" t="n">
        <v>0</v>
      </c>
      <c r="F1085" s="8" t="n">
        <v>0</v>
      </c>
    </row>
    <row r="1086" customFormat="false" ht="15" hidden="false" customHeight="true" outlineLevel="0" collapsed="false">
      <c r="A1086" s="8" t="s">
        <v>268</v>
      </c>
      <c r="B1086" s="8" t="s">
        <v>1234</v>
      </c>
      <c r="C1086" s="8" t="n">
        <v>2</v>
      </c>
      <c r="D1086" s="8" t="n">
        <v>71.34</v>
      </c>
      <c r="E1086" s="8" t="n">
        <v>0</v>
      </c>
      <c r="F1086" s="8" t="n">
        <v>0</v>
      </c>
    </row>
    <row r="1087" customFormat="false" ht="15" hidden="false" customHeight="true" outlineLevel="0" collapsed="false">
      <c r="A1087" s="8" t="s">
        <v>180</v>
      </c>
      <c r="B1087" s="8" t="s">
        <v>1216</v>
      </c>
      <c r="C1087" s="8" t="n">
        <v>16</v>
      </c>
      <c r="D1087" s="8" t="n">
        <v>264</v>
      </c>
      <c r="E1087" s="8" t="n">
        <v>2</v>
      </c>
      <c r="F1087" s="8" t="n">
        <v>33</v>
      </c>
    </row>
    <row r="1088" customFormat="false" ht="15" hidden="false" customHeight="true" outlineLevel="0" collapsed="false">
      <c r="A1088" s="8" t="s">
        <v>189</v>
      </c>
      <c r="B1088" s="8" t="s">
        <v>1216</v>
      </c>
      <c r="C1088" s="8" t="n">
        <v>4</v>
      </c>
      <c r="D1088" s="8" t="n">
        <v>66</v>
      </c>
      <c r="E1088" s="8" t="n">
        <v>2</v>
      </c>
      <c r="F1088" s="8" t="n">
        <v>33</v>
      </c>
    </row>
    <row r="1089" customFormat="false" ht="15" hidden="false" customHeight="true" outlineLevel="0" collapsed="false">
      <c r="A1089" s="8" t="s">
        <v>267</v>
      </c>
      <c r="B1089" s="8" t="s">
        <v>1216</v>
      </c>
      <c r="C1089" s="8" t="n">
        <v>11</v>
      </c>
      <c r="D1089" s="8" t="n">
        <v>181.5</v>
      </c>
      <c r="E1089" s="8" t="n">
        <v>0</v>
      </c>
      <c r="F1089" s="8" t="n">
        <v>0</v>
      </c>
    </row>
    <row r="1090" customFormat="false" ht="15" hidden="false" customHeight="true" outlineLevel="0" collapsed="false">
      <c r="A1090" s="8" t="s">
        <v>199</v>
      </c>
      <c r="B1090" s="8" t="s">
        <v>1216</v>
      </c>
      <c r="C1090" s="8" t="n">
        <v>9</v>
      </c>
      <c r="D1090" s="8" t="n">
        <v>148.5</v>
      </c>
      <c r="E1090" s="8" t="n">
        <v>0</v>
      </c>
      <c r="F1090" s="8" t="n">
        <v>0</v>
      </c>
    </row>
    <row r="1091" customFormat="false" ht="15" hidden="false" customHeight="true" outlineLevel="0" collapsed="false">
      <c r="A1091" s="8" t="s">
        <v>250</v>
      </c>
      <c r="B1091" s="8" t="s">
        <v>1216</v>
      </c>
      <c r="C1091" s="8" t="n">
        <v>3</v>
      </c>
      <c r="D1091" s="8" t="n">
        <v>49.5</v>
      </c>
      <c r="E1091" s="8" t="n">
        <v>0</v>
      </c>
      <c r="F1091" s="8" t="n">
        <v>0</v>
      </c>
    </row>
    <row r="1092" customFormat="false" ht="15" hidden="false" customHeight="true" outlineLevel="0" collapsed="false">
      <c r="A1092" s="8" t="s">
        <v>198</v>
      </c>
      <c r="B1092" s="8" t="s">
        <v>1217</v>
      </c>
      <c r="C1092" s="8" t="n">
        <v>5</v>
      </c>
      <c r="D1092" s="8" t="n">
        <v>102.5</v>
      </c>
      <c r="E1092" s="8" t="n">
        <v>0</v>
      </c>
      <c r="F1092" s="8" t="n">
        <v>0</v>
      </c>
    </row>
    <row r="1093" customFormat="false" ht="15" hidden="false" customHeight="true" outlineLevel="0" collapsed="false">
      <c r="A1093" s="8" t="s">
        <v>193</v>
      </c>
      <c r="B1093" s="8" t="s">
        <v>1217</v>
      </c>
      <c r="C1093" s="8" t="n">
        <v>9</v>
      </c>
      <c r="D1093" s="8" t="n">
        <v>184.5</v>
      </c>
      <c r="E1093" s="8" t="n">
        <v>0</v>
      </c>
      <c r="F1093" s="8" t="n">
        <v>0</v>
      </c>
    </row>
    <row r="1094" customFormat="false" ht="15" hidden="false" customHeight="true" outlineLevel="0" collapsed="false">
      <c r="A1094" s="8" t="s">
        <v>302</v>
      </c>
      <c r="B1094" s="8" t="s">
        <v>1217</v>
      </c>
      <c r="C1094" s="8" t="n">
        <v>4</v>
      </c>
      <c r="D1094" s="8" t="n">
        <v>82</v>
      </c>
      <c r="E1094" s="8" t="n">
        <v>0</v>
      </c>
      <c r="F1094" s="8" t="n">
        <v>0</v>
      </c>
    </row>
    <row r="1095" customFormat="false" ht="15" hidden="false" customHeight="true" outlineLevel="0" collapsed="false">
      <c r="A1095" s="8" t="s">
        <v>205</v>
      </c>
      <c r="B1095" s="8" t="s">
        <v>1217</v>
      </c>
      <c r="C1095" s="8" t="n">
        <v>14</v>
      </c>
      <c r="D1095" s="8" t="n">
        <v>287</v>
      </c>
      <c r="E1095" s="8" t="n">
        <v>0</v>
      </c>
      <c r="F1095" s="8" t="n">
        <v>0</v>
      </c>
    </row>
    <row r="1096" customFormat="false" ht="15" hidden="false" customHeight="true" outlineLevel="0" collapsed="false">
      <c r="A1096" s="8" t="s">
        <v>256</v>
      </c>
      <c r="B1096" s="8" t="s">
        <v>1217</v>
      </c>
      <c r="C1096" s="8" t="n">
        <v>4</v>
      </c>
      <c r="D1096" s="8" t="n">
        <v>82</v>
      </c>
      <c r="E1096" s="8" t="n">
        <v>0</v>
      </c>
      <c r="F1096" s="8" t="n">
        <v>0</v>
      </c>
    </row>
    <row r="1097" customFormat="false" ht="15" hidden="false" customHeight="true" outlineLevel="0" collapsed="false">
      <c r="A1097" s="8" t="s">
        <v>352</v>
      </c>
      <c r="B1097" s="8" t="s">
        <v>1283</v>
      </c>
      <c r="C1097" s="8" t="n">
        <v>1</v>
      </c>
      <c r="D1097" s="8" t="n">
        <v>195.73</v>
      </c>
      <c r="E1097" s="8" t="n">
        <v>0</v>
      </c>
      <c r="F1097" s="8" t="n">
        <v>0</v>
      </c>
    </row>
    <row r="1098" customFormat="false" ht="15" hidden="false" customHeight="true" outlineLevel="0" collapsed="false">
      <c r="A1098" s="8" t="s">
        <v>332</v>
      </c>
      <c r="B1098" s="8" t="s">
        <v>1246</v>
      </c>
      <c r="C1098" s="8" t="n">
        <v>1</v>
      </c>
      <c r="D1098" s="8" t="n">
        <v>126.57</v>
      </c>
      <c r="E1098" s="8" t="n">
        <v>0</v>
      </c>
      <c r="F1098" s="8" t="n">
        <v>0</v>
      </c>
    </row>
    <row r="1099" customFormat="false" ht="15" hidden="false" customHeight="true" outlineLevel="0" collapsed="false">
      <c r="A1099" s="8" t="s">
        <v>272</v>
      </c>
      <c r="B1099" s="8" t="s">
        <v>1246</v>
      </c>
      <c r="C1099" s="8" t="n">
        <v>2</v>
      </c>
      <c r="D1099" s="8" t="n">
        <v>253.14</v>
      </c>
      <c r="E1099" s="8" t="n">
        <v>0</v>
      </c>
      <c r="F1099" s="8" t="n">
        <v>0</v>
      </c>
    </row>
    <row r="1100" customFormat="false" ht="15" hidden="false" customHeight="true" outlineLevel="0" collapsed="false">
      <c r="A1100" s="8" t="s">
        <v>380</v>
      </c>
      <c r="B1100" s="8" t="s">
        <v>1246</v>
      </c>
      <c r="C1100" s="8" t="n">
        <v>1</v>
      </c>
      <c r="D1100" s="8" t="n">
        <v>126.57</v>
      </c>
      <c r="E1100" s="8" t="n">
        <v>0</v>
      </c>
      <c r="F1100" s="8" t="n">
        <v>0</v>
      </c>
    </row>
    <row r="1101" customFormat="false" ht="15" hidden="false" customHeight="true" outlineLevel="0" collapsed="false">
      <c r="A1101" s="8" t="s">
        <v>254</v>
      </c>
      <c r="B1101" s="8" t="s">
        <v>1265</v>
      </c>
      <c r="C1101" s="8" t="n">
        <v>2</v>
      </c>
      <c r="D1101" s="8" t="n">
        <v>253.14</v>
      </c>
      <c r="E1101" s="8" t="n">
        <v>0</v>
      </c>
      <c r="F1101" s="8" t="n">
        <v>0</v>
      </c>
    </row>
    <row r="1102" customFormat="false" ht="15" hidden="false" customHeight="true" outlineLevel="0" collapsed="false">
      <c r="A1102" s="8" t="s">
        <v>297</v>
      </c>
      <c r="B1102" s="8" t="s">
        <v>1265</v>
      </c>
      <c r="C1102" s="8" t="n">
        <v>1</v>
      </c>
      <c r="D1102" s="8" t="n">
        <v>126.57</v>
      </c>
      <c r="E1102" s="8" t="n">
        <v>0</v>
      </c>
      <c r="F1102" s="8" t="n">
        <v>0</v>
      </c>
    </row>
    <row r="1103" customFormat="false" ht="15" hidden="false" customHeight="true" outlineLevel="0" collapsed="false">
      <c r="A1103" s="8" t="s">
        <v>277</v>
      </c>
      <c r="B1103" s="8" t="s">
        <v>1285</v>
      </c>
      <c r="C1103" s="8" t="n">
        <v>2</v>
      </c>
      <c r="D1103" s="8" t="n">
        <v>272.6</v>
      </c>
      <c r="E1103" s="8" t="n">
        <v>0</v>
      </c>
      <c r="F1103" s="8" t="n">
        <v>0</v>
      </c>
    </row>
    <row r="1104" customFormat="false" ht="15" hidden="false" customHeight="true" outlineLevel="0" collapsed="false">
      <c r="A1104" s="8" t="s">
        <v>249</v>
      </c>
      <c r="B1104" s="8" t="s">
        <v>1285</v>
      </c>
      <c r="C1104" s="8" t="n">
        <v>1</v>
      </c>
      <c r="D1104" s="8" t="n">
        <v>136.3</v>
      </c>
      <c r="E1104" s="8" t="n">
        <v>2</v>
      </c>
      <c r="F1104" s="8" t="n">
        <v>272.6</v>
      </c>
    </row>
    <row r="1105" customFormat="false" ht="15" hidden="false" customHeight="true" outlineLevel="0" collapsed="false">
      <c r="A1105" s="8" t="s">
        <v>260</v>
      </c>
      <c r="B1105" s="8" t="s">
        <v>1285</v>
      </c>
      <c r="C1105" s="8" t="n">
        <v>0</v>
      </c>
      <c r="D1105" s="8" t="n">
        <v>0</v>
      </c>
      <c r="E1105" s="8" t="n">
        <v>1</v>
      </c>
      <c r="F1105" s="8" t="n">
        <v>136.3</v>
      </c>
    </row>
    <row r="1106" customFormat="false" ht="15" hidden="false" customHeight="true" outlineLevel="0" collapsed="false">
      <c r="A1106" s="8" t="s">
        <v>356</v>
      </c>
      <c r="B1106" s="8" t="s">
        <v>1285</v>
      </c>
      <c r="C1106" s="8" t="n">
        <v>1</v>
      </c>
      <c r="D1106" s="8" t="n">
        <v>136.3</v>
      </c>
      <c r="E1106" s="8" t="n">
        <v>0</v>
      </c>
      <c r="F1106" s="8" t="n">
        <v>0</v>
      </c>
    </row>
    <row r="1107" customFormat="false" ht="15" hidden="false" customHeight="true" outlineLevel="0" collapsed="false">
      <c r="A1107" s="8" t="s">
        <v>228</v>
      </c>
      <c r="B1107" s="8" t="s">
        <v>1275</v>
      </c>
      <c r="C1107" s="8" t="n">
        <v>5</v>
      </c>
      <c r="D1107" s="8" t="n">
        <v>71.25</v>
      </c>
      <c r="E1107" s="8" t="n">
        <v>0</v>
      </c>
      <c r="F1107" s="8" t="n">
        <v>0</v>
      </c>
    </row>
    <row r="1108" customFormat="false" ht="15" hidden="false" customHeight="true" outlineLevel="0" collapsed="false">
      <c r="A1108" s="8" t="s">
        <v>178</v>
      </c>
      <c r="B1108" s="8" t="s">
        <v>1236</v>
      </c>
      <c r="C1108" s="8" t="n">
        <v>10</v>
      </c>
      <c r="D1108" s="8" t="n">
        <v>350</v>
      </c>
      <c r="E1108" s="8" t="n">
        <v>0</v>
      </c>
      <c r="F1108" s="8" t="n">
        <v>0</v>
      </c>
    </row>
    <row r="1109" customFormat="false" ht="15" hidden="false" customHeight="true" outlineLevel="0" collapsed="false">
      <c r="A1109" s="8" t="s">
        <v>176</v>
      </c>
      <c r="B1109" s="8" t="s">
        <v>1236</v>
      </c>
      <c r="C1109" s="8" t="n">
        <v>6</v>
      </c>
      <c r="D1109" s="8" t="n">
        <v>210</v>
      </c>
      <c r="E1109" s="8" t="n">
        <v>0</v>
      </c>
      <c r="F1109" s="8" t="n">
        <v>0</v>
      </c>
    </row>
    <row r="1110" customFormat="false" ht="15" hidden="false" customHeight="true" outlineLevel="0" collapsed="false">
      <c r="A1110" s="8" t="s">
        <v>224</v>
      </c>
      <c r="B1110" s="8" t="s">
        <v>1236</v>
      </c>
      <c r="C1110" s="8" t="n">
        <v>3</v>
      </c>
      <c r="D1110" s="8" t="n">
        <v>105</v>
      </c>
      <c r="E1110" s="8" t="n">
        <v>0</v>
      </c>
      <c r="F1110" s="8" t="n">
        <v>0</v>
      </c>
    </row>
    <row r="1111" customFormat="false" ht="15" hidden="false" customHeight="true" outlineLevel="0" collapsed="false">
      <c r="A1111" s="8" t="s">
        <v>179</v>
      </c>
      <c r="B1111" s="8" t="s">
        <v>1218</v>
      </c>
      <c r="C1111" s="8" t="n">
        <v>1</v>
      </c>
      <c r="D1111" s="8" t="n">
        <v>126.5</v>
      </c>
      <c r="E1111" s="8" t="n">
        <v>0</v>
      </c>
      <c r="F1111" s="8" t="n">
        <v>0</v>
      </c>
    </row>
    <row r="1112" customFormat="false" ht="15" hidden="false" customHeight="true" outlineLevel="0" collapsed="false">
      <c r="A1112" s="8" t="s">
        <v>240</v>
      </c>
      <c r="B1112" s="8" t="s">
        <v>769</v>
      </c>
      <c r="C1112" s="8" t="n">
        <v>3</v>
      </c>
      <c r="D1112" s="8" t="n">
        <v>51</v>
      </c>
      <c r="E1112" s="8" t="n">
        <v>0</v>
      </c>
      <c r="F1112" s="8" t="n">
        <v>0</v>
      </c>
    </row>
    <row r="1113" customFormat="false" ht="15" hidden="false" customHeight="true" outlineLevel="0" collapsed="false">
      <c r="A1113" s="8" t="s">
        <v>234</v>
      </c>
      <c r="B1113" s="8" t="s">
        <v>769</v>
      </c>
      <c r="C1113" s="8" t="n">
        <v>15</v>
      </c>
      <c r="D1113" s="8" t="n">
        <v>255</v>
      </c>
      <c r="E1113" s="8" t="n">
        <v>0</v>
      </c>
      <c r="F1113" s="8" t="n">
        <v>0</v>
      </c>
    </row>
    <row r="1114" customFormat="false" ht="15" hidden="false" customHeight="true" outlineLevel="0" collapsed="false">
      <c r="A1114" s="8" t="s">
        <v>247</v>
      </c>
      <c r="B1114" s="8" t="s">
        <v>769</v>
      </c>
      <c r="C1114" s="8" t="n">
        <v>2</v>
      </c>
      <c r="D1114" s="8" t="n">
        <v>34</v>
      </c>
      <c r="E1114" s="8" t="n">
        <v>0</v>
      </c>
      <c r="F1114" s="8" t="n">
        <v>0</v>
      </c>
    </row>
    <row r="1115" customFormat="false" ht="15" hidden="false" customHeight="true" outlineLevel="0" collapsed="false">
      <c r="A1115" s="8" t="s">
        <v>300</v>
      </c>
      <c r="B1115" s="8" t="s">
        <v>769</v>
      </c>
      <c r="C1115" s="8" t="n">
        <v>3</v>
      </c>
      <c r="D1115" s="8" t="n">
        <v>51</v>
      </c>
      <c r="E1115" s="8" t="n">
        <v>0</v>
      </c>
      <c r="F1115" s="8" t="n">
        <v>0</v>
      </c>
    </row>
    <row r="1116" customFormat="false" ht="15" hidden="false" customHeight="true" outlineLevel="0" collapsed="false">
      <c r="A1116" s="8" t="s">
        <v>182</v>
      </c>
      <c r="B1116" s="8" t="s">
        <v>799</v>
      </c>
      <c r="C1116" s="8" t="n">
        <v>13</v>
      </c>
      <c r="D1116" s="8" t="n">
        <v>260</v>
      </c>
      <c r="E1116" s="8" t="n">
        <v>0</v>
      </c>
      <c r="F1116" s="8" t="n">
        <v>0</v>
      </c>
    </row>
    <row r="1117" customFormat="false" ht="15" hidden="false" customHeight="true" outlineLevel="0" collapsed="false">
      <c r="A1117" s="8" t="s">
        <v>323</v>
      </c>
      <c r="B1117" s="8" t="s">
        <v>875</v>
      </c>
      <c r="C1117" s="8" t="n">
        <v>1</v>
      </c>
      <c r="D1117" s="8" t="n">
        <v>15.91</v>
      </c>
      <c r="E1117" s="8" t="n">
        <v>0</v>
      </c>
      <c r="F1117" s="8" t="n">
        <v>0</v>
      </c>
    </row>
    <row r="1118" customFormat="false" ht="15" hidden="false" customHeight="true" outlineLevel="0" collapsed="false">
      <c r="A1118" s="8" t="s">
        <v>220</v>
      </c>
      <c r="B1118" s="8" t="s">
        <v>1248</v>
      </c>
      <c r="C1118" s="8" t="n">
        <v>3</v>
      </c>
      <c r="D1118" s="8" t="n">
        <v>31.2</v>
      </c>
      <c r="E1118" s="8" t="n">
        <v>0</v>
      </c>
      <c r="F1118" s="8" t="n">
        <v>0</v>
      </c>
    </row>
    <row r="1119" customFormat="false" ht="15" hidden="false" customHeight="true" outlineLevel="0" collapsed="false">
      <c r="A1119" s="8" t="s">
        <v>275</v>
      </c>
      <c r="B1119" s="8" t="s">
        <v>1257</v>
      </c>
      <c r="C1119" s="8" t="n">
        <v>2</v>
      </c>
      <c r="D1119" s="8" t="n">
        <v>43.2</v>
      </c>
      <c r="E1119" s="8" t="n">
        <v>1</v>
      </c>
      <c r="F1119" s="8" t="n">
        <v>21.6</v>
      </c>
    </row>
    <row r="1120" customFormat="false" ht="15" hidden="false" customHeight="true" outlineLevel="0" collapsed="false">
      <c r="A1120" s="8" t="s">
        <v>264</v>
      </c>
      <c r="B1120" s="8" t="s">
        <v>1221</v>
      </c>
      <c r="C1120" s="8" t="n">
        <v>3</v>
      </c>
      <c r="D1120" s="8" t="n">
        <v>17.43</v>
      </c>
      <c r="E1120" s="8" t="n">
        <v>0</v>
      </c>
      <c r="F1120" s="8" t="n">
        <v>0</v>
      </c>
    </row>
    <row r="1121" customFormat="false" ht="15" hidden="false" customHeight="true" outlineLevel="0" collapsed="false">
      <c r="A1121" s="8" t="s">
        <v>348</v>
      </c>
      <c r="B1121" s="8" t="s">
        <v>1277</v>
      </c>
      <c r="C1121" s="8" t="n">
        <v>3</v>
      </c>
      <c r="D1121" s="8" t="n">
        <v>20.4</v>
      </c>
      <c r="E1121" s="8" t="n">
        <v>0</v>
      </c>
      <c r="F1121" s="8" t="n">
        <v>0</v>
      </c>
    </row>
    <row r="1122" customFormat="false" ht="15" hidden="false" customHeight="true" outlineLevel="0" collapsed="false">
      <c r="A1122" s="8" t="s">
        <v>203</v>
      </c>
      <c r="B1122" s="8" t="s">
        <v>1177</v>
      </c>
      <c r="C1122" s="8" t="n">
        <v>15</v>
      </c>
      <c r="D1122" s="8" t="n">
        <v>277.5</v>
      </c>
      <c r="E1122" s="8" t="n">
        <v>12</v>
      </c>
      <c r="F1122" s="8" t="n">
        <v>222</v>
      </c>
    </row>
    <row r="1123" customFormat="false" ht="15" hidden="false" customHeight="true" outlineLevel="0" collapsed="false">
      <c r="A1123" s="8" t="s">
        <v>196</v>
      </c>
      <c r="B1123" s="8" t="s">
        <v>1243</v>
      </c>
      <c r="C1123" s="8" t="n">
        <v>3</v>
      </c>
      <c r="D1123" s="8" t="n">
        <v>160.5</v>
      </c>
      <c r="E1123" s="8" t="n">
        <v>0</v>
      </c>
      <c r="F1123" s="8" t="n">
        <v>0</v>
      </c>
    </row>
    <row r="1124" customFormat="false" ht="15" hidden="false" customHeight="true" outlineLevel="0" collapsed="false">
      <c r="A1124" s="8" t="s">
        <v>340</v>
      </c>
      <c r="B1124" s="8" t="s">
        <v>1267</v>
      </c>
      <c r="C1124" s="8" t="n">
        <v>0</v>
      </c>
      <c r="D1124" s="8" t="n">
        <v>0</v>
      </c>
      <c r="E1124" s="8" t="n">
        <v>1</v>
      </c>
      <c r="F1124" s="8" t="n">
        <v>128.71</v>
      </c>
    </row>
    <row r="1125" customFormat="false" ht="15" hidden="false" customHeight="true" outlineLevel="0" collapsed="false">
      <c r="A1125" s="8" t="s">
        <v>262</v>
      </c>
      <c r="B1125" s="8" t="s">
        <v>1267</v>
      </c>
      <c r="C1125" s="8" t="n">
        <v>0</v>
      </c>
      <c r="D1125" s="8" t="n">
        <v>0</v>
      </c>
      <c r="E1125" s="8" t="n">
        <v>1</v>
      </c>
      <c r="F1125" s="8" t="n">
        <v>128.71</v>
      </c>
    </row>
    <row r="1126" customFormat="false" ht="15" hidden="false" customHeight="true" outlineLevel="0" collapsed="false">
      <c r="A1126" s="8" t="s">
        <v>197</v>
      </c>
      <c r="B1126" s="8" t="s">
        <v>1222</v>
      </c>
      <c r="C1126" s="8" t="n">
        <v>3</v>
      </c>
      <c r="D1126" s="8" t="n">
        <v>195</v>
      </c>
      <c r="E1126" s="8" t="n">
        <v>1</v>
      </c>
      <c r="F1126" s="8" t="n">
        <v>65</v>
      </c>
    </row>
    <row r="1127" customFormat="false" ht="15" hidden="false" customHeight="true" outlineLevel="0" collapsed="false">
      <c r="A1127" s="8" t="s">
        <v>253</v>
      </c>
      <c r="B1127" s="8" t="s">
        <v>1222</v>
      </c>
      <c r="C1127" s="8" t="n">
        <v>1</v>
      </c>
      <c r="D1127" s="8" t="n">
        <v>65</v>
      </c>
      <c r="E1127" s="8" t="n">
        <v>2</v>
      </c>
      <c r="F1127" s="8" t="n">
        <v>130</v>
      </c>
    </row>
    <row r="1128" customFormat="false" ht="15" hidden="false" customHeight="true" outlineLevel="0" collapsed="false">
      <c r="A1128" s="8" t="s">
        <v>207</v>
      </c>
      <c r="B1128" s="8" t="s">
        <v>1222</v>
      </c>
      <c r="C1128" s="8" t="n">
        <v>2</v>
      </c>
      <c r="D1128" s="8" t="n">
        <v>130</v>
      </c>
      <c r="E1128" s="8" t="n">
        <v>1</v>
      </c>
      <c r="F1128" s="8" t="n">
        <v>65</v>
      </c>
    </row>
    <row r="1129" customFormat="false" ht="15" hidden="false" customHeight="true" outlineLevel="0" collapsed="false">
      <c r="A1129" s="8" t="s">
        <v>163</v>
      </c>
      <c r="B1129" s="8" t="s">
        <v>897</v>
      </c>
      <c r="C1129" s="8" t="n">
        <v>0</v>
      </c>
      <c r="D1129" s="8" t="n">
        <v>0</v>
      </c>
      <c r="E1129" s="8" t="n">
        <v>2</v>
      </c>
      <c r="F1129" s="8" t="n">
        <v>130</v>
      </c>
    </row>
    <row r="1130" customFormat="false" ht="15" hidden="false" customHeight="true" outlineLevel="0" collapsed="false">
      <c r="A1130" s="8" t="s">
        <v>181</v>
      </c>
      <c r="B1130" s="8" t="s">
        <v>897</v>
      </c>
      <c r="C1130" s="8" t="n">
        <v>1</v>
      </c>
      <c r="D1130" s="8" t="n">
        <v>65</v>
      </c>
      <c r="E1130" s="8" t="n">
        <v>1</v>
      </c>
      <c r="F1130" s="8" t="n">
        <v>65</v>
      </c>
    </row>
    <row r="1131" customFormat="false" ht="15" hidden="false" customHeight="true" outlineLevel="0" collapsed="false">
      <c r="A1131" s="8" t="s">
        <v>165</v>
      </c>
      <c r="B1131" s="8" t="s">
        <v>897</v>
      </c>
      <c r="C1131" s="8" t="n">
        <v>0</v>
      </c>
      <c r="D1131" s="8" t="n">
        <v>0</v>
      </c>
      <c r="E1131" s="8" t="n">
        <v>1</v>
      </c>
      <c r="F1131" s="8" t="n">
        <v>65</v>
      </c>
    </row>
    <row r="1132" customFormat="false" ht="15" hidden="false" customHeight="true" outlineLevel="0" collapsed="false">
      <c r="A1132" s="8" t="s">
        <v>175</v>
      </c>
      <c r="B1132" s="8" t="s">
        <v>1244</v>
      </c>
      <c r="C1132" s="8" t="n">
        <v>2</v>
      </c>
      <c r="D1132" s="8" t="n">
        <v>351</v>
      </c>
      <c r="E1132" s="8" t="n">
        <v>1</v>
      </c>
      <c r="F1132" s="8" t="n">
        <v>175.5</v>
      </c>
    </row>
    <row r="1133" customFormat="false" ht="15" hidden="false" customHeight="true" outlineLevel="0" collapsed="false">
      <c r="A1133" s="8" t="s">
        <v>230</v>
      </c>
      <c r="B1133" s="8" t="s">
        <v>1244</v>
      </c>
      <c r="C1133" s="8" t="n">
        <v>1</v>
      </c>
      <c r="D1133" s="8" t="n">
        <v>175.5</v>
      </c>
      <c r="E1133" s="8" t="n">
        <v>0</v>
      </c>
      <c r="F1133" s="8" t="n">
        <v>0</v>
      </c>
    </row>
    <row r="1134" customFormat="false" ht="15" hidden="false" customHeight="true" outlineLevel="0" collapsed="false">
      <c r="A1134" s="8" t="s">
        <v>173</v>
      </c>
      <c r="B1134" s="8" t="s">
        <v>1244</v>
      </c>
      <c r="C1134" s="8" t="n">
        <v>3</v>
      </c>
      <c r="D1134" s="8" t="n">
        <v>526.5</v>
      </c>
      <c r="E1134" s="8" t="n">
        <v>0</v>
      </c>
      <c r="F1134" s="8" t="n">
        <v>0</v>
      </c>
    </row>
    <row r="1135" customFormat="false" ht="15" hidden="false" customHeight="true" outlineLevel="0" collapsed="false">
      <c r="A1135" s="8" t="s">
        <v>177</v>
      </c>
      <c r="B1135" s="8" t="s">
        <v>1244</v>
      </c>
      <c r="C1135" s="8" t="n">
        <v>2</v>
      </c>
      <c r="D1135" s="8" t="n">
        <v>351</v>
      </c>
      <c r="E1135" s="8" t="n">
        <v>1</v>
      </c>
      <c r="F1135" s="8" t="n">
        <v>175.5</v>
      </c>
    </row>
    <row r="1136" customFormat="false" ht="15" hidden="false" customHeight="true" outlineLevel="0" collapsed="false">
      <c r="A1136" s="8" t="s">
        <v>208</v>
      </c>
      <c r="B1136" s="8" t="s">
        <v>1179</v>
      </c>
      <c r="C1136" s="8" t="n">
        <v>3</v>
      </c>
      <c r="D1136" s="8" t="n">
        <v>217.02</v>
      </c>
      <c r="E1136" s="8" t="n">
        <v>0</v>
      </c>
      <c r="F1136" s="8" t="n">
        <v>0</v>
      </c>
    </row>
    <row r="1137" customFormat="false" ht="15" hidden="false" customHeight="true" outlineLevel="0" collapsed="false">
      <c r="A1137" s="8" t="s">
        <v>191</v>
      </c>
      <c r="B1137" s="8" t="s">
        <v>1179</v>
      </c>
      <c r="C1137" s="8" t="n">
        <v>5</v>
      </c>
      <c r="D1137" s="8" t="n">
        <v>361.7</v>
      </c>
      <c r="E1137" s="8" t="n">
        <v>0</v>
      </c>
      <c r="F1137" s="8" t="n">
        <v>0</v>
      </c>
    </row>
    <row r="1138" customFormat="false" ht="15" hidden="false" customHeight="true" outlineLevel="0" collapsed="false">
      <c r="A1138" s="8" t="s">
        <v>204</v>
      </c>
      <c r="B1138" s="8" t="s">
        <v>1179</v>
      </c>
      <c r="C1138" s="8" t="n">
        <v>0</v>
      </c>
      <c r="D1138" s="8" t="n">
        <v>0</v>
      </c>
      <c r="E1138" s="8" t="n">
        <v>1</v>
      </c>
      <c r="F1138" s="8" t="n">
        <v>72.34</v>
      </c>
    </row>
    <row r="1139" customFormat="false" ht="15" hidden="false" customHeight="true" outlineLevel="0" collapsed="false">
      <c r="A1139" s="8" t="s">
        <v>190</v>
      </c>
      <c r="B1139" s="8" t="s">
        <v>1224</v>
      </c>
      <c r="C1139" s="8" t="n">
        <v>8</v>
      </c>
      <c r="D1139" s="8" t="n">
        <v>195.44</v>
      </c>
      <c r="E1139" s="8" t="n">
        <v>2</v>
      </c>
      <c r="F1139" s="8" t="n">
        <v>48.86</v>
      </c>
    </row>
    <row r="1140" customFormat="false" ht="15" hidden="false" customHeight="true" outlineLevel="0" collapsed="false">
      <c r="A1140" s="8" t="s">
        <v>183</v>
      </c>
      <c r="B1140" s="8" t="s">
        <v>1224</v>
      </c>
      <c r="C1140" s="8" t="n">
        <v>7</v>
      </c>
      <c r="D1140" s="8" t="n">
        <v>171.01</v>
      </c>
      <c r="E1140" s="8" t="n">
        <v>2</v>
      </c>
      <c r="F1140" s="8" t="n">
        <v>48.86</v>
      </c>
    </row>
    <row r="1141" customFormat="false" ht="15" hidden="false" customHeight="true" outlineLevel="0" collapsed="false">
      <c r="A1141" s="8" t="s">
        <v>218</v>
      </c>
      <c r="B1141" s="8" t="s">
        <v>1224</v>
      </c>
      <c r="C1141" s="8" t="n">
        <v>5</v>
      </c>
      <c r="D1141" s="8" t="n">
        <v>122.15</v>
      </c>
      <c r="E1141" s="8" t="n">
        <v>6</v>
      </c>
      <c r="F1141" s="8" t="n">
        <v>146.58</v>
      </c>
    </row>
    <row r="1142" customFormat="false" ht="15" hidden="false" customHeight="true" outlineLevel="0" collapsed="false">
      <c r="A1142" s="8" t="s">
        <v>231</v>
      </c>
      <c r="B1142" s="8" t="s">
        <v>1224</v>
      </c>
      <c r="C1142" s="8" t="n">
        <v>1</v>
      </c>
      <c r="D1142" s="8" t="n">
        <v>24.43</v>
      </c>
      <c r="E1142" s="8" t="n">
        <v>2</v>
      </c>
      <c r="F1142" s="8" t="n">
        <v>48.86</v>
      </c>
    </row>
    <row r="1143" customFormat="false" ht="15" hidden="false" customHeight="true" outlineLevel="0" collapsed="false">
      <c r="A1143" s="8" t="s">
        <v>286</v>
      </c>
      <c r="B1143" s="8" t="s">
        <v>1269</v>
      </c>
      <c r="C1143" s="8" t="n">
        <v>6</v>
      </c>
      <c r="D1143" s="8" t="n">
        <v>66</v>
      </c>
      <c r="E1143" s="8" t="n">
        <v>0</v>
      </c>
      <c r="F1143" s="8" t="n">
        <v>0</v>
      </c>
    </row>
    <row r="1144" customFormat="false" ht="15" hidden="false" customHeight="true" outlineLevel="0" collapsed="false">
      <c r="A1144" s="8" t="s">
        <v>289</v>
      </c>
      <c r="B1144" s="8" t="s">
        <v>1270</v>
      </c>
      <c r="C1144" s="8" t="n">
        <v>6</v>
      </c>
      <c r="D1144" s="8" t="n">
        <v>66</v>
      </c>
      <c r="E1144" s="8" t="n">
        <v>0</v>
      </c>
      <c r="F1144" s="8" t="n">
        <v>0</v>
      </c>
    </row>
    <row r="1145" customFormat="false" ht="15" hidden="false" customHeight="true" outlineLevel="0" collapsed="false">
      <c r="A1145" s="8" t="s">
        <v>161</v>
      </c>
      <c r="B1145" s="8" t="s">
        <v>1208</v>
      </c>
      <c r="C1145" s="8" t="n">
        <v>24</v>
      </c>
      <c r="D1145" s="8" t="n">
        <v>1092</v>
      </c>
      <c r="E1145" s="8" t="n">
        <v>9</v>
      </c>
      <c r="F1145" s="8" t="n">
        <v>409.5</v>
      </c>
    </row>
    <row r="1146" customFormat="false" ht="15" hidden="false" customHeight="true" outlineLevel="0" collapsed="false">
      <c r="A1146" s="8" t="s">
        <v>162</v>
      </c>
      <c r="B1146" s="8" t="s">
        <v>1209</v>
      </c>
      <c r="C1146" s="8" t="n">
        <v>3</v>
      </c>
      <c r="D1146" s="8" t="n">
        <v>233.4</v>
      </c>
      <c r="E1146" s="8" t="n">
        <v>2</v>
      </c>
      <c r="F1146" s="8" t="n">
        <v>155.6</v>
      </c>
    </row>
    <row r="1147" customFormat="false" ht="15" hidden="false" customHeight="true" outlineLevel="0" collapsed="false">
      <c r="A1147" s="8" t="s">
        <v>166</v>
      </c>
      <c r="B1147" s="8" t="s">
        <v>1211</v>
      </c>
      <c r="C1147" s="8" t="n">
        <v>4</v>
      </c>
      <c r="D1147" s="8" t="n">
        <v>253.08</v>
      </c>
      <c r="E1147" s="8" t="n">
        <v>0</v>
      </c>
      <c r="F1147" s="8" t="n">
        <v>0</v>
      </c>
    </row>
    <row r="1148" customFormat="false" ht="15" hidden="false" customHeight="true" outlineLevel="0" collapsed="false">
      <c r="A1148" s="8" t="s">
        <v>164</v>
      </c>
      <c r="B1148" s="8" t="s">
        <v>1211</v>
      </c>
      <c r="C1148" s="8" t="n">
        <v>2</v>
      </c>
      <c r="D1148" s="8" t="n">
        <v>126.54</v>
      </c>
      <c r="E1148" s="8" t="n">
        <v>0</v>
      </c>
      <c r="F1148" s="8" t="n">
        <v>0</v>
      </c>
    </row>
    <row r="1149" customFormat="false" ht="15" hidden="false" customHeight="true" outlineLevel="0" collapsed="false">
      <c r="A1149" s="8" t="s">
        <v>222</v>
      </c>
      <c r="B1149" s="8" t="s">
        <v>1211</v>
      </c>
      <c r="C1149" s="8" t="n">
        <v>1</v>
      </c>
      <c r="D1149" s="8" t="n">
        <v>63.27</v>
      </c>
      <c r="E1149" s="8" t="n">
        <v>0</v>
      </c>
      <c r="F1149" s="8" t="n">
        <v>0</v>
      </c>
    </row>
    <row r="1150" customFormat="false" ht="15" hidden="false" customHeight="true" outlineLevel="0" collapsed="false">
      <c r="A1150" s="8" t="s">
        <v>187</v>
      </c>
      <c r="B1150" s="8" t="s">
        <v>1211</v>
      </c>
      <c r="C1150" s="8" t="n">
        <v>1</v>
      </c>
      <c r="D1150" s="8" t="n">
        <v>63.27</v>
      </c>
      <c r="E1150" s="8" t="n">
        <v>2</v>
      </c>
      <c r="F1150" s="8" t="n">
        <v>126.54</v>
      </c>
    </row>
    <row r="1151" customFormat="false" ht="15" hidden="false" customHeight="true" outlineLevel="0" collapsed="false">
      <c r="A1151" s="8" t="s">
        <v>270</v>
      </c>
      <c r="B1151" s="8" t="s">
        <v>1251</v>
      </c>
      <c r="C1151" s="8" t="n">
        <v>3</v>
      </c>
      <c r="D1151" s="8" t="n">
        <v>29.46</v>
      </c>
      <c r="E1151" s="8" t="n">
        <v>1</v>
      </c>
      <c r="F1151" s="8" t="n">
        <v>9.82</v>
      </c>
    </row>
    <row r="1152" customFormat="false" ht="15" hidden="false" customHeight="true" outlineLevel="0" collapsed="false">
      <c r="A1152" s="8" t="s">
        <v>307</v>
      </c>
      <c r="B1152" s="8" t="s">
        <v>1252</v>
      </c>
      <c r="C1152" s="8" t="n">
        <v>1</v>
      </c>
      <c r="D1152" s="8" t="n">
        <v>14.28</v>
      </c>
      <c r="E1152" s="8" t="n">
        <v>0</v>
      </c>
      <c r="F1152" s="8" t="n">
        <v>0</v>
      </c>
    </row>
    <row r="1153" customFormat="false" ht="15" hidden="false" customHeight="true" outlineLevel="0" collapsed="false">
      <c r="A1153" s="8" t="s">
        <v>188</v>
      </c>
      <c r="B1153" s="8" t="s">
        <v>1225</v>
      </c>
      <c r="C1153" s="8" t="n">
        <v>3</v>
      </c>
      <c r="D1153" s="8" t="n">
        <v>86.79</v>
      </c>
      <c r="E1153" s="8" t="n">
        <v>2</v>
      </c>
      <c r="F1153" s="8" t="n">
        <v>57.86</v>
      </c>
    </row>
    <row r="1154" customFormat="false" ht="15" hidden="false" customHeight="true" outlineLevel="0" collapsed="false">
      <c r="A1154" s="8" t="s">
        <v>186</v>
      </c>
      <c r="B1154" s="8" t="s">
        <v>1225</v>
      </c>
      <c r="C1154" s="8" t="n">
        <v>14</v>
      </c>
      <c r="D1154" s="8" t="n">
        <v>405.02</v>
      </c>
      <c r="E1154" s="8" t="n">
        <v>0</v>
      </c>
      <c r="F1154" s="8" t="n">
        <v>0</v>
      </c>
    </row>
    <row r="1155" customFormat="false" ht="15" hidden="false" customHeight="true" outlineLevel="0" collapsed="false">
      <c r="A1155" s="8" t="s">
        <v>239</v>
      </c>
      <c r="B1155" s="8" t="s">
        <v>1225</v>
      </c>
      <c r="C1155" s="8" t="n">
        <v>4</v>
      </c>
      <c r="D1155" s="8" t="n">
        <v>115.72</v>
      </c>
      <c r="E1155" s="8" t="n">
        <v>1</v>
      </c>
      <c r="F1155" s="8" t="n">
        <v>28.93</v>
      </c>
    </row>
    <row r="1156" customFormat="false" ht="15" hidden="false" customHeight="true" outlineLevel="0" collapsed="false">
      <c r="A1156" s="8" t="s">
        <v>210</v>
      </c>
      <c r="B1156" s="8" t="s">
        <v>1225</v>
      </c>
      <c r="C1156" s="8" t="n">
        <v>3</v>
      </c>
      <c r="D1156" s="8" t="n">
        <v>86.79</v>
      </c>
      <c r="E1156" s="8" t="n">
        <v>2</v>
      </c>
      <c r="F1156" s="8" t="n">
        <v>57.86</v>
      </c>
    </row>
    <row r="1157" customFormat="false" ht="15" hidden="false" customHeight="true" outlineLevel="0" collapsed="false">
      <c r="A1157" s="8" t="s">
        <v>214</v>
      </c>
      <c r="B1157" s="8" t="s">
        <v>1226</v>
      </c>
      <c r="C1157" s="8" t="n">
        <v>2</v>
      </c>
      <c r="D1157" s="8" t="n">
        <v>84.34</v>
      </c>
      <c r="E1157" s="8" t="n">
        <v>0</v>
      </c>
      <c r="F1157" s="8" t="n">
        <v>0</v>
      </c>
    </row>
    <row r="1158" customFormat="false" ht="15" hidden="false" customHeight="true" outlineLevel="0" collapsed="false">
      <c r="A1158" s="8" t="s">
        <v>309</v>
      </c>
      <c r="B1158" s="8" t="s">
        <v>1226</v>
      </c>
      <c r="C1158" s="8" t="n">
        <v>3</v>
      </c>
      <c r="D1158" s="8" t="n">
        <v>126.51</v>
      </c>
      <c r="E1158" s="8" t="n">
        <v>4</v>
      </c>
      <c r="F1158" s="8" t="n">
        <v>168.68</v>
      </c>
    </row>
    <row r="1159" customFormat="false" ht="15" hidden="false" customHeight="true" outlineLevel="0" collapsed="false">
      <c r="A1159" s="8" t="s">
        <v>241</v>
      </c>
      <c r="B1159" s="8" t="s">
        <v>1227</v>
      </c>
      <c r="C1159" s="8" t="n">
        <v>10</v>
      </c>
      <c r="D1159" s="8" t="n">
        <v>170</v>
      </c>
      <c r="E1159" s="8" t="n">
        <v>4</v>
      </c>
      <c r="F1159" s="8" t="n">
        <v>68</v>
      </c>
    </row>
    <row r="1160" customFormat="false" ht="15" hidden="false" customHeight="true" outlineLevel="0" collapsed="false">
      <c r="A1160" s="8" t="s">
        <v>219</v>
      </c>
      <c r="B1160" s="8" t="s">
        <v>1227</v>
      </c>
      <c r="C1160" s="8" t="n">
        <v>7</v>
      </c>
      <c r="D1160" s="8" t="n">
        <v>119</v>
      </c>
      <c r="E1160" s="8" t="n">
        <v>0</v>
      </c>
      <c r="F1160" s="8" t="n">
        <v>0</v>
      </c>
    </row>
    <row r="1161" customFormat="false" ht="15" hidden="false" customHeight="true" outlineLevel="0" collapsed="false">
      <c r="A1161" s="8" t="s">
        <v>292</v>
      </c>
      <c r="B1161" s="8" t="s">
        <v>1227</v>
      </c>
      <c r="C1161" s="8" t="n">
        <v>8</v>
      </c>
      <c r="D1161" s="8" t="n">
        <v>136</v>
      </c>
      <c r="E1161" s="8" t="n">
        <v>6</v>
      </c>
      <c r="F1161" s="8" t="n">
        <v>102</v>
      </c>
    </row>
    <row r="1162" customFormat="false" ht="15" hidden="false" customHeight="true" outlineLevel="0" collapsed="false">
      <c r="A1162" s="8" t="s">
        <v>223</v>
      </c>
      <c r="B1162" s="8" t="s">
        <v>1227</v>
      </c>
      <c r="C1162" s="8" t="n">
        <v>7</v>
      </c>
      <c r="D1162" s="8" t="n">
        <v>119</v>
      </c>
      <c r="E1162" s="8" t="n">
        <v>0</v>
      </c>
      <c r="F1162" s="8" t="n">
        <v>0</v>
      </c>
    </row>
    <row r="1163" customFormat="false" ht="15" hidden="false" customHeight="true" outlineLevel="0" collapsed="false">
      <c r="A1163" s="8" t="s">
        <v>287</v>
      </c>
      <c r="B1163" s="8" t="s">
        <v>1227</v>
      </c>
      <c r="C1163" s="8" t="n">
        <v>3</v>
      </c>
      <c r="D1163" s="8" t="n">
        <v>51</v>
      </c>
      <c r="E1163" s="8" t="n">
        <v>1</v>
      </c>
      <c r="F1163" s="8" t="n">
        <v>17</v>
      </c>
    </row>
    <row r="1164" customFormat="false" ht="15" hidden="false" customHeight="true" outlineLevel="0" collapsed="false">
      <c r="A1164" s="8" t="s">
        <v>229</v>
      </c>
      <c r="B1164" s="8" t="s">
        <v>881</v>
      </c>
      <c r="C1164" s="8" t="n">
        <v>4</v>
      </c>
      <c r="D1164" s="8" t="n">
        <v>164.8</v>
      </c>
      <c r="E1164" s="8" t="n">
        <v>0</v>
      </c>
      <c r="F1164" s="8" t="n">
        <v>0</v>
      </c>
    </row>
    <row r="1165" customFormat="false" ht="15" hidden="false" customHeight="true" outlineLevel="0" collapsed="false">
      <c r="A1165" s="8" t="s">
        <v>271</v>
      </c>
      <c r="B1165" s="8" t="s">
        <v>1260</v>
      </c>
      <c r="C1165" s="8" t="n">
        <v>2</v>
      </c>
      <c r="D1165" s="8" t="n">
        <v>46.8</v>
      </c>
      <c r="E1165" s="8" t="n">
        <v>0</v>
      </c>
      <c r="F1165" s="8" t="n">
        <v>0</v>
      </c>
    </row>
    <row r="1166" customFormat="false" ht="15" hidden="false" customHeight="true" outlineLevel="0" collapsed="false">
      <c r="A1166" s="8" t="s">
        <v>266</v>
      </c>
      <c r="B1166" s="8" t="s">
        <v>1228</v>
      </c>
      <c r="C1166" s="8" t="n">
        <v>1</v>
      </c>
      <c r="D1166" s="8" t="n">
        <v>19.92</v>
      </c>
      <c r="E1166" s="8" t="n">
        <v>0</v>
      </c>
      <c r="F1166" s="8" t="n">
        <v>0</v>
      </c>
    </row>
    <row r="1167" customFormat="false" ht="15" hidden="false" customHeight="true" outlineLevel="0" collapsed="false">
      <c r="A1167" s="8" t="s">
        <v>202</v>
      </c>
      <c r="B1167" s="8" t="s">
        <v>1212</v>
      </c>
      <c r="C1167" s="8" t="n">
        <v>4</v>
      </c>
      <c r="D1167" s="8" t="n">
        <v>38</v>
      </c>
      <c r="E1167" s="8" t="n">
        <v>4</v>
      </c>
      <c r="F1167" s="8" t="n">
        <v>38</v>
      </c>
    </row>
    <row r="1168" customFormat="false" ht="15" hidden="false" customHeight="true" outlineLevel="0" collapsed="false">
      <c r="A1168" s="8" t="s">
        <v>244</v>
      </c>
      <c r="B1168" s="8" t="s">
        <v>1213</v>
      </c>
      <c r="C1168" s="8" t="n">
        <v>2</v>
      </c>
      <c r="D1168" s="8" t="n">
        <v>19</v>
      </c>
      <c r="E1168" s="8" t="n">
        <v>5</v>
      </c>
      <c r="F1168" s="8" t="n">
        <v>47.5</v>
      </c>
    </row>
    <row r="1169" customFormat="false" ht="15" hidden="false" customHeight="true" outlineLevel="0" collapsed="false">
      <c r="A1169" s="8" t="s">
        <v>251</v>
      </c>
      <c r="B1169" s="8" t="s">
        <v>1262</v>
      </c>
      <c r="C1169" s="8" t="n">
        <v>2</v>
      </c>
      <c r="D1169" s="8" t="n">
        <v>19.42</v>
      </c>
      <c r="E1169" s="8" t="n">
        <v>3</v>
      </c>
      <c r="F1169" s="8" t="n">
        <v>29.13</v>
      </c>
    </row>
    <row r="1170" customFormat="false" ht="15" hidden="false" customHeight="true" outlineLevel="0" collapsed="false">
      <c r="A1170" s="8" t="s">
        <v>308</v>
      </c>
      <c r="B1170" s="8" t="s">
        <v>1229</v>
      </c>
      <c r="C1170" s="8" t="n">
        <v>3</v>
      </c>
      <c r="D1170" s="8" t="n">
        <v>24.24</v>
      </c>
      <c r="E1170" s="8" t="n">
        <v>0</v>
      </c>
      <c r="F1170" s="8" t="n">
        <v>0</v>
      </c>
    </row>
    <row r="1171" customFormat="false" ht="15" hidden="false" customHeight="true" outlineLevel="0" collapsed="false">
      <c r="A1171" s="8" t="s">
        <v>172</v>
      </c>
      <c r="B1171" s="8" t="s">
        <v>1214</v>
      </c>
      <c r="C1171" s="8" t="n">
        <v>4</v>
      </c>
      <c r="D1171" s="8" t="n">
        <v>48.72</v>
      </c>
      <c r="E1171" s="8" t="n">
        <v>6</v>
      </c>
      <c r="F1171" s="8" t="n">
        <v>73.08</v>
      </c>
    </row>
    <row r="1172" customFormat="false" ht="15" hidden="false" customHeight="true" outlineLevel="0" collapsed="false">
      <c r="A1172" s="8" t="s">
        <v>242</v>
      </c>
      <c r="B1172" s="8" t="s">
        <v>1230</v>
      </c>
      <c r="C1172" s="8" t="n">
        <v>1</v>
      </c>
      <c r="D1172" s="8" t="n">
        <v>38.7</v>
      </c>
      <c r="E1172" s="8" t="n">
        <v>0</v>
      </c>
      <c r="F1172" s="8" t="n">
        <v>0</v>
      </c>
    </row>
    <row r="1173" customFormat="false" ht="15" hidden="false" customHeight="true" outlineLevel="0" collapsed="false">
      <c r="A1173" s="8" t="s">
        <v>269</v>
      </c>
      <c r="B1173" s="8" t="s">
        <v>1231</v>
      </c>
      <c r="C1173" s="8" t="n">
        <v>2</v>
      </c>
      <c r="D1173" s="8" t="n">
        <v>22.66</v>
      </c>
      <c r="E1173" s="8" t="n">
        <v>1</v>
      </c>
      <c r="F1173" s="8" t="n">
        <v>11.33</v>
      </c>
    </row>
    <row r="1174" customFormat="false" ht="15" hidden="false" customHeight="true" outlineLevel="0" collapsed="false">
      <c r="A1174" s="8" t="s">
        <v>213</v>
      </c>
      <c r="B1174" s="8" t="s">
        <v>1232</v>
      </c>
      <c r="C1174" s="8" t="n">
        <v>3</v>
      </c>
      <c r="D1174" s="8" t="n">
        <v>82.65</v>
      </c>
      <c r="E1174" s="8" t="n">
        <v>0</v>
      </c>
      <c r="F1174" s="8" t="n">
        <v>0</v>
      </c>
    </row>
    <row r="1175" customFormat="false" ht="15" hidden="false" customHeight="true" outlineLevel="0" collapsed="false">
      <c r="A1175" s="8" t="s">
        <v>288</v>
      </c>
      <c r="B1175" s="8" t="s">
        <v>939</v>
      </c>
      <c r="C1175" s="8" t="n">
        <v>1</v>
      </c>
      <c r="D1175" s="8" t="n">
        <v>20.24</v>
      </c>
      <c r="E1175" s="8" t="n">
        <v>0</v>
      </c>
      <c r="F1175" s="8" t="n">
        <v>0</v>
      </c>
    </row>
    <row r="1176" customFormat="false" ht="15" hidden="false" customHeight="true" outlineLevel="0" collapsed="false">
      <c r="A1176" s="8" t="s">
        <v>232</v>
      </c>
      <c r="B1176" s="8" t="s">
        <v>1233</v>
      </c>
      <c r="C1176" s="8" t="n">
        <v>2</v>
      </c>
      <c r="D1176" s="8" t="n">
        <v>32.4</v>
      </c>
      <c r="E1176" s="8" t="n">
        <v>4</v>
      </c>
      <c r="F1176" s="8" t="n">
        <v>64.8</v>
      </c>
    </row>
    <row r="1177" customFormat="false" ht="15" hidden="false" customHeight="true" outlineLevel="0" collapsed="false">
      <c r="A1177" s="8" t="s">
        <v>215</v>
      </c>
      <c r="B1177" s="8" t="s">
        <v>1233</v>
      </c>
      <c r="C1177" s="8" t="n">
        <v>4</v>
      </c>
      <c r="D1177" s="8" t="n">
        <v>71.28</v>
      </c>
      <c r="E1177" s="8" t="n">
        <v>1</v>
      </c>
      <c r="F1177" s="8" t="n">
        <v>17.82</v>
      </c>
    </row>
    <row r="1178" customFormat="false" ht="15" hidden="false" customHeight="true" outlineLevel="0" collapsed="false">
      <c r="A1178" s="8" t="s">
        <v>255</v>
      </c>
      <c r="B1178" s="8" t="s">
        <v>1273</v>
      </c>
      <c r="C1178" s="8" t="n">
        <v>3</v>
      </c>
      <c r="D1178" s="8" t="n">
        <v>24.6</v>
      </c>
      <c r="E1178" s="8" t="n">
        <v>3</v>
      </c>
      <c r="F1178" s="8" t="n">
        <v>24.6</v>
      </c>
    </row>
    <row r="1179" customFormat="false" ht="15" hidden="false" customHeight="true" outlineLevel="0" collapsed="false">
      <c r="A1179" s="8" t="s">
        <v>194</v>
      </c>
      <c r="B1179" s="8" t="s">
        <v>1239</v>
      </c>
      <c r="C1179" s="8" t="n">
        <v>5</v>
      </c>
      <c r="D1179" s="8" t="n">
        <v>49.1</v>
      </c>
      <c r="E1179" s="8" t="n">
        <v>0</v>
      </c>
      <c r="F1179" s="8" t="n">
        <v>0</v>
      </c>
    </row>
    <row r="1180" customFormat="false" ht="15" hidden="false" customHeight="true" outlineLevel="0" collapsed="false">
      <c r="A1180" s="8" t="s">
        <v>192</v>
      </c>
      <c r="B1180" s="8" t="s">
        <v>1240</v>
      </c>
      <c r="C1180" s="8" t="n">
        <v>10</v>
      </c>
      <c r="D1180" s="8" t="n">
        <v>418.1</v>
      </c>
      <c r="E1180" s="8" t="n">
        <v>0</v>
      </c>
      <c r="F1180" s="8" t="n">
        <v>0</v>
      </c>
    </row>
    <row r="1181" customFormat="false" ht="15" hidden="false" customHeight="true" outlineLevel="0" collapsed="false">
      <c r="A1181" s="8" t="s">
        <v>168</v>
      </c>
      <c r="B1181" s="8" t="s">
        <v>1240</v>
      </c>
      <c r="C1181" s="8" t="n">
        <v>15</v>
      </c>
      <c r="D1181" s="8" t="n">
        <v>627.15</v>
      </c>
      <c r="E1181" s="8" t="n">
        <v>0</v>
      </c>
      <c r="F1181" s="8" t="n">
        <v>0</v>
      </c>
    </row>
    <row r="1182" customFormat="false" ht="15" hidden="false" customHeight="true" outlineLevel="0" collapsed="false">
      <c r="A1182" s="8" t="s">
        <v>169</v>
      </c>
      <c r="B1182" s="8" t="s">
        <v>1240</v>
      </c>
      <c r="C1182" s="8" t="n">
        <v>11</v>
      </c>
      <c r="D1182" s="8" t="n">
        <v>459.91</v>
      </c>
      <c r="E1182" s="8" t="n">
        <v>0</v>
      </c>
      <c r="F1182" s="8" t="n">
        <v>0</v>
      </c>
    </row>
    <row r="1183" customFormat="false" ht="15" hidden="false" customHeight="true" outlineLevel="0" collapsed="false">
      <c r="A1183" s="8" t="s">
        <v>209</v>
      </c>
      <c r="B1183" s="8" t="s">
        <v>1245</v>
      </c>
      <c r="C1183" s="8" t="n">
        <v>4</v>
      </c>
      <c r="D1183" s="8" t="n">
        <v>259.56</v>
      </c>
      <c r="E1183" s="8" t="n">
        <v>0</v>
      </c>
      <c r="F1183" s="8" t="n">
        <v>0</v>
      </c>
    </row>
    <row r="1184" customFormat="false" ht="15" hidden="false" customHeight="true" outlineLevel="0" collapsed="false">
      <c r="A1184" s="8" t="s">
        <v>180</v>
      </c>
      <c r="B1184" s="8" t="s">
        <v>1216</v>
      </c>
      <c r="C1184" s="8" t="n">
        <v>7</v>
      </c>
      <c r="D1184" s="8" t="n">
        <v>115.5</v>
      </c>
      <c r="E1184" s="8" t="n">
        <v>6</v>
      </c>
      <c r="F1184" s="8" t="n">
        <v>99</v>
      </c>
    </row>
    <row r="1185" customFormat="false" ht="15" hidden="false" customHeight="true" outlineLevel="0" collapsed="false">
      <c r="A1185" s="8" t="s">
        <v>189</v>
      </c>
      <c r="B1185" s="8" t="s">
        <v>1216</v>
      </c>
      <c r="C1185" s="8" t="n">
        <v>14</v>
      </c>
      <c r="D1185" s="8" t="n">
        <v>231</v>
      </c>
      <c r="E1185" s="8" t="n">
        <v>0</v>
      </c>
      <c r="F1185" s="8" t="n">
        <v>0</v>
      </c>
    </row>
    <row r="1186" customFormat="false" ht="15" hidden="false" customHeight="true" outlineLevel="0" collapsed="false">
      <c r="A1186" s="8" t="s">
        <v>267</v>
      </c>
      <c r="B1186" s="8" t="s">
        <v>1216</v>
      </c>
      <c r="C1186" s="8" t="n">
        <v>3</v>
      </c>
      <c r="D1186" s="8" t="n">
        <v>49.5</v>
      </c>
      <c r="E1186" s="8" t="n">
        <v>0</v>
      </c>
      <c r="F1186" s="8" t="n">
        <v>0</v>
      </c>
    </row>
    <row r="1187" customFormat="false" ht="15" hidden="false" customHeight="true" outlineLevel="0" collapsed="false">
      <c r="A1187" s="8" t="s">
        <v>199</v>
      </c>
      <c r="B1187" s="8" t="s">
        <v>1216</v>
      </c>
      <c r="C1187" s="8" t="n">
        <v>6</v>
      </c>
      <c r="D1187" s="8" t="n">
        <v>99</v>
      </c>
      <c r="E1187" s="8" t="n">
        <v>2</v>
      </c>
      <c r="F1187" s="8" t="n">
        <v>33</v>
      </c>
    </row>
    <row r="1188" customFormat="false" ht="15" hidden="false" customHeight="true" outlineLevel="0" collapsed="false">
      <c r="A1188" s="8" t="s">
        <v>250</v>
      </c>
      <c r="B1188" s="8" t="s">
        <v>1216</v>
      </c>
      <c r="C1188" s="8" t="n">
        <v>4</v>
      </c>
      <c r="D1188" s="8" t="n">
        <v>66</v>
      </c>
      <c r="E1188" s="8" t="n">
        <v>3</v>
      </c>
      <c r="F1188" s="8" t="n">
        <v>49.5</v>
      </c>
    </row>
    <row r="1189" customFormat="false" ht="15" hidden="false" customHeight="true" outlineLevel="0" collapsed="false">
      <c r="A1189" s="8" t="s">
        <v>198</v>
      </c>
      <c r="B1189" s="8" t="s">
        <v>1217</v>
      </c>
      <c r="C1189" s="8" t="n">
        <v>8</v>
      </c>
      <c r="D1189" s="8" t="n">
        <v>164</v>
      </c>
      <c r="E1189" s="8" t="n">
        <v>2</v>
      </c>
      <c r="F1189" s="8" t="n">
        <v>41</v>
      </c>
    </row>
    <row r="1190" customFormat="false" ht="15" hidden="false" customHeight="true" outlineLevel="0" collapsed="false">
      <c r="A1190" s="8" t="s">
        <v>193</v>
      </c>
      <c r="B1190" s="8" t="s">
        <v>1217</v>
      </c>
      <c r="C1190" s="8" t="n">
        <v>8</v>
      </c>
      <c r="D1190" s="8" t="n">
        <v>164</v>
      </c>
      <c r="E1190" s="8" t="n">
        <v>2</v>
      </c>
      <c r="F1190" s="8" t="n">
        <v>41</v>
      </c>
    </row>
    <row r="1191" customFormat="false" ht="15" hidden="false" customHeight="true" outlineLevel="0" collapsed="false">
      <c r="A1191" s="8" t="s">
        <v>302</v>
      </c>
      <c r="B1191" s="8" t="s">
        <v>1217</v>
      </c>
      <c r="C1191" s="8" t="n">
        <v>2</v>
      </c>
      <c r="D1191" s="8" t="n">
        <v>41</v>
      </c>
      <c r="E1191" s="8" t="n">
        <v>0</v>
      </c>
      <c r="F1191" s="8" t="n">
        <v>0</v>
      </c>
    </row>
    <row r="1192" customFormat="false" ht="15" hidden="false" customHeight="true" outlineLevel="0" collapsed="false">
      <c r="A1192" s="8" t="s">
        <v>205</v>
      </c>
      <c r="B1192" s="8" t="s">
        <v>1217</v>
      </c>
      <c r="C1192" s="8" t="n">
        <v>3</v>
      </c>
      <c r="D1192" s="8" t="n">
        <v>61.5</v>
      </c>
      <c r="E1192" s="8" t="n">
        <v>6</v>
      </c>
      <c r="F1192" s="8" t="n">
        <v>123</v>
      </c>
    </row>
    <row r="1193" customFormat="false" ht="15" hidden="false" customHeight="true" outlineLevel="0" collapsed="false">
      <c r="A1193" s="8" t="s">
        <v>256</v>
      </c>
      <c r="B1193" s="8" t="s">
        <v>1217</v>
      </c>
      <c r="C1193" s="8" t="n">
        <v>6</v>
      </c>
      <c r="D1193" s="8" t="n">
        <v>123</v>
      </c>
      <c r="E1193" s="8" t="n">
        <v>0</v>
      </c>
      <c r="F1193" s="8" t="n">
        <v>0</v>
      </c>
    </row>
    <row r="1194" customFormat="false" ht="15" hidden="false" customHeight="true" outlineLevel="0" collapsed="false">
      <c r="A1194" s="8" t="s">
        <v>228</v>
      </c>
      <c r="B1194" s="8" t="s">
        <v>1275</v>
      </c>
      <c r="C1194" s="8" t="n">
        <v>13</v>
      </c>
      <c r="D1194" s="8" t="n">
        <v>185.25</v>
      </c>
      <c r="E1194" s="8" t="n">
        <v>0</v>
      </c>
      <c r="F1194" s="8" t="n">
        <v>0</v>
      </c>
    </row>
    <row r="1195" customFormat="false" ht="15" hidden="false" customHeight="true" outlineLevel="0" collapsed="false">
      <c r="A1195" s="8" t="s">
        <v>178</v>
      </c>
      <c r="B1195" s="8" t="s">
        <v>1236</v>
      </c>
      <c r="C1195" s="8" t="n">
        <v>4</v>
      </c>
      <c r="D1195" s="8" t="n">
        <v>140</v>
      </c>
      <c r="E1195" s="8" t="n">
        <v>2</v>
      </c>
      <c r="F1195" s="8" t="n">
        <v>70</v>
      </c>
    </row>
    <row r="1196" customFormat="false" ht="15" hidden="false" customHeight="true" outlineLevel="0" collapsed="false">
      <c r="A1196" s="8" t="s">
        <v>176</v>
      </c>
      <c r="B1196" s="8" t="s">
        <v>1236</v>
      </c>
      <c r="C1196" s="8" t="n">
        <v>2</v>
      </c>
      <c r="D1196" s="8" t="n">
        <v>70</v>
      </c>
      <c r="E1196" s="8" t="n">
        <v>6</v>
      </c>
      <c r="F1196" s="8" t="n">
        <v>210</v>
      </c>
    </row>
    <row r="1197" customFormat="false" ht="15" hidden="false" customHeight="true" outlineLevel="0" collapsed="false">
      <c r="A1197" s="8" t="s">
        <v>235</v>
      </c>
      <c r="B1197" s="8" t="s">
        <v>1236</v>
      </c>
      <c r="C1197" s="8" t="n">
        <v>2</v>
      </c>
      <c r="D1197" s="8" t="n">
        <v>70</v>
      </c>
      <c r="E1197" s="8" t="n">
        <v>0</v>
      </c>
      <c r="F1197" s="8" t="n">
        <v>0</v>
      </c>
    </row>
    <row r="1198" customFormat="false" ht="15" hidden="false" customHeight="true" outlineLevel="0" collapsed="false">
      <c r="A1198" s="8" t="s">
        <v>224</v>
      </c>
      <c r="B1198" s="8" t="s">
        <v>1236</v>
      </c>
      <c r="C1198" s="8" t="n">
        <v>2</v>
      </c>
      <c r="D1198" s="8" t="n">
        <v>70</v>
      </c>
      <c r="E1198" s="8" t="n">
        <v>1</v>
      </c>
      <c r="F1198" s="8" t="n">
        <v>35</v>
      </c>
    </row>
    <row r="1199" customFormat="false" ht="15" hidden="false" customHeight="true" outlineLevel="0" collapsed="false">
      <c r="A1199" s="8" t="s">
        <v>234</v>
      </c>
      <c r="B1199" s="8" t="s">
        <v>769</v>
      </c>
      <c r="C1199" s="8" t="n">
        <v>3</v>
      </c>
      <c r="D1199" s="8" t="n">
        <v>51</v>
      </c>
      <c r="E1199" s="8" t="n">
        <v>0</v>
      </c>
      <c r="F1199" s="8" t="n">
        <v>0</v>
      </c>
    </row>
    <row r="1200" customFormat="false" ht="15" hidden="false" customHeight="true" outlineLevel="0" collapsed="false">
      <c r="A1200" s="8" t="s">
        <v>247</v>
      </c>
      <c r="B1200" s="8" t="s">
        <v>769</v>
      </c>
      <c r="C1200" s="8" t="n">
        <v>7</v>
      </c>
      <c r="D1200" s="8" t="n">
        <v>119</v>
      </c>
      <c r="E1200" s="8" t="n">
        <v>3</v>
      </c>
      <c r="F1200" s="8" t="n">
        <v>51</v>
      </c>
    </row>
    <row r="1201" customFormat="false" ht="15" hidden="false" customHeight="true" outlineLevel="0" collapsed="false">
      <c r="A1201" s="8" t="s">
        <v>300</v>
      </c>
      <c r="B1201" s="8" t="s">
        <v>769</v>
      </c>
      <c r="C1201" s="8" t="n">
        <v>5</v>
      </c>
      <c r="D1201" s="8" t="n">
        <v>85</v>
      </c>
      <c r="E1201" s="8" t="n">
        <v>2</v>
      </c>
      <c r="F1201" s="8" t="n">
        <v>34</v>
      </c>
    </row>
    <row r="1202" customFormat="false" ht="15" hidden="false" customHeight="true" outlineLevel="0" collapsed="false">
      <c r="A1202" s="8" t="s">
        <v>328</v>
      </c>
      <c r="B1202" s="8" t="s">
        <v>769</v>
      </c>
      <c r="C1202" s="8" t="n">
        <v>1</v>
      </c>
      <c r="D1202" s="8" t="n">
        <v>17</v>
      </c>
      <c r="E1202" s="8" t="n">
        <v>2</v>
      </c>
      <c r="F1202" s="8" t="n">
        <v>34</v>
      </c>
    </row>
    <row r="1203" customFormat="false" ht="15" hidden="false" customHeight="true" outlineLevel="0" collapsed="false">
      <c r="A1203" s="8" t="s">
        <v>167</v>
      </c>
      <c r="B1203" s="8" t="s">
        <v>1238</v>
      </c>
      <c r="C1203" s="8" t="n">
        <v>0</v>
      </c>
      <c r="D1203" s="8" t="n">
        <v>0</v>
      </c>
      <c r="E1203" s="8" t="n">
        <v>4</v>
      </c>
      <c r="F1203" s="8" t="n">
        <v>53.6</v>
      </c>
    </row>
    <row r="1204" customFormat="false" ht="15" hidden="false" customHeight="true" outlineLevel="0" collapsed="false">
      <c r="A1204" s="8" t="s">
        <v>377</v>
      </c>
      <c r="B1204" s="8" t="s">
        <v>877</v>
      </c>
      <c r="C1204" s="8" t="n">
        <v>2</v>
      </c>
      <c r="D1204" s="8" t="n">
        <v>31.82</v>
      </c>
      <c r="E1204" s="8" t="n">
        <v>0</v>
      </c>
      <c r="F1204" s="8" t="n">
        <v>0</v>
      </c>
    </row>
    <row r="1205" customFormat="false" ht="15" hidden="false" customHeight="true" outlineLevel="0" collapsed="false">
      <c r="A1205" s="8" t="s">
        <v>294</v>
      </c>
      <c r="B1205" s="8" t="s">
        <v>1289</v>
      </c>
      <c r="C1205" s="8" t="n">
        <v>2</v>
      </c>
      <c r="D1205" s="8" t="n">
        <v>28.9</v>
      </c>
      <c r="E1205" s="8" t="n">
        <v>0</v>
      </c>
      <c r="F1205" s="8" t="n">
        <v>0</v>
      </c>
    </row>
    <row r="1206" customFormat="false" ht="15" hidden="false" customHeight="true" outlineLevel="0" collapsed="false">
      <c r="A1206" s="8" t="s">
        <v>315</v>
      </c>
      <c r="B1206" s="8" t="s">
        <v>1266</v>
      </c>
      <c r="C1206" s="8" t="n">
        <v>2</v>
      </c>
      <c r="D1206" s="8" t="n">
        <v>31.82</v>
      </c>
      <c r="E1206" s="8" t="n">
        <v>0</v>
      </c>
      <c r="F1206" s="8" t="n">
        <v>0</v>
      </c>
    </row>
    <row r="1207" customFormat="false" ht="15" hidden="false" customHeight="true" outlineLevel="0" collapsed="false">
      <c r="A1207" s="8" t="s">
        <v>1290</v>
      </c>
      <c r="B1207" s="8" t="s">
        <v>1291</v>
      </c>
      <c r="C1207" s="8" t="n">
        <v>2</v>
      </c>
      <c r="D1207" s="8" t="n">
        <v>64.28</v>
      </c>
      <c r="E1207" s="8" t="n">
        <v>0</v>
      </c>
      <c r="F1207" s="8" t="n">
        <v>0</v>
      </c>
    </row>
    <row r="1208" customFormat="false" ht="15" hidden="false" customHeight="true" outlineLevel="0" collapsed="false">
      <c r="A1208" s="8" t="s">
        <v>264</v>
      </c>
      <c r="B1208" s="8" t="s">
        <v>1221</v>
      </c>
      <c r="C1208" s="8" t="n">
        <v>0</v>
      </c>
      <c r="D1208" s="8" t="n">
        <v>0</v>
      </c>
      <c r="E1208" s="8" t="n">
        <v>1</v>
      </c>
      <c r="F1208" s="8" t="n">
        <v>5.81</v>
      </c>
    </row>
    <row r="1209" customFormat="false" ht="15" hidden="false" customHeight="true" outlineLevel="0" collapsed="false">
      <c r="A1209" s="8" t="s">
        <v>252</v>
      </c>
      <c r="B1209" s="8" t="s">
        <v>1177</v>
      </c>
      <c r="C1209" s="8" t="n">
        <v>8</v>
      </c>
      <c r="D1209" s="8" t="n">
        <v>132.8</v>
      </c>
      <c r="E1209" s="8" t="n">
        <v>3</v>
      </c>
      <c r="F1209" s="8" t="n">
        <v>49.8</v>
      </c>
    </row>
    <row r="1210" customFormat="false" ht="15" hidden="false" customHeight="true" outlineLevel="0" collapsed="false">
      <c r="A1210" s="8" t="s">
        <v>203</v>
      </c>
      <c r="B1210" s="8" t="s">
        <v>1177</v>
      </c>
      <c r="C1210" s="8" t="n">
        <v>8</v>
      </c>
      <c r="D1210" s="8" t="n">
        <v>148</v>
      </c>
      <c r="E1210" s="8" t="n">
        <v>6</v>
      </c>
      <c r="F1210" s="8" t="n">
        <v>111</v>
      </c>
    </row>
    <row r="1211" customFormat="false" ht="15" hidden="false" customHeight="true" outlineLevel="0" collapsed="false">
      <c r="A1211" s="8" t="s">
        <v>211</v>
      </c>
      <c r="B1211" s="8" t="s">
        <v>1250</v>
      </c>
      <c r="C1211" s="8" t="n">
        <v>29</v>
      </c>
      <c r="D1211" s="8" t="n">
        <v>725</v>
      </c>
      <c r="E1211" s="8" t="n">
        <v>5</v>
      </c>
      <c r="F1211" s="8" t="n">
        <v>125</v>
      </c>
    </row>
    <row r="1212" customFormat="false" ht="15" hidden="false" customHeight="true" outlineLevel="0" collapsed="false">
      <c r="A1212" s="8" t="s">
        <v>248</v>
      </c>
      <c r="B1212" s="8" t="s">
        <v>1242</v>
      </c>
      <c r="C1212" s="8" t="n">
        <v>20</v>
      </c>
      <c r="D1212" s="8" t="n">
        <v>420</v>
      </c>
      <c r="E1212" s="8" t="n">
        <v>12</v>
      </c>
      <c r="F1212" s="8" t="n">
        <v>252</v>
      </c>
    </row>
    <row r="1213" customFormat="false" ht="15" hidden="false" customHeight="true" outlineLevel="0" collapsed="false">
      <c r="A1213" s="8" t="s">
        <v>196</v>
      </c>
      <c r="B1213" s="8" t="s">
        <v>1243</v>
      </c>
      <c r="C1213" s="8" t="n">
        <v>4</v>
      </c>
      <c r="D1213" s="8" t="n">
        <v>214</v>
      </c>
      <c r="E1213" s="8" t="n">
        <v>4</v>
      </c>
      <c r="F1213" s="8" t="n">
        <v>214</v>
      </c>
    </row>
    <row r="1214" customFormat="false" ht="15" hidden="false" customHeight="true" outlineLevel="0" collapsed="false">
      <c r="A1214" s="8" t="s">
        <v>212</v>
      </c>
      <c r="B1214" s="8" t="s">
        <v>1278</v>
      </c>
      <c r="C1214" s="8" t="n">
        <v>4</v>
      </c>
      <c r="D1214" s="8" t="n">
        <v>374</v>
      </c>
      <c r="E1214" s="8" t="n">
        <v>0</v>
      </c>
      <c r="F1214" s="8" t="n">
        <v>0</v>
      </c>
    </row>
    <row r="1215" customFormat="false" ht="15" hidden="false" customHeight="true" outlineLevel="0" collapsed="false">
      <c r="A1215" s="8" t="s">
        <v>312</v>
      </c>
      <c r="B1215" s="8" t="s">
        <v>767</v>
      </c>
      <c r="C1215" s="8" t="n">
        <v>5</v>
      </c>
      <c r="D1215" s="8" t="n">
        <v>102.5</v>
      </c>
      <c r="E1215" s="8" t="n">
        <v>0</v>
      </c>
      <c r="F1215" s="8" t="n">
        <v>0</v>
      </c>
    </row>
    <row r="1216" customFormat="false" ht="15" hidden="false" customHeight="true" outlineLevel="0" collapsed="false">
      <c r="A1216" s="8" t="s">
        <v>226</v>
      </c>
      <c r="B1216" s="8" t="s">
        <v>566</v>
      </c>
      <c r="C1216" s="8" t="n">
        <v>15</v>
      </c>
      <c r="D1216" s="8" t="n">
        <v>312</v>
      </c>
      <c r="E1216" s="8" t="n">
        <v>12</v>
      </c>
      <c r="F1216" s="8" t="n">
        <v>249.6</v>
      </c>
    </row>
    <row r="1217" customFormat="false" ht="15" hidden="false" customHeight="true" outlineLevel="0" collapsed="false">
      <c r="A1217" s="8" t="s">
        <v>197</v>
      </c>
      <c r="B1217" s="8" t="s">
        <v>1222</v>
      </c>
      <c r="C1217" s="8" t="n">
        <v>6</v>
      </c>
      <c r="D1217" s="8" t="n">
        <v>390</v>
      </c>
      <c r="E1217" s="8" t="n">
        <v>2</v>
      </c>
      <c r="F1217" s="8" t="n">
        <v>130</v>
      </c>
    </row>
    <row r="1218" customFormat="false" ht="15" hidden="false" customHeight="true" outlineLevel="0" collapsed="false">
      <c r="A1218" s="8" t="s">
        <v>253</v>
      </c>
      <c r="B1218" s="8" t="s">
        <v>1222</v>
      </c>
      <c r="C1218" s="8" t="n">
        <v>1</v>
      </c>
      <c r="D1218" s="8" t="n">
        <v>65</v>
      </c>
      <c r="E1218" s="8" t="n">
        <v>1</v>
      </c>
      <c r="F1218" s="8" t="n">
        <v>65</v>
      </c>
    </row>
    <row r="1219" customFormat="false" ht="15" hidden="false" customHeight="true" outlineLevel="0" collapsed="false">
      <c r="A1219" s="8" t="s">
        <v>207</v>
      </c>
      <c r="B1219" s="8" t="s">
        <v>1222</v>
      </c>
      <c r="C1219" s="8" t="n">
        <v>1</v>
      </c>
      <c r="D1219" s="8" t="n">
        <v>65</v>
      </c>
      <c r="E1219" s="8" t="n">
        <v>0</v>
      </c>
      <c r="F1219" s="8" t="n">
        <v>0</v>
      </c>
    </row>
    <row r="1220" customFormat="false" ht="15" hidden="false" customHeight="true" outlineLevel="0" collapsed="false">
      <c r="A1220" s="8" t="s">
        <v>163</v>
      </c>
      <c r="B1220" s="8" t="s">
        <v>897</v>
      </c>
      <c r="C1220" s="8" t="n">
        <v>5</v>
      </c>
      <c r="D1220" s="8" t="n">
        <v>325</v>
      </c>
      <c r="E1220" s="8" t="n">
        <v>0</v>
      </c>
      <c r="F1220" s="8" t="n">
        <v>0</v>
      </c>
    </row>
    <row r="1221" customFormat="false" ht="15" hidden="false" customHeight="true" outlineLevel="0" collapsed="false">
      <c r="A1221" s="8" t="s">
        <v>181</v>
      </c>
      <c r="B1221" s="8" t="s">
        <v>897</v>
      </c>
      <c r="C1221" s="8" t="n">
        <v>4</v>
      </c>
      <c r="D1221" s="8" t="n">
        <v>260</v>
      </c>
      <c r="E1221" s="8" t="n">
        <v>0</v>
      </c>
      <c r="F1221" s="8" t="n">
        <v>0</v>
      </c>
    </row>
    <row r="1222" customFormat="false" ht="15" hidden="false" customHeight="true" outlineLevel="0" collapsed="false">
      <c r="A1222" s="8" t="s">
        <v>290</v>
      </c>
      <c r="B1222" s="8" t="s">
        <v>897</v>
      </c>
      <c r="C1222" s="8" t="n">
        <v>1</v>
      </c>
      <c r="D1222" s="8" t="n">
        <v>65</v>
      </c>
      <c r="E1222" s="8" t="n">
        <v>0</v>
      </c>
      <c r="F1222" s="8" t="n">
        <v>0</v>
      </c>
    </row>
    <row r="1223" customFormat="false" ht="15" hidden="false" customHeight="true" outlineLevel="0" collapsed="false">
      <c r="A1223" s="8" t="s">
        <v>165</v>
      </c>
      <c r="B1223" s="8" t="s">
        <v>897</v>
      </c>
      <c r="C1223" s="8" t="n">
        <v>1</v>
      </c>
      <c r="D1223" s="8" t="n">
        <v>65</v>
      </c>
      <c r="E1223" s="8" t="n">
        <v>1</v>
      </c>
      <c r="F1223" s="8" t="n">
        <v>65</v>
      </c>
    </row>
    <row r="1224" customFormat="false" ht="15" hidden="false" customHeight="true" outlineLevel="0" collapsed="false">
      <c r="A1224" s="8" t="s">
        <v>175</v>
      </c>
      <c r="B1224" s="8" t="s">
        <v>1244</v>
      </c>
      <c r="C1224" s="8" t="n">
        <v>2</v>
      </c>
      <c r="D1224" s="8" t="n">
        <v>351</v>
      </c>
      <c r="E1224" s="8" t="n">
        <v>0</v>
      </c>
      <c r="F1224" s="8" t="n">
        <v>0</v>
      </c>
    </row>
    <row r="1225" customFormat="false" ht="15" hidden="false" customHeight="true" outlineLevel="0" collapsed="false">
      <c r="A1225" s="8" t="s">
        <v>221</v>
      </c>
      <c r="B1225" s="8" t="s">
        <v>1179</v>
      </c>
      <c r="C1225" s="8" t="n">
        <v>2</v>
      </c>
      <c r="D1225" s="8" t="n">
        <v>144.68</v>
      </c>
      <c r="E1225" s="8" t="n">
        <v>0</v>
      </c>
      <c r="F1225" s="8" t="n">
        <v>0</v>
      </c>
    </row>
    <row r="1226" customFormat="false" ht="15" hidden="false" customHeight="true" outlineLevel="0" collapsed="false">
      <c r="A1226" s="8" t="s">
        <v>191</v>
      </c>
      <c r="B1226" s="8" t="s">
        <v>1179</v>
      </c>
      <c r="C1226" s="8" t="n">
        <v>1</v>
      </c>
      <c r="D1226" s="8" t="n">
        <v>72.34</v>
      </c>
      <c r="E1226" s="8" t="n">
        <v>0</v>
      </c>
      <c r="F1226" s="8" t="n">
        <v>0</v>
      </c>
    </row>
    <row r="1227" customFormat="false" ht="15" hidden="false" customHeight="true" outlineLevel="0" collapsed="false">
      <c r="A1227" s="8" t="s">
        <v>190</v>
      </c>
      <c r="B1227" s="8" t="s">
        <v>1224</v>
      </c>
      <c r="C1227" s="8" t="n">
        <v>7</v>
      </c>
      <c r="D1227" s="8" t="n">
        <v>171.01</v>
      </c>
      <c r="E1227" s="8" t="n">
        <v>4</v>
      </c>
      <c r="F1227" s="8" t="n">
        <v>97.72</v>
      </c>
    </row>
    <row r="1228" customFormat="false" ht="15" hidden="false" customHeight="true" outlineLevel="0" collapsed="false">
      <c r="A1228" s="8" t="s">
        <v>183</v>
      </c>
      <c r="B1228" s="8" t="s">
        <v>1224</v>
      </c>
      <c r="C1228" s="8" t="n">
        <v>16</v>
      </c>
      <c r="D1228" s="8" t="n">
        <v>390.88</v>
      </c>
      <c r="E1228" s="8" t="n">
        <v>3</v>
      </c>
      <c r="F1228" s="8" t="n">
        <v>73.29</v>
      </c>
    </row>
    <row r="1229" customFormat="false" ht="15" hidden="false" customHeight="true" outlineLevel="0" collapsed="false">
      <c r="A1229" s="8" t="s">
        <v>218</v>
      </c>
      <c r="B1229" s="8" t="s">
        <v>1224</v>
      </c>
      <c r="C1229" s="8" t="n">
        <v>5</v>
      </c>
      <c r="D1229" s="8" t="n">
        <v>122.15</v>
      </c>
      <c r="E1229" s="8" t="n">
        <v>0</v>
      </c>
      <c r="F1229" s="8" t="n">
        <v>0</v>
      </c>
    </row>
    <row r="1230" customFormat="false" ht="15" hidden="false" customHeight="true" outlineLevel="0" collapsed="false">
      <c r="A1230" s="8" t="s">
        <v>231</v>
      </c>
      <c r="B1230" s="8" t="s">
        <v>1224</v>
      </c>
      <c r="C1230" s="8" t="n">
        <v>2</v>
      </c>
      <c r="D1230" s="8" t="n">
        <v>48.86</v>
      </c>
      <c r="E1230" s="8" t="n">
        <v>0</v>
      </c>
      <c r="F1230" s="8" t="n">
        <v>0</v>
      </c>
    </row>
    <row r="1231" customFormat="false" ht="15" hidden="false" customHeight="true" outlineLevel="0" collapsed="false">
      <c r="A1231" s="8" t="s">
        <v>161</v>
      </c>
      <c r="B1231" s="8" t="s">
        <v>1208</v>
      </c>
      <c r="C1231" s="8" t="n">
        <v>45</v>
      </c>
      <c r="D1231" s="8" t="n">
        <v>2047.5</v>
      </c>
      <c r="E1231" s="8" t="n">
        <v>6</v>
      </c>
      <c r="F1231" s="8" t="n">
        <v>273</v>
      </c>
    </row>
    <row r="1232" customFormat="false" ht="15" hidden="false" customHeight="true" outlineLevel="0" collapsed="false">
      <c r="A1232" s="8" t="s">
        <v>162</v>
      </c>
      <c r="B1232" s="8" t="s">
        <v>1209</v>
      </c>
      <c r="C1232" s="8" t="n">
        <v>17</v>
      </c>
      <c r="D1232" s="8" t="n">
        <v>1322.6</v>
      </c>
      <c r="E1232" s="8" t="n">
        <v>8</v>
      </c>
      <c r="F1232" s="8" t="n">
        <v>622.4</v>
      </c>
    </row>
    <row r="1233" customFormat="false" ht="15" hidden="false" customHeight="true" outlineLevel="0" collapsed="false">
      <c r="A1233" s="8" t="s">
        <v>171</v>
      </c>
      <c r="B1233" s="8" t="s">
        <v>1210</v>
      </c>
      <c r="C1233" s="8" t="n">
        <v>4</v>
      </c>
      <c r="D1233" s="8" t="n">
        <v>188.92</v>
      </c>
      <c r="E1233" s="8" t="n">
        <v>0</v>
      </c>
      <c r="F1233" s="8" t="n">
        <v>0</v>
      </c>
    </row>
    <row r="1234" customFormat="false" ht="15" hidden="false" customHeight="true" outlineLevel="0" collapsed="false">
      <c r="A1234" s="8" t="s">
        <v>174</v>
      </c>
      <c r="B1234" s="8" t="s">
        <v>1210</v>
      </c>
      <c r="C1234" s="8" t="n">
        <v>3</v>
      </c>
      <c r="D1234" s="8" t="n">
        <v>141.69</v>
      </c>
      <c r="E1234" s="8" t="n">
        <v>1</v>
      </c>
      <c r="F1234" s="8" t="n">
        <v>47.23</v>
      </c>
    </row>
    <row r="1235" customFormat="false" ht="15" hidden="false" customHeight="true" outlineLevel="0" collapsed="false">
      <c r="A1235" s="8" t="s">
        <v>166</v>
      </c>
      <c r="B1235" s="8" t="s">
        <v>1211</v>
      </c>
      <c r="C1235" s="8" t="n">
        <v>12</v>
      </c>
      <c r="D1235" s="8" t="n">
        <v>759.24</v>
      </c>
      <c r="E1235" s="8" t="n">
        <v>2</v>
      </c>
      <c r="F1235" s="8" t="n">
        <v>126.54</v>
      </c>
    </row>
    <row r="1236" customFormat="false" ht="15" hidden="false" customHeight="true" outlineLevel="0" collapsed="false">
      <c r="A1236" s="8" t="s">
        <v>164</v>
      </c>
      <c r="B1236" s="8" t="s">
        <v>1211</v>
      </c>
      <c r="C1236" s="8" t="n">
        <v>4</v>
      </c>
      <c r="D1236" s="8" t="n">
        <v>253.08</v>
      </c>
      <c r="E1236" s="8" t="n">
        <v>2</v>
      </c>
      <c r="F1236" s="8" t="n">
        <v>126.54</v>
      </c>
    </row>
    <row r="1237" customFormat="false" ht="15" hidden="false" customHeight="true" outlineLevel="0" collapsed="false">
      <c r="A1237" s="8" t="s">
        <v>222</v>
      </c>
      <c r="B1237" s="8" t="s">
        <v>1211</v>
      </c>
      <c r="C1237" s="8" t="n">
        <v>0</v>
      </c>
      <c r="D1237" s="8" t="n">
        <v>0</v>
      </c>
      <c r="E1237" s="8" t="n">
        <v>1</v>
      </c>
      <c r="F1237" s="8" t="n">
        <v>63.27</v>
      </c>
    </row>
    <row r="1238" customFormat="false" ht="15" hidden="false" customHeight="true" outlineLevel="0" collapsed="false">
      <c r="A1238" s="8" t="s">
        <v>187</v>
      </c>
      <c r="B1238" s="8" t="s">
        <v>1211</v>
      </c>
      <c r="C1238" s="8" t="n">
        <v>3</v>
      </c>
      <c r="D1238" s="8" t="n">
        <v>189.81</v>
      </c>
      <c r="E1238" s="8" t="n">
        <v>1</v>
      </c>
      <c r="F1238" s="8" t="n">
        <v>63.27</v>
      </c>
    </row>
    <row r="1239" customFormat="false" ht="15" hidden="false" customHeight="true" outlineLevel="0" collapsed="false">
      <c r="A1239" s="8" t="s">
        <v>206</v>
      </c>
      <c r="B1239" s="8" t="s">
        <v>1288</v>
      </c>
      <c r="C1239" s="8" t="n">
        <v>1</v>
      </c>
      <c r="D1239" s="8" t="n">
        <v>97.35</v>
      </c>
      <c r="E1239" s="8" t="n">
        <v>0</v>
      </c>
      <c r="F1239" s="8" t="n">
        <v>0</v>
      </c>
    </row>
    <row r="1240" customFormat="false" ht="15" hidden="false" customHeight="true" outlineLevel="0" collapsed="false">
      <c r="A1240" s="8" t="s">
        <v>188</v>
      </c>
      <c r="B1240" s="8" t="s">
        <v>1225</v>
      </c>
      <c r="C1240" s="8" t="n">
        <v>9</v>
      </c>
      <c r="D1240" s="8" t="n">
        <v>260.37</v>
      </c>
      <c r="E1240" s="8" t="n">
        <v>0</v>
      </c>
      <c r="F1240" s="8" t="n">
        <v>0</v>
      </c>
    </row>
    <row r="1241" customFormat="false" ht="15" hidden="false" customHeight="true" outlineLevel="0" collapsed="false">
      <c r="A1241" s="8" t="s">
        <v>186</v>
      </c>
      <c r="B1241" s="8" t="s">
        <v>1225</v>
      </c>
      <c r="C1241" s="8" t="n">
        <v>5</v>
      </c>
      <c r="D1241" s="8" t="n">
        <v>144.65</v>
      </c>
      <c r="E1241" s="8" t="n">
        <v>0</v>
      </c>
      <c r="F1241" s="8" t="n">
        <v>0</v>
      </c>
    </row>
    <row r="1242" customFormat="false" ht="15" hidden="false" customHeight="true" outlineLevel="0" collapsed="false">
      <c r="A1242" s="8" t="s">
        <v>239</v>
      </c>
      <c r="B1242" s="8" t="s">
        <v>1225</v>
      </c>
      <c r="C1242" s="8" t="n">
        <v>7</v>
      </c>
      <c r="D1242" s="8" t="n">
        <v>202.51</v>
      </c>
      <c r="E1242" s="8" t="n">
        <v>0</v>
      </c>
      <c r="F1242" s="8" t="n">
        <v>0</v>
      </c>
    </row>
    <row r="1243" customFormat="false" ht="15" hidden="false" customHeight="true" outlineLevel="0" collapsed="false">
      <c r="A1243" s="8" t="s">
        <v>210</v>
      </c>
      <c r="B1243" s="8" t="s">
        <v>1225</v>
      </c>
      <c r="C1243" s="8" t="n">
        <v>9</v>
      </c>
      <c r="D1243" s="8" t="n">
        <v>260.37</v>
      </c>
      <c r="E1243" s="8" t="n">
        <v>0</v>
      </c>
      <c r="F1243" s="8" t="n">
        <v>0</v>
      </c>
    </row>
    <row r="1244" customFormat="false" ht="15" hidden="false" customHeight="true" outlineLevel="0" collapsed="false">
      <c r="A1244" s="8" t="s">
        <v>238</v>
      </c>
      <c r="B1244" s="8" t="s">
        <v>1226</v>
      </c>
      <c r="C1244" s="8" t="n">
        <v>0</v>
      </c>
      <c r="D1244" s="8" t="n">
        <v>0</v>
      </c>
      <c r="E1244" s="8" t="n">
        <v>1</v>
      </c>
      <c r="F1244" s="8" t="n">
        <v>42.17</v>
      </c>
    </row>
    <row r="1245" customFormat="false" ht="15" hidden="false" customHeight="true" outlineLevel="0" collapsed="false">
      <c r="A1245" s="8" t="s">
        <v>201</v>
      </c>
      <c r="B1245" s="8" t="s">
        <v>1226</v>
      </c>
      <c r="C1245" s="8" t="n">
        <v>3</v>
      </c>
      <c r="D1245" s="8" t="n">
        <v>126.51</v>
      </c>
      <c r="E1245" s="8" t="n">
        <v>1</v>
      </c>
      <c r="F1245" s="8" t="n">
        <v>42.17</v>
      </c>
    </row>
    <row r="1246" customFormat="false" ht="15" hidden="false" customHeight="true" outlineLevel="0" collapsed="false">
      <c r="A1246" s="8" t="s">
        <v>314</v>
      </c>
      <c r="B1246" s="8" t="s">
        <v>1226</v>
      </c>
      <c r="C1246" s="8" t="n">
        <v>1</v>
      </c>
      <c r="D1246" s="8" t="n">
        <v>42.17</v>
      </c>
      <c r="E1246" s="8" t="n">
        <v>0</v>
      </c>
      <c r="F1246" s="8" t="n">
        <v>0</v>
      </c>
    </row>
    <row r="1247" customFormat="false" ht="15" hidden="false" customHeight="true" outlineLevel="0" collapsed="false">
      <c r="A1247" s="8" t="s">
        <v>241</v>
      </c>
      <c r="B1247" s="8" t="s">
        <v>1227</v>
      </c>
      <c r="C1247" s="8" t="n">
        <v>4</v>
      </c>
      <c r="D1247" s="8" t="n">
        <v>68</v>
      </c>
      <c r="E1247" s="8" t="n">
        <v>2</v>
      </c>
      <c r="F1247" s="8" t="n">
        <v>34</v>
      </c>
    </row>
    <row r="1248" customFormat="false" ht="15" hidden="false" customHeight="true" outlineLevel="0" collapsed="false">
      <c r="A1248" s="8" t="s">
        <v>219</v>
      </c>
      <c r="B1248" s="8" t="s">
        <v>1227</v>
      </c>
      <c r="C1248" s="8" t="n">
        <v>7</v>
      </c>
      <c r="D1248" s="8" t="n">
        <v>119</v>
      </c>
      <c r="E1248" s="8" t="n">
        <v>2</v>
      </c>
      <c r="F1248" s="8" t="n">
        <v>34</v>
      </c>
    </row>
    <row r="1249" customFormat="false" ht="15" hidden="false" customHeight="true" outlineLevel="0" collapsed="false">
      <c r="A1249" s="8" t="s">
        <v>292</v>
      </c>
      <c r="B1249" s="8" t="s">
        <v>1227</v>
      </c>
      <c r="C1249" s="8" t="n">
        <v>2</v>
      </c>
      <c r="D1249" s="8" t="n">
        <v>34</v>
      </c>
      <c r="E1249" s="8" t="n">
        <v>0</v>
      </c>
      <c r="F1249" s="8" t="n">
        <v>0</v>
      </c>
    </row>
    <row r="1250" customFormat="false" ht="15" hidden="false" customHeight="true" outlineLevel="0" collapsed="false">
      <c r="A1250" s="8" t="s">
        <v>223</v>
      </c>
      <c r="B1250" s="8" t="s">
        <v>1227</v>
      </c>
      <c r="C1250" s="8" t="n">
        <v>10</v>
      </c>
      <c r="D1250" s="8" t="n">
        <v>170</v>
      </c>
      <c r="E1250" s="8" t="n">
        <v>0</v>
      </c>
      <c r="F1250" s="8" t="n">
        <v>0</v>
      </c>
    </row>
    <row r="1251" customFormat="false" ht="15" hidden="false" customHeight="true" outlineLevel="0" collapsed="false">
      <c r="A1251" s="8" t="s">
        <v>287</v>
      </c>
      <c r="B1251" s="8" t="s">
        <v>1227</v>
      </c>
      <c r="C1251" s="8" t="n">
        <v>1</v>
      </c>
      <c r="D1251" s="8" t="n">
        <v>17</v>
      </c>
      <c r="E1251" s="8" t="n">
        <v>0</v>
      </c>
      <c r="F1251" s="8" t="n">
        <v>0</v>
      </c>
    </row>
    <row r="1252" customFormat="false" ht="15" hidden="false" customHeight="true" outlineLevel="0" collapsed="false">
      <c r="A1252" s="8" t="s">
        <v>237</v>
      </c>
      <c r="B1252" s="8" t="s">
        <v>1259</v>
      </c>
      <c r="C1252" s="8" t="n">
        <v>5</v>
      </c>
      <c r="D1252" s="8" t="n">
        <v>92.25</v>
      </c>
      <c r="E1252" s="8" t="n">
        <v>0</v>
      </c>
      <c r="F1252" s="8" t="n">
        <v>0</v>
      </c>
    </row>
    <row r="1253" customFormat="false" ht="15" hidden="false" customHeight="true" outlineLevel="0" collapsed="false">
      <c r="A1253" s="8" t="s">
        <v>266</v>
      </c>
      <c r="B1253" s="8" t="s">
        <v>1228</v>
      </c>
      <c r="C1253" s="8" t="n">
        <v>2</v>
      </c>
      <c r="D1253" s="8" t="n">
        <v>39.84</v>
      </c>
      <c r="E1253" s="8" t="n">
        <v>0</v>
      </c>
      <c r="F1253" s="8" t="n">
        <v>0</v>
      </c>
    </row>
    <row r="1254" customFormat="false" ht="15" hidden="false" customHeight="true" outlineLevel="0" collapsed="false">
      <c r="A1254" s="8" t="s">
        <v>246</v>
      </c>
      <c r="B1254" s="8" t="s">
        <v>1261</v>
      </c>
      <c r="C1254" s="8" t="n">
        <v>5</v>
      </c>
      <c r="D1254" s="8" t="n">
        <v>86.75</v>
      </c>
      <c r="E1254" s="8" t="n">
        <v>0</v>
      </c>
      <c r="F1254" s="8" t="n">
        <v>0</v>
      </c>
    </row>
    <row r="1255" customFormat="false" ht="15" hidden="false" customHeight="true" outlineLevel="0" collapsed="false">
      <c r="A1255" s="8" t="s">
        <v>202</v>
      </c>
      <c r="B1255" s="8" t="s">
        <v>1212</v>
      </c>
      <c r="C1255" s="8" t="n">
        <v>8</v>
      </c>
      <c r="D1255" s="8" t="n">
        <v>76</v>
      </c>
      <c r="E1255" s="8" t="n">
        <v>6</v>
      </c>
      <c r="F1255" s="8" t="n">
        <v>57</v>
      </c>
    </row>
    <row r="1256" customFormat="false" ht="15" hidden="false" customHeight="true" outlineLevel="0" collapsed="false">
      <c r="A1256" s="8" t="s">
        <v>244</v>
      </c>
      <c r="B1256" s="8" t="s">
        <v>1213</v>
      </c>
      <c r="C1256" s="8" t="n">
        <v>4</v>
      </c>
      <c r="D1256" s="8" t="n">
        <v>38</v>
      </c>
      <c r="E1256" s="8" t="n">
        <v>0</v>
      </c>
      <c r="F1256" s="8" t="n">
        <v>0</v>
      </c>
    </row>
    <row r="1257" customFormat="false" ht="15" hidden="false" customHeight="true" outlineLevel="0" collapsed="false">
      <c r="A1257" s="8" t="s">
        <v>251</v>
      </c>
      <c r="B1257" s="8" t="s">
        <v>1262</v>
      </c>
      <c r="C1257" s="8" t="n">
        <v>6</v>
      </c>
      <c r="D1257" s="8" t="n">
        <v>58.26</v>
      </c>
      <c r="E1257" s="8" t="n">
        <v>3</v>
      </c>
      <c r="F1257" s="8" t="n">
        <v>29.13</v>
      </c>
    </row>
    <row r="1258" customFormat="false" ht="15" hidden="false" customHeight="true" outlineLevel="0" collapsed="false">
      <c r="A1258" s="8" t="s">
        <v>308</v>
      </c>
      <c r="B1258" s="8" t="s">
        <v>1229</v>
      </c>
      <c r="C1258" s="8" t="n">
        <v>0</v>
      </c>
      <c r="D1258" s="8" t="n">
        <v>0</v>
      </c>
      <c r="E1258" s="8" t="n">
        <v>1</v>
      </c>
      <c r="F1258" s="8" t="n">
        <v>8.08</v>
      </c>
    </row>
    <row r="1259" customFormat="false" ht="15" hidden="false" customHeight="true" outlineLevel="0" collapsed="false">
      <c r="A1259" s="8" t="s">
        <v>172</v>
      </c>
      <c r="B1259" s="8" t="s">
        <v>1214</v>
      </c>
      <c r="C1259" s="8" t="n">
        <v>8</v>
      </c>
      <c r="D1259" s="8" t="n">
        <v>97.44</v>
      </c>
      <c r="E1259" s="8" t="n">
        <v>5</v>
      </c>
      <c r="F1259" s="8" t="n">
        <v>60.9</v>
      </c>
    </row>
    <row r="1260" customFormat="false" ht="15" hidden="false" customHeight="true" outlineLevel="0" collapsed="false">
      <c r="A1260" s="8" t="s">
        <v>261</v>
      </c>
      <c r="B1260" s="8" t="s">
        <v>1215</v>
      </c>
      <c r="C1260" s="8" t="n">
        <v>2</v>
      </c>
      <c r="D1260" s="8" t="n">
        <v>42.42</v>
      </c>
      <c r="E1260" s="8" t="n">
        <v>0</v>
      </c>
      <c r="F1260" s="8" t="n">
        <v>0</v>
      </c>
    </row>
    <row r="1261" customFormat="false" ht="15" hidden="false" customHeight="true" outlineLevel="0" collapsed="false">
      <c r="A1261" s="8" t="s">
        <v>213</v>
      </c>
      <c r="B1261" s="8" t="s">
        <v>1232</v>
      </c>
      <c r="C1261" s="8" t="n">
        <v>5</v>
      </c>
      <c r="D1261" s="8" t="n">
        <v>137.75</v>
      </c>
      <c r="E1261" s="8" t="n">
        <v>0</v>
      </c>
      <c r="F1261" s="8" t="n">
        <v>0</v>
      </c>
    </row>
    <row r="1262" customFormat="false" ht="15" hidden="false" customHeight="true" outlineLevel="0" collapsed="false">
      <c r="A1262" s="8" t="s">
        <v>232</v>
      </c>
      <c r="B1262" s="8" t="s">
        <v>1233</v>
      </c>
      <c r="C1262" s="8" t="n">
        <v>2</v>
      </c>
      <c r="D1262" s="8" t="n">
        <v>32.4</v>
      </c>
      <c r="E1262" s="8" t="n">
        <v>1</v>
      </c>
      <c r="F1262" s="8" t="n">
        <v>16.2</v>
      </c>
    </row>
    <row r="1263" customFormat="false" ht="15" hidden="false" customHeight="true" outlineLevel="0" collapsed="false">
      <c r="A1263" s="8" t="s">
        <v>255</v>
      </c>
      <c r="B1263" s="8" t="s">
        <v>1273</v>
      </c>
      <c r="C1263" s="8" t="n">
        <v>9</v>
      </c>
      <c r="D1263" s="8" t="n">
        <v>73.8</v>
      </c>
      <c r="E1263" s="8" t="n">
        <v>0</v>
      </c>
      <c r="F1263" s="8" t="n">
        <v>0</v>
      </c>
    </row>
    <row r="1264" customFormat="false" ht="15" hidden="false" customHeight="true" outlineLevel="0" collapsed="false">
      <c r="A1264" s="8" t="s">
        <v>194</v>
      </c>
      <c r="B1264" s="8" t="s">
        <v>1239</v>
      </c>
      <c r="C1264" s="8" t="n">
        <v>8</v>
      </c>
      <c r="D1264" s="8" t="n">
        <v>78.56</v>
      </c>
      <c r="E1264" s="8" t="n">
        <v>0</v>
      </c>
      <c r="F1264" s="8" t="n">
        <v>0</v>
      </c>
    </row>
    <row r="1265" customFormat="false" ht="15" hidden="false" customHeight="true" outlineLevel="0" collapsed="false">
      <c r="A1265" s="8" t="s">
        <v>279</v>
      </c>
      <c r="B1265" s="8" t="s">
        <v>1274</v>
      </c>
      <c r="C1265" s="8" t="n">
        <v>9</v>
      </c>
      <c r="D1265" s="8" t="n">
        <v>88.38</v>
      </c>
      <c r="E1265" s="8" t="n">
        <v>0</v>
      </c>
      <c r="F1265" s="8" t="n">
        <v>0</v>
      </c>
    </row>
    <row r="1266" customFormat="false" ht="15" hidden="false" customHeight="true" outlineLevel="0" collapsed="false">
      <c r="A1266" s="8" t="s">
        <v>299</v>
      </c>
      <c r="B1266" s="8" t="s">
        <v>1263</v>
      </c>
      <c r="C1266" s="8" t="n">
        <v>0</v>
      </c>
      <c r="D1266" s="8" t="n">
        <v>0</v>
      </c>
      <c r="E1266" s="8" t="n">
        <v>1</v>
      </c>
      <c r="F1266" s="8" t="n">
        <v>53.53</v>
      </c>
    </row>
    <row r="1267" customFormat="false" ht="15" hidden="false" customHeight="true" outlineLevel="0" collapsed="false">
      <c r="A1267" s="8" t="s">
        <v>317</v>
      </c>
      <c r="B1267" s="8" t="s">
        <v>621</v>
      </c>
      <c r="C1267" s="8" t="n">
        <v>2</v>
      </c>
      <c r="D1267" s="8" t="n">
        <v>98.6</v>
      </c>
      <c r="E1267" s="8" t="n">
        <v>0</v>
      </c>
      <c r="F1267" s="8" t="n">
        <v>0</v>
      </c>
    </row>
    <row r="1268" customFormat="false" ht="15" hidden="false" customHeight="true" outlineLevel="0" collapsed="false">
      <c r="A1268" s="8" t="s">
        <v>276</v>
      </c>
      <c r="B1268" s="8" t="s">
        <v>621</v>
      </c>
      <c r="C1268" s="8" t="n">
        <v>0</v>
      </c>
      <c r="D1268" s="8" t="n">
        <v>0</v>
      </c>
      <c r="E1268" s="8" t="n">
        <v>2</v>
      </c>
      <c r="F1268" s="8" t="n">
        <v>84</v>
      </c>
    </row>
    <row r="1269" customFormat="false" ht="15" hidden="false" customHeight="true" outlineLevel="0" collapsed="false">
      <c r="A1269" s="8" t="s">
        <v>192</v>
      </c>
      <c r="B1269" s="8" t="s">
        <v>1240</v>
      </c>
      <c r="C1269" s="8" t="n">
        <v>6</v>
      </c>
      <c r="D1269" s="8" t="n">
        <v>250.86</v>
      </c>
      <c r="E1269" s="8" t="n">
        <v>0</v>
      </c>
      <c r="F1269" s="8" t="n">
        <v>0</v>
      </c>
    </row>
    <row r="1270" customFormat="false" ht="15" hidden="false" customHeight="true" outlineLevel="0" collapsed="false">
      <c r="A1270" s="8" t="s">
        <v>168</v>
      </c>
      <c r="B1270" s="8" t="s">
        <v>1240</v>
      </c>
      <c r="C1270" s="8" t="n">
        <v>7</v>
      </c>
      <c r="D1270" s="8" t="n">
        <v>292.67</v>
      </c>
      <c r="E1270" s="8" t="n">
        <v>0</v>
      </c>
      <c r="F1270" s="8" t="n">
        <v>0</v>
      </c>
    </row>
    <row r="1271" customFormat="false" ht="15" hidden="false" customHeight="true" outlineLevel="0" collapsed="false">
      <c r="A1271" s="8" t="s">
        <v>169</v>
      </c>
      <c r="B1271" s="8" t="s">
        <v>1240</v>
      </c>
      <c r="C1271" s="8" t="n">
        <v>2</v>
      </c>
      <c r="D1271" s="8" t="n">
        <v>83.62</v>
      </c>
      <c r="E1271" s="8" t="n">
        <v>0</v>
      </c>
      <c r="F1271" s="8" t="n">
        <v>0</v>
      </c>
    </row>
    <row r="1272" customFormat="false" ht="15" hidden="false" customHeight="true" outlineLevel="0" collapsed="false">
      <c r="A1272" s="8" t="s">
        <v>268</v>
      </c>
      <c r="B1272" s="8" t="s">
        <v>1234</v>
      </c>
      <c r="C1272" s="8" t="n">
        <v>1</v>
      </c>
      <c r="D1272" s="8" t="n">
        <v>35.67</v>
      </c>
      <c r="E1272" s="8" t="n">
        <v>0</v>
      </c>
      <c r="F1272" s="8" t="n">
        <v>0</v>
      </c>
    </row>
    <row r="1273" customFormat="false" ht="15" hidden="false" customHeight="true" outlineLevel="0" collapsed="false">
      <c r="A1273" s="8" t="s">
        <v>209</v>
      </c>
      <c r="B1273" s="8" t="s">
        <v>1245</v>
      </c>
      <c r="C1273" s="8" t="n">
        <v>1</v>
      </c>
      <c r="D1273" s="8" t="n">
        <v>64.89</v>
      </c>
      <c r="E1273" s="8" t="n">
        <v>0</v>
      </c>
      <c r="F1273" s="8" t="n">
        <v>0</v>
      </c>
    </row>
    <row r="1274" customFormat="false" ht="15" hidden="false" customHeight="true" outlineLevel="0" collapsed="false">
      <c r="A1274" s="8" t="s">
        <v>180</v>
      </c>
      <c r="B1274" s="8" t="s">
        <v>1216</v>
      </c>
      <c r="C1274" s="8" t="n">
        <v>24</v>
      </c>
      <c r="D1274" s="8" t="n">
        <v>396</v>
      </c>
      <c r="E1274" s="8" t="n">
        <v>6</v>
      </c>
      <c r="F1274" s="8" t="n">
        <v>99</v>
      </c>
    </row>
    <row r="1275" customFormat="false" ht="15" hidden="false" customHeight="true" outlineLevel="0" collapsed="false">
      <c r="A1275" s="8" t="s">
        <v>189</v>
      </c>
      <c r="B1275" s="8" t="s">
        <v>1216</v>
      </c>
      <c r="C1275" s="8" t="n">
        <v>10</v>
      </c>
      <c r="D1275" s="8" t="n">
        <v>165</v>
      </c>
      <c r="E1275" s="8" t="n">
        <v>0</v>
      </c>
      <c r="F1275" s="8" t="n">
        <v>0</v>
      </c>
    </row>
    <row r="1276" customFormat="false" ht="15" hidden="false" customHeight="true" outlineLevel="0" collapsed="false">
      <c r="A1276" s="8" t="s">
        <v>267</v>
      </c>
      <c r="B1276" s="8" t="s">
        <v>1216</v>
      </c>
      <c r="C1276" s="8" t="n">
        <v>6</v>
      </c>
      <c r="D1276" s="8" t="n">
        <v>99</v>
      </c>
      <c r="E1276" s="8" t="n">
        <v>0</v>
      </c>
      <c r="F1276" s="8" t="n">
        <v>0</v>
      </c>
    </row>
    <row r="1277" customFormat="false" ht="15" hidden="false" customHeight="true" outlineLevel="0" collapsed="false">
      <c r="A1277" s="8" t="s">
        <v>199</v>
      </c>
      <c r="B1277" s="8" t="s">
        <v>1216</v>
      </c>
      <c r="C1277" s="8" t="n">
        <v>15</v>
      </c>
      <c r="D1277" s="8" t="n">
        <v>247.5</v>
      </c>
      <c r="E1277" s="8" t="n">
        <v>0</v>
      </c>
      <c r="F1277" s="8" t="n">
        <v>0</v>
      </c>
    </row>
    <row r="1278" customFormat="false" ht="15" hidden="false" customHeight="true" outlineLevel="0" collapsed="false">
      <c r="A1278" s="8" t="s">
        <v>250</v>
      </c>
      <c r="B1278" s="8" t="s">
        <v>1216</v>
      </c>
      <c r="C1278" s="8" t="n">
        <v>3</v>
      </c>
      <c r="D1278" s="8" t="n">
        <v>49.5</v>
      </c>
      <c r="E1278" s="8" t="n">
        <v>0</v>
      </c>
      <c r="F1278" s="8" t="n">
        <v>0</v>
      </c>
    </row>
    <row r="1279" customFormat="false" ht="15" hidden="false" customHeight="true" outlineLevel="0" collapsed="false">
      <c r="A1279" s="8" t="s">
        <v>198</v>
      </c>
      <c r="B1279" s="8" t="s">
        <v>1217</v>
      </c>
      <c r="C1279" s="8" t="n">
        <v>13</v>
      </c>
      <c r="D1279" s="8" t="n">
        <v>266.5</v>
      </c>
      <c r="E1279" s="8" t="n">
        <v>0</v>
      </c>
      <c r="F1279" s="8" t="n">
        <v>0</v>
      </c>
    </row>
    <row r="1280" customFormat="false" ht="15" hidden="false" customHeight="true" outlineLevel="0" collapsed="false">
      <c r="A1280" s="8" t="s">
        <v>193</v>
      </c>
      <c r="B1280" s="8" t="s">
        <v>1217</v>
      </c>
      <c r="C1280" s="8" t="n">
        <v>9</v>
      </c>
      <c r="D1280" s="8" t="n">
        <v>184.5</v>
      </c>
      <c r="E1280" s="8" t="n">
        <v>1</v>
      </c>
      <c r="F1280" s="8" t="n">
        <v>20.5</v>
      </c>
    </row>
    <row r="1281" customFormat="false" ht="15" hidden="false" customHeight="true" outlineLevel="0" collapsed="false">
      <c r="A1281" s="8" t="s">
        <v>205</v>
      </c>
      <c r="B1281" s="8" t="s">
        <v>1217</v>
      </c>
      <c r="C1281" s="8" t="n">
        <v>6</v>
      </c>
      <c r="D1281" s="8" t="n">
        <v>123</v>
      </c>
      <c r="E1281" s="8" t="n">
        <v>0</v>
      </c>
      <c r="F1281" s="8" t="n">
        <v>0</v>
      </c>
    </row>
    <row r="1282" customFormat="false" ht="15" hidden="false" customHeight="true" outlineLevel="0" collapsed="false">
      <c r="A1282" s="8" t="s">
        <v>354</v>
      </c>
      <c r="B1282" s="8" t="s">
        <v>767</v>
      </c>
      <c r="C1282" s="8" t="n">
        <v>0</v>
      </c>
      <c r="D1282" s="8" t="n">
        <v>0</v>
      </c>
      <c r="E1282" s="8" t="n">
        <v>1</v>
      </c>
      <c r="F1282" s="8" t="n">
        <v>21</v>
      </c>
    </row>
    <row r="1283" customFormat="false" ht="15" hidden="false" customHeight="true" outlineLevel="0" collapsed="false">
      <c r="A1283" s="8" t="s">
        <v>375</v>
      </c>
      <c r="B1283" s="8" t="s">
        <v>767</v>
      </c>
      <c r="C1283" s="8" t="n">
        <v>0</v>
      </c>
      <c r="D1283" s="8" t="n">
        <v>0</v>
      </c>
      <c r="E1283" s="8" t="n">
        <v>1</v>
      </c>
      <c r="F1283" s="8" t="n">
        <v>21</v>
      </c>
    </row>
    <row r="1284" customFormat="false" ht="15" hidden="false" customHeight="true" outlineLevel="0" collapsed="false">
      <c r="A1284" s="8" t="s">
        <v>282</v>
      </c>
      <c r="B1284" s="8" t="s">
        <v>1283</v>
      </c>
      <c r="C1284" s="8" t="n">
        <v>1</v>
      </c>
      <c r="D1284" s="8" t="n">
        <v>195.73</v>
      </c>
      <c r="E1284" s="8" t="n">
        <v>0</v>
      </c>
      <c r="F1284" s="8" t="n">
        <v>0</v>
      </c>
    </row>
    <row r="1285" customFormat="false" ht="15" hidden="false" customHeight="true" outlineLevel="0" collapsed="false">
      <c r="A1285" s="8" t="s">
        <v>228</v>
      </c>
      <c r="B1285" s="8" t="s">
        <v>1275</v>
      </c>
      <c r="C1285" s="8" t="n">
        <v>0</v>
      </c>
      <c r="D1285" s="8" t="n">
        <v>0</v>
      </c>
      <c r="E1285" s="8" t="n">
        <v>5</v>
      </c>
      <c r="F1285" s="8" t="n">
        <v>71.25</v>
      </c>
    </row>
    <row r="1286" customFormat="false" ht="15" hidden="false" customHeight="true" outlineLevel="0" collapsed="false">
      <c r="A1286" s="8" t="s">
        <v>113</v>
      </c>
      <c r="B1286" s="8" t="s">
        <v>1247</v>
      </c>
      <c r="C1286" s="8" t="n">
        <v>0</v>
      </c>
      <c r="D1286" s="8" t="n">
        <v>0</v>
      </c>
      <c r="E1286" s="8" t="n">
        <v>2</v>
      </c>
      <c r="F1286" s="8" t="n">
        <v>50</v>
      </c>
    </row>
    <row r="1287" customFormat="false" ht="15" hidden="false" customHeight="true" outlineLevel="0" collapsed="false">
      <c r="A1287" s="8" t="s">
        <v>99</v>
      </c>
      <c r="B1287" s="8" t="s">
        <v>1247</v>
      </c>
      <c r="C1287" s="8" t="n">
        <v>0</v>
      </c>
      <c r="D1287" s="8" t="n">
        <v>0</v>
      </c>
      <c r="E1287" s="8" t="n">
        <v>2</v>
      </c>
      <c r="F1287" s="8" t="n">
        <v>50</v>
      </c>
    </row>
    <row r="1288" customFormat="false" ht="15" hidden="false" customHeight="true" outlineLevel="0" collapsed="false">
      <c r="A1288" s="8" t="s">
        <v>120</v>
      </c>
      <c r="B1288" s="8" t="s">
        <v>1247</v>
      </c>
      <c r="C1288" s="8" t="n">
        <v>0</v>
      </c>
      <c r="D1288" s="8" t="n">
        <v>0</v>
      </c>
      <c r="E1288" s="8" t="n">
        <v>2</v>
      </c>
      <c r="F1288" s="8" t="n">
        <v>50</v>
      </c>
    </row>
    <row r="1289" customFormat="false" ht="15" hidden="false" customHeight="true" outlineLevel="0" collapsed="false">
      <c r="A1289" s="8" t="s">
        <v>257</v>
      </c>
      <c r="B1289" s="8" t="s">
        <v>1284</v>
      </c>
      <c r="C1289" s="8" t="n">
        <v>2</v>
      </c>
      <c r="D1289" s="8" t="n">
        <v>64.86</v>
      </c>
      <c r="E1289" s="8" t="n">
        <v>0</v>
      </c>
      <c r="F1289" s="8" t="n">
        <v>0</v>
      </c>
    </row>
    <row r="1290" customFormat="false" ht="15" hidden="false" customHeight="true" outlineLevel="0" collapsed="false">
      <c r="A1290" s="8" t="s">
        <v>178</v>
      </c>
      <c r="B1290" s="8" t="s">
        <v>1236</v>
      </c>
      <c r="C1290" s="8" t="n">
        <v>7</v>
      </c>
      <c r="D1290" s="8" t="n">
        <v>245</v>
      </c>
      <c r="E1290" s="8" t="n">
        <v>3</v>
      </c>
      <c r="F1290" s="8" t="n">
        <v>105</v>
      </c>
    </row>
    <row r="1291" customFormat="false" ht="15" hidden="false" customHeight="true" outlineLevel="0" collapsed="false">
      <c r="A1291" s="8" t="s">
        <v>176</v>
      </c>
      <c r="B1291" s="8" t="s">
        <v>1236</v>
      </c>
      <c r="C1291" s="8" t="n">
        <v>2</v>
      </c>
      <c r="D1291" s="8" t="n">
        <v>70</v>
      </c>
      <c r="E1291" s="8" t="n">
        <v>4</v>
      </c>
      <c r="F1291" s="8" t="n">
        <v>140</v>
      </c>
    </row>
    <row r="1292" customFormat="false" ht="15" hidden="false" customHeight="true" outlineLevel="0" collapsed="false">
      <c r="A1292" s="8" t="s">
        <v>235</v>
      </c>
      <c r="B1292" s="8" t="s">
        <v>1236</v>
      </c>
      <c r="C1292" s="8" t="n">
        <v>3</v>
      </c>
      <c r="D1292" s="8" t="n">
        <v>105</v>
      </c>
      <c r="E1292" s="8" t="n">
        <v>0</v>
      </c>
      <c r="F1292" s="8" t="n">
        <v>0</v>
      </c>
    </row>
    <row r="1293" customFormat="false" ht="15" hidden="false" customHeight="true" outlineLevel="0" collapsed="false">
      <c r="A1293" s="8" t="s">
        <v>224</v>
      </c>
      <c r="B1293" s="8" t="s">
        <v>1236</v>
      </c>
      <c r="C1293" s="8" t="n">
        <v>3</v>
      </c>
      <c r="D1293" s="8" t="n">
        <v>105</v>
      </c>
      <c r="E1293" s="8" t="n">
        <v>0</v>
      </c>
      <c r="F1293" s="8" t="n">
        <v>0</v>
      </c>
    </row>
    <row r="1294" customFormat="false" ht="15" hidden="false" customHeight="true" outlineLevel="0" collapsed="false">
      <c r="A1294" s="8" t="s">
        <v>179</v>
      </c>
      <c r="B1294" s="8" t="s">
        <v>1218</v>
      </c>
      <c r="C1294" s="8" t="n">
        <v>1</v>
      </c>
      <c r="D1294" s="8" t="n">
        <v>126.5</v>
      </c>
      <c r="E1294" s="8" t="n">
        <v>1</v>
      </c>
      <c r="F1294" s="8" t="n">
        <v>126.5</v>
      </c>
    </row>
    <row r="1295" customFormat="false" ht="15" hidden="false" customHeight="true" outlineLevel="0" collapsed="false">
      <c r="A1295" s="8" t="s">
        <v>195</v>
      </c>
      <c r="B1295" s="8" t="s">
        <v>1218</v>
      </c>
      <c r="C1295" s="8" t="n">
        <v>3</v>
      </c>
      <c r="D1295" s="8" t="n">
        <v>379.5</v>
      </c>
      <c r="E1295" s="8" t="n">
        <v>0</v>
      </c>
      <c r="F1295" s="8" t="n">
        <v>0</v>
      </c>
    </row>
    <row r="1296" customFormat="false" ht="15" hidden="false" customHeight="true" outlineLevel="0" collapsed="false">
      <c r="A1296" s="8" t="s">
        <v>273</v>
      </c>
      <c r="B1296" s="8" t="s">
        <v>1218</v>
      </c>
      <c r="C1296" s="8" t="n">
        <v>3</v>
      </c>
      <c r="D1296" s="8" t="n">
        <v>379.5</v>
      </c>
      <c r="E1296" s="8" t="n">
        <v>0</v>
      </c>
      <c r="F1296" s="8" t="n">
        <v>0</v>
      </c>
    </row>
    <row r="1297" customFormat="false" ht="15" hidden="false" customHeight="true" outlineLevel="0" collapsed="false">
      <c r="A1297" s="8" t="s">
        <v>240</v>
      </c>
      <c r="B1297" s="8" t="s">
        <v>769</v>
      </c>
      <c r="C1297" s="8" t="n">
        <v>5</v>
      </c>
      <c r="D1297" s="8" t="n">
        <v>85</v>
      </c>
      <c r="E1297" s="8" t="n">
        <v>0</v>
      </c>
      <c r="F1297" s="8" t="n">
        <v>0</v>
      </c>
    </row>
    <row r="1298" customFormat="false" ht="15" hidden="false" customHeight="true" outlineLevel="0" collapsed="false">
      <c r="A1298" s="8" t="s">
        <v>234</v>
      </c>
      <c r="B1298" s="8" t="s">
        <v>769</v>
      </c>
      <c r="C1298" s="8" t="n">
        <v>8</v>
      </c>
      <c r="D1298" s="8" t="n">
        <v>136</v>
      </c>
      <c r="E1298" s="8" t="n">
        <v>2</v>
      </c>
      <c r="F1298" s="8" t="n">
        <v>34</v>
      </c>
    </row>
    <row r="1299" customFormat="false" ht="15" hidden="false" customHeight="true" outlineLevel="0" collapsed="false">
      <c r="A1299" s="8" t="s">
        <v>247</v>
      </c>
      <c r="B1299" s="8" t="s">
        <v>769</v>
      </c>
      <c r="C1299" s="8" t="n">
        <v>10</v>
      </c>
      <c r="D1299" s="8" t="n">
        <v>170</v>
      </c>
      <c r="E1299" s="8" t="n">
        <v>0</v>
      </c>
      <c r="F1299" s="8" t="n">
        <v>0</v>
      </c>
    </row>
    <row r="1300" customFormat="false" ht="15" hidden="false" customHeight="true" outlineLevel="0" collapsed="false">
      <c r="A1300" s="8" t="s">
        <v>328</v>
      </c>
      <c r="B1300" s="8" t="s">
        <v>769</v>
      </c>
      <c r="C1300" s="8" t="n">
        <v>3</v>
      </c>
      <c r="D1300" s="8" t="n">
        <v>51</v>
      </c>
      <c r="E1300" s="8" t="n">
        <v>1</v>
      </c>
      <c r="F1300" s="8" t="n">
        <v>17</v>
      </c>
    </row>
    <row r="1301" customFormat="false" ht="15" hidden="false" customHeight="true" outlineLevel="0" collapsed="false">
      <c r="A1301" s="8" t="s">
        <v>182</v>
      </c>
      <c r="B1301" s="8" t="s">
        <v>799</v>
      </c>
      <c r="C1301" s="8" t="n">
        <v>6</v>
      </c>
      <c r="D1301" s="8" t="n">
        <v>120</v>
      </c>
      <c r="E1301" s="8" t="n">
        <v>3</v>
      </c>
      <c r="F1301" s="8" t="n">
        <v>60</v>
      </c>
    </row>
    <row r="1302" customFormat="false" ht="15" hidden="false" customHeight="true" outlineLevel="0" collapsed="false">
      <c r="A1302" s="8" t="s">
        <v>274</v>
      </c>
      <c r="B1302" s="8" t="s">
        <v>1219</v>
      </c>
      <c r="C1302" s="8" t="n">
        <v>5</v>
      </c>
      <c r="D1302" s="8" t="n">
        <v>43.65</v>
      </c>
      <c r="E1302" s="8" t="n">
        <v>1</v>
      </c>
      <c r="F1302" s="8" t="n">
        <v>8.73</v>
      </c>
    </row>
    <row r="1303" customFormat="false" ht="15" hidden="false" customHeight="true" outlineLevel="0" collapsed="false">
      <c r="A1303" s="8" t="s">
        <v>170</v>
      </c>
      <c r="B1303" s="8" t="s">
        <v>1220</v>
      </c>
      <c r="C1303" s="8" t="n">
        <v>18</v>
      </c>
      <c r="D1303" s="8" t="n">
        <v>266.4</v>
      </c>
      <c r="E1303" s="8" t="n">
        <v>6</v>
      </c>
      <c r="F1303" s="8" t="n">
        <v>88.8</v>
      </c>
    </row>
    <row r="1304" customFormat="false" ht="15" hidden="false" customHeight="true" outlineLevel="0" collapsed="false">
      <c r="A1304" s="8" t="s">
        <v>167</v>
      </c>
      <c r="B1304" s="8" t="s">
        <v>1238</v>
      </c>
      <c r="C1304" s="8" t="n">
        <v>0</v>
      </c>
      <c r="D1304" s="8" t="n">
        <v>0</v>
      </c>
      <c r="E1304" s="8" t="n">
        <v>3</v>
      </c>
      <c r="F1304" s="8" t="n">
        <v>40.2</v>
      </c>
    </row>
    <row r="1305" customFormat="false" ht="15" hidden="false" customHeight="true" outlineLevel="0" collapsed="false">
      <c r="A1305" s="8" t="s">
        <v>220</v>
      </c>
      <c r="B1305" s="8" t="s">
        <v>1248</v>
      </c>
      <c r="C1305" s="8" t="n">
        <v>6</v>
      </c>
      <c r="D1305" s="8" t="n">
        <v>62.4</v>
      </c>
      <c r="E1305" s="8" t="n">
        <v>6</v>
      </c>
      <c r="F1305" s="8" t="n">
        <v>62.4</v>
      </c>
    </row>
    <row r="1306" customFormat="false" ht="15" hidden="false" customHeight="true" outlineLevel="0" collapsed="false">
      <c r="A1306" s="8" t="s">
        <v>252</v>
      </c>
      <c r="B1306" s="8" t="s">
        <v>1177</v>
      </c>
      <c r="C1306" s="8" t="n">
        <v>3</v>
      </c>
      <c r="D1306" s="8" t="n">
        <v>49.8</v>
      </c>
      <c r="E1306" s="8" t="n">
        <v>2</v>
      </c>
      <c r="F1306" s="8" t="n">
        <v>33.2</v>
      </c>
    </row>
    <row r="1307" customFormat="false" ht="15" hidden="false" customHeight="true" outlineLevel="0" collapsed="false">
      <c r="A1307" s="8" t="s">
        <v>203</v>
      </c>
      <c r="B1307" s="8" t="s">
        <v>1177</v>
      </c>
      <c r="C1307" s="8" t="n">
        <v>14</v>
      </c>
      <c r="D1307" s="8" t="n">
        <v>259</v>
      </c>
      <c r="E1307" s="8" t="n">
        <v>4</v>
      </c>
      <c r="F1307" s="8" t="n">
        <v>74</v>
      </c>
    </row>
    <row r="1308" customFormat="false" ht="15" hidden="false" customHeight="true" outlineLevel="0" collapsed="false">
      <c r="A1308" s="8" t="s">
        <v>211</v>
      </c>
      <c r="B1308" s="8" t="s">
        <v>1250</v>
      </c>
      <c r="C1308" s="8" t="n">
        <v>7</v>
      </c>
      <c r="D1308" s="8" t="n">
        <v>175</v>
      </c>
      <c r="E1308" s="8" t="n">
        <v>2</v>
      </c>
      <c r="F1308" s="8" t="n">
        <v>50</v>
      </c>
    </row>
    <row r="1309" customFormat="false" ht="15" hidden="false" customHeight="true" outlineLevel="0" collapsed="false">
      <c r="A1309" s="8" t="s">
        <v>196</v>
      </c>
      <c r="B1309" s="8" t="s">
        <v>1243</v>
      </c>
      <c r="C1309" s="8" t="n">
        <v>4</v>
      </c>
      <c r="D1309" s="8" t="n">
        <v>214</v>
      </c>
      <c r="E1309" s="8" t="n">
        <v>1</v>
      </c>
      <c r="F1309" s="8" t="n">
        <v>53.5</v>
      </c>
    </row>
    <row r="1310" customFormat="false" ht="15" hidden="false" customHeight="true" outlineLevel="0" collapsed="false">
      <c r="A1310" s="8" t="s">
        <v>226</v>
      </c>
      <c r="B1310" s="8" t="s">
        <v>566</v>
      </c>
      <c r="C1310" s="8" t="n">
        <v>5</v>
      </c>
      <c r="D1310" s="8" t="n">
        <v>104</v>
      </c>
      <c r="E1310" s="8" t="n">
        <v>5</v>
      </c>
      <c r="F1310" s="8" t="n">
        <v>104</v>
      </c>
    </row>
    <row r="1311" customFormat="false" ht="15" hidden="false" customHeight="true" outlineLevel="0" collapsed="false">
      <c r="A1311" s="8" t="s">
        <v>301</v>
      </c>
      <c r="B1311" s="8" t="s">
        <v>1258</v>
      </c>
      <c r="C1311" s="8" t="n">
        <v>1</v>
      </c>
      <c r="D1311" s="8" t="n">
        <v>94.1</v>
      </c>
      <c r="E1311" s="8" t="n">
        <v>1</v>
      </c>
      <c r="F1311" s="8" t="n">
        <v>94.1</v>
      </c>
    </row>
    <row r="1312" customFormat="false" ht="15" hidden="false" customHeight="true" outlineLevel="0" collapsed="false">
      <c r="A1312" s="8" t="s">
        <v>310</v>
      </c>
      <c r="B1312" s="8" t="s">
        <v>1258</v>
      </c>
      <c r="C1312" s="8" t="n">
        <v>3</v>
      </c>
      <c r="D1312" s="8" t="n">
        <v>282.3</v>
      </c>
      <c r="E1312" s="8" t="n">
        <v>0</v>
      </c>
      <c r="F1312" s="8" t="n">
        <v>0</v>
      </c>
    </row>
    <row r="1313" customFormat="false" ht="15" hidden="false" customHeight="true" outlineLevel="0" collapsed="false">
      <c r="A1313" s="8" t="s">
        <v>343</v>
      </c>
      <c r="B1313" s="8" t="s">
        <v>1258</v>
      </c>
      <c r="C1313" s="8" t="n">
        <v>1</v>
      </c>
      <c r="D1313" s="8" t="n">
        <v>94.1</v>
      </c>
      <c r="E1313" s="8" t="n">
        <v>1</v>
      </c>
      <c r="F1313" s="8" t="n">
        <v>94.1</v>
      </c>
    </row>
    <row r="1314" customFormat="false" ht="15" hidden="false" customHeight="true" outlineLevel="0" collapsed="false">
      <c r="A1314" s="8" t="s">
        <v>200</v>
      </c>
      <c r="B1314" s="8" t="s">
        <v>1279</v>
      </c>
      <c r="C1314" s="8" t="n">
        <v>5</v>
      </c>
      <c r="D1314" s="8" t="n">
        <v>386.2</v>
      </c>
      <c r="E1314" s="8" t="n">
        <v>0</v>
      </c>
      <c r="F1314" s="8" t="n">
        <v>0</v>
      </c>
    </row>
    <row r="1315" customFormat="false" ht="15" hidden="false" customHeight="true" outlineLevel="0" collapsed="false">
      <c r="A1315" s="8" t="s">
        <v>197</v>
      </c>
      <c r="B1315" s="8" t="s">
        <v>1222</v>
      </c>
      <c r="C1315" s="8" t="n">
        <v>0</v>
      </c>
      <c r="D1315" s="8" t="n">
        <v>0</v>
      </c>
      <c r="E1315" s="8" t="n">
        <v>1</v>
      </c>
      <c r="F1315" s="8" t="n">
        <v>65</v>
      </c>
    </row>
    <row r="1316" customFormat="false" ht="15" hidden="false" customHeight="true" outlineLevel="0" collapsed="false">
      <c r="A1316" s="8" t="s">
        <v>253</v>
      </c>
      <c r="B1316" s="8" t="s">
        <v>1222</v>
      </c>
      <c r="C1316" s="8" t="n">
        <v>0</v>
      </c>
      <c r="D1316" s="8" t="n">
        <v>0</v>
      </c>
      <c r="E1316" s="8" t="n">
        <v>1</v>
      </c>
      <c r="F1316" s="8" t="n">
        <v>65</v>
      </c>
    </row>
    <row r="1317" customFormat="false" ht="15" hidden="false" customHeight="true" outlineLevel="0" collapsed="false">
      <c r="A1317" s="8" t="s">
        <v>207</v>
      </c>
      <c r="B1317" s="8" t="s">
        <v>1222</v>
      </c>
      <c r="C1317" s="8" t="n">
        <v>0</v>
      </c>
      <c r="D1317" s="8" t="n">
        <v>0</v>
      </c>
      <c r="E1317" s="8" t="n">
        <v>1</v>
      </c>
      <c r="F1317" s="8" t="n">
        <v>65</v>
      </c>
    </row>
    <row r="1318" customFormat="false" ht="15" hidden="false" customHeight="true" outlineLevel="0" collapsed="false">
      <c r="A1318" s="8" t="s">
        <v>208</v>
      </c>
      <c r="B1318" s="8" t="s">
        <v>1179</v>
      </c>
      <c r="C1318" s="8" t="n">
        <v>0</v>
      </c>
      <c r="D1318" s="8" t="n">
        <v>0</v>
      </c>
      <c r="E1318" s="8" t="n">
        <v>1</v>
      </c>
      <c r="F1318" s="8" t="n">
        <v>72.34</v>
      </c>
    </row>
    <row r="1319" customFormat="false" ht="15" hidden="false" customHeight="true" outlineLevel="0" collapsed="false">
      <c r="A1319" s="8" t="s">
        <v>221</v>
      </c>
      <c r="B1319" s="8" t="s">
        <v>1179</v>
      </c>
      <c r="C1319" s="8" t="n">
        <v>0</v>
      </c>
      <c r="D1319" s="8" t="n">
        <v>0</v>
      </c>
      <c r="E1319" s="8" t="n">
        <v>1</v>
      </c>
      <c r="F1319" s="8" t="n">
        <v>72.34</v>
      </c>
    </row>
    <row r="1320" customFormat="false" ht="15" hidden="false" customHeight="true" outlineLevel="0" collapsed="false">
      <c r="A1320" s="8" t="s">
        <v>191</v>
      </c>
      <c r="B1320" s="8" t="s">
        <v>1179</v>
      </c>
      <c r="C1320" s="8" t="n">
        <v>0</v>
      </c>
      <c r="D1320" s="8" t="n">
        <v>0</v>
      </c>
      <c r="E1320" s="8" t="n">
        <v>1</v>
      </c>
      <c r="F1320" s="8" t="n">
        <v>72.34</v>
      </c>
    </row>
    <row r="1321" customFormat="false" ht="15" hidden="false" customHeight="true" outlineLevel="0" collapsed="false">
      <c r="A1321" s="8" t="s">
        <v>190</v>
      </c>
      <c r="B1321" s="8" t="s">
        <v>1224</v>
      </c>
      <c r="C1321" s="8" t="n">
        <v>0</v>
      </c>
      <c r="D1321" s="8" t="n">
        <v>0</v>
      </c>
      <c r="E1321" s="8" t="n">
        <v>1</v>
      </c>
      <c r="F1321" s="8" t="n">
        <v>24.43</v>
      </c>
    </row>
    <row r="1322" customFormat="false" ht="15" hidden="false" customHeight="true" outlineLevel="0" collapsed="false">
      <c r="A1322" s="8" t="s">
        <v>183</v>
      </c>
      <c r="B1322" s="8" t="s">
        <v>1224</v>
      </c>
      <c r="C1322" s="8" t="n">
        <v>0</v>
      </c>
      <c r="D1322" s="8" t="n">
        <v>0</v>
      </c>
      <c r="E1322" s="8" t="n">
        <v>1</v>
      </c>
      <c r="F1322" s="8" t="n">
        <v>24.43</v>
      </c>
    </row>
    <row r="1323" customFormat="false" ht="15" hidden="false" customHeight="true" outlineLevel="0" collapsed="false">
      <c r="A1323" s="8" t="s">
        <v>218</v>
      </c>
      <c r="B1323" s="8" t="s">
        <v>1224</v>
      </c>
      <c r="C1323" s="8" t="n">
        <v>0</v>
      </c>
      <c r="D1323" s="8" t="n">
        <v>0</v>
      </c>
      <c r="E1323" s="8" t="n">
        <v>1</v>
      </c>
      <c r="F1323" s="8" t="n">
        <v>24.43</v>
      </c>
    </row>
    <row r="1324" customFormat="false" ht="15" hidden="false" customHeight="true" outlineLevel="0" collapsed="false">
      <c r="A1324" s="8" t="s">
        <v>231</v>
      </c>
      <c r="B1324" s="8" t="s">
        <v>1224</v>
      </c>
      <c r="C1324" s="8" t="n">
        <v>0</v>
      </c>
      <c r="D1324" s="8" t="n">
        <v>0</v>
      </c>
      <c r="E1324" s="8" t="n">
        <v>1</v>
      </c>
      <c r="F1324" s="8" t="n">
        <v>24.43</v>
      </c>
    </row>
    <row r="1325" customFormat="false" ht="15" hidden="false" customHeight="true" outlineLevel="0" collapsed="false">
      <c r="A1325" s="8" t="s">
        <v>161</v>
      </c>
      <c r="B1325" s="8" t="s">
        <v>1208</v>
      </c>
      <c r="C1325" s="8" t="n">
        <v>0</v>
      </c>
      <c r="D1325" s="8" t="n">
        <v>0</v>
      </c>
      <c r="E1325" s="8" t="n">
        <v>1</v>
      </c>
      <c r="F1325" s="8" t="n">
        <v>45.5</v>
      </c>
    </row>
    <row r="1326" customFormat="false" ht="15" hidden="false" customHeight="true" outlineLevel="0" collapsed="false">
      <c r="A1326" s="8" t="s">
        <v>162</v>
      </c>
      <c r="B1326" s="8" t="s">
        <v>1209</v>
      </c>
      <c r="C1326" s="8" t="n">
        <v>0</v>
      </c>
      <c r="D1326" s="8" t="n">
        <v>0</v>
      </c>
      <c r="E1326" s="8" t="n">
        <v>1</v>
      </c>
      <c r="F1326" s="8" t="n">
        <v>77.8</v>
      </c>
    </row>
    <row r="1327" customFormat="false" ht="15" hidden="false" customHeight="true" outlineLevel="0" collapsed="false">
      <c r="A1327" s="8" t="s">
        <v>171</v>
      </c>
      <c r="B1327" s="8" t="s">
        <v>1210</v>
      </c>
      <c r="C1327" s="8" t="n">
        <v>0</v>
      </c>
      <c r="D1327" s="8" t="n">
        <v>0</v>
      </c>
      <c r="E1327" s="8" t="n">
        <v>1</v>
      </c>
      <c r="F1327" s="8" t="n">
        <v>47.23</v>
      </c>
    </row>
    <row r="1328" customFormat="false" ht="15" hidden="false" customHeight="true" outlineLevel="0" collapsed="false">
      <c r="A1328" s="8" t="s">
        <v>174</v>
      </c>
      <c r="B1328" s="8" t="s">
        <v>1210</v>
      </c>
      <c r="C1328" s="8" t="n">
        <v>0</v>
      </c>
      <c r="D1328" s="8" t="n">
        <v>0</v>
      </c>
      <c r="E1328" s="8" t="n">
        <v>1</v>
      </c>
      <c r="F1328" s="8" t="n">
        <v>47.23</v>
      </c>
    </row>
    <row r="1329" customFormat="false" ht="15" hidden="false" customHeight="true" outlineLevel="0" collapsed="false">
      <c r="A1329" s="8" t="s">
        <v>270</v>
      </c>
      <c r="B1329" s="8" t="s">
        <v>1251</v>
      </c>
      <c r="C1329" s="8" t="n">
        <v>0</v>
      </c>
      <c r="D1329" s="8" t="n">
        <v>0</v>
      </c>
      <c r="E1329" s="8" t="n">
        <v>2</v>
      </c>
      <c r="F1329" s="8" t="n">
        <v>19.64</v>
      </c>
    </row>
    <row r="1330" customFormat="false" ht="15" hidden="false" customHeight="true" outlineLevel="0" collapsed="false">
      <c r="A1330" s="8" t="s">
        <v>263</v>
      </c>
      <c r="B1330" s="8" t="s">
        <v>407</v>
      </c>
      <c r="C1330" s="8" t="n">
        <v>0</v>
      </c>
      <c r="D1330" s="8" t="n">
        <v>0</v>
      </c>
      <c r="E1330" s="8" t="n">
        <v>4</v>
      </c>
      <c r="F1330" s="8" t="n">
        <v>51.28</v>
      </c>
    </row>
    <row r="1331" customFormat="false" ht="15" hidden="false" customHeight="true" outlineLevel="0" collapsed="false">
      <c r="A1331" s="8" t="s">
        <v>188</v>
      </c>
      <c r="B1331" s="8" t="s">
        <v>1225</v>
      </c>
      <c r="C1331" s="8" t="n">
        <v>0</v>
      </c>
      <c r="D1331" s="8" t="n">
        <v>0</v>
      </c>
      <c r="E1331" s="8" t="n">
        <v>1</v>
      </c>
      <c r="F1331" s="8" t="n">
        <v>28.93</v>
      </c>
    </row>
    <row r="1332" customFormat="false" ht="15" hidden="false" customHeight="true" outlineLevel="0" collapsed="false">
      <c r="A1332" s="8" t="s">
        <v>186</v>
      </c>
      <c r="B1332" s="8" t="s">
        <v>1225</v>
      </c>
      <c r="C1332" s="8" t="n">
        <v>0</v>
      </c>
      <c r="D1332" s="8" t="n">
        <v>0</v>
      </c>
      <c r="E1332" s="8" t="n">
        <v>1</v>
      </c>
      <c r="F1332" s="8" t="n">
        <v>28.93</v>
      </c>
    </row>
    <row r="1333" customFormat="false" ht="15" hidden="false" customHeight="true" outlineLevel="0" collapsed="false">
      <c r="A1333" s="8" t="s">
        <v>239</v>
      </c>
      <c r="B1333" s="8" t="s">
        <v>1225</v>
      </c>
      <c r="C1333" s="8" t="n">
        <v>0</v>
      </c>
      <c r="D1333" s="8" t="n">
        <v>0</v>
      </c>
      <c r="E1333" s="8" t="n">
        <v>1</v>
      </c>
      <c r="F1333" s="8" t="n">
        <v>28.93</v>
      </c>
    </row>
    <row r="1334" customFormat="false" ht="15" hidden="false" customHeight="true" outlineLevel="0" collapsed="false">
      <c r="A1334" s="8" t="s">
        <v>210</v>
      </c>
      <c r="B1334" s="8" t="s">
        <v>1225</v>
      </c>
      <c r="C1334" s="8" t="n">
        <v>0</v>
      </c>
      <c r="D1334" s="8" t="n">
        <v>0</v>
      </c>
      <c r="E1334" s="8" t="n">
        <v>1</v>
      </c>
      <c r="F1334" s="8" t="n">
        <v>28.93</v>
      </c>
    </row>
    <row r="1335" customFormat="false" ht="15" hidden="false" customHeight="true" outlineLevel="0" collapsed="false">
      <c r="A1335" s="8" t="s">
        <v>238</v>
      </c>
      <c r="B1335" s="8" t="s">
        <v>1226</v>
      </c>
      <c r="C1335" s="8" t="n">
        <v>0</v>
      </c>
      <c r="D1335" s="8" t="n">
        <v>0</v>
      </c>
      <c r="E1335" s="8" t="n">
        <v>1</v>
      </c>
      <c r="F1335" s="8" t="n">
        <v>42.17</v>
      </c>
    </row>
    <row r="1336" customFormat="false" ht="15" hidden="false" customHeight="true" outlineLevel="0" collapsed="false">
      <c r="A1336" s="8" t="s">
        <v>201</v>
      </c>
      <c r="B1336" s="8" t="s">
        <v>1226</v>
      </c>
      <c r="C1336" s="8" t="n">
        <v>0</v>
      </c>
      <c r="D1336" s="8" t="n">
        <v>0</v>
      </c>
      <c r="E1336" s="8" t="n">
        <v>1</v>
      </c>
      <c r="F1336" s="8" t="n">
        <v>42.17</v>
      </c>
    </row>
    <row r="1337" customFormat="false" ht="15" hidden="false" customHeight="true" outlineLevel="0" collapsed="false">
      <c r="A1337" s="8" t="s">
        <v>314</v>
      </c>
      <c r="B1337" s="8" t="s">
        <v>1226</v>
      </c>
      <c r="C1337" s="8" t="n">
        <v>0</v>
      </c>
      <c r="D1337" s="8" t="n">
        <v>0</v>
      </c>
      <c r="E1337" s="8" t="n">
        <v>1</v>
      </c>
      <c r="F1337" s="8" t="n">
        <v>42.17</v>
      </c>
    </row>
    <row r="1338" customFormat="false" ht="15" hidden="false" customHeight="true" outlineLevel="0" collapsed="false">
      <c r="A1338" s="8" t="s">
        <v>214</v>
      </c>
      <c r="B1338" s="8" t="s">
        <v>1226</v>
      </c>
      <c r="C1338" s="8" t="n">
        <v>0</v>
      </c>
      <c r="D1338" s="8" t="n">
        <v>0</v>
      </c>
      <c r="E1338" s="8" t="n">
        <v>1</v>
      </c>
      <c r="F1338" s="8" t="n">
        <v>42.17</v>
      </c>
    </row>
    <row r="1339" customFormat="false" ht="15" hidden="false" customHeight="true" outlineLevel="0" collapsed="false">
      <c r="A1339" s="8" t="s">
        <v>241</v>
      </c>
      <c r="B1339" s="8" t="s">
        <v>1227</v>
      </c>
      <c r="C1339" s="8" t="n">
        <v>0</v>
      </c>
      <c r="D1339" s="8" t="n">
        <v>0</v>
      </c>
      <c r="E1339" s="8" t="n">
        <v>1</v>
      </c>
      <c r="F1339" s="8" t="n">
        <v>17</v>
      </c>
    </row>
    <row r="1340" customFormat="false" ht="15" hidden="false" customHeight="true" outlineLevel="0" collapsed="false">
      <c r="A1340" s="8" t="s">
        <v>219</v>
      </c>
      <c r="B1340" s="8" t="s">
        <v>1227</v>
      </c>
      <c r="C1340" s="8" t="n">
        <v>0</v>
      </c>
      <c r="D1340" s="8" t="n">
        <v>0</v>
      </c>
      <c r="E1340" s="8" t="n">
        <v>3</v>
      </c>
      <c r="F1340" s="8" t="n">
        <v>51</v>
      </c>
    </row>
    <row r="1341" customFormat="false" ht="15" hidden="false" customHeight="true" outlineLevel="0" collapsed="false">
      <c r="A1341" s="8" t="s">
        <v>292</v>
      </c>
      <c r="B1341" s="8" t="s">
        <v>1227</v>
      </c>
      <c r="C1341" s="8" t="n">
        <v>0</v>
      </c>
      <c r="D1341" s="8" t="n">
        <v>0</v>
      </c>
      <c r="E1341" s="8" t="n">
        <v>1</v>
      </c>
      <c r="F1341" s="8" t="n">
        <v>17</v>
      </c>
    </row>
    <row r="1342" customFormat="false" ht="15" hidden="false" customHeight="true" outlineLevel="0" collapsed="false">
      <c r="A1342" s="8" t="s">
        <v>223</v>
      </c>
      <c r="B1342" s="8" t="s">
        <v>1227</v>
      </c>
      <c r="C1342" s="8" t="n">
        <v>0</v>
      </c>
      <c r="D1342" s="8" t="n">
        <v>0</v>
      </c>
      <c r="E1342" s="8" t="n">
        <v>1</v>
      </c>
      <c r="F1342" s="8" t="n">
        <v>17</v>
      </c>
    </row>
    <row r="1343" customFormat="false" ht="15" hidden="false" customHeight="true" outlineLevel="0" collapsed="false">
      <c r="A1343" s="8" t="s">
        <v>229</v>
      </c>
      <c r="B1343" s="8" t="s">
        <v>881</v>
      </c>
      <c r="C1343" s="8" t="n">
        <v>0</v>
      </c>
      <c r="D1343" s="8" t="n">
        <v>0</v>
      </c>
      <c r="E1343" s="8" t="n">
        <v>1</v>
      </c>
      <c r="F1343" s="8" t="n">
        <v>41.2</v>
      </c>
    </row>
    <row r="1344" customFormat="false" ht="15" hidden="false" customHeight="true" outlineLevel="0" collapsed="false">
      <c r="A1344" s="8" t="s">
        <v>237</v>
      </c>
      <c r="B1344" s="8" t="s">
        <v>1259</v>
      </c>
      <c r="C1344" s="8" t="n">
        <v>0</v>
      </c>
      <c r="D1344" s="8" t="n">
        <v>0</v>
      </c>
      <c r="E1344" s="8" t="n">
        <v>2</v>
      </c>
      <c r="F1344" s="8" t="n">
        <v>36.9</v>
      </c>
    </row>
    <row r="1345" customFormat="false" ht="15" hidden="false" customHeight="true" outlineLevel="0" collapsed="false">
      <c r="A1345" s="8" t="s">
        <v>271</v>
      </c>
      <c r="B1345" s="8" t="s">
        <v>1260</v>
      </c>
      <c r="C1345" s="8" t="n">
        <v>0</v>
      </c>
      <c r="D1345" s="8" t="n">
        <v>0</v>
      </c>
      <c r="E1345" s="8" t="n">
        <v>1</v>
      </c>
      <c r="F1345" s="8" t="n">
        <v>23.4</v>
      </c>
    </row>
    <row r="1346" customFormat="false" ht="15" hidden="false" customHeight="true" outlineLevel="0" collapsed="false">
      <c r="A1346" s="8" t="s">
        <v>246</v>
      </c>
      <c r="B1346" s="8" t="s">
        <v>1261</v>
      </c>
      <c r="C1346" s="8" t="n">
        <v>0</v>
      </c>
      <c r="D1346" s="8" t="n">
        <v>0</v>
      </c>
      <c r="E1346" s="8" t="n">
        <v>1</v>
      </c>
      <c r="F1346" s="8" t="n">
        <v>17.35</v>
      </c>
    </row>
    <row r="1347" customFormat="false" ht="15" hidden="false" customHeight="true" outlineLevel="0" collapsed="false">
      <c r="A1347" s="8" t="s">
        <v>202</v>
      </c>
      <c r="B1347" s="8" t="s">
        <v>1212</v>
      </c>
      <c r="C1347" s="8" t="n">
        <v>0</v>
      </c>
      <c r="D1347" s="8" t="n">
        <v>0</v>
      </c>
      <c r="E1347" s="8" t="n">
        <v>2</v>
      </c>
      <c r="F1347" s="8" t="n">
        <v>19</v>
      </c>
    </row>
    <row r="1348" customFormat="false" ht="15" hidden="false" customHeight="true" outlineLevel="0" collapsed="false">
      <c r="A1348" s="8" t="s">
        <v>244</v>
      </c>
      <c r="B1348" s="8" t="s">
        <v>1213</v>
      </c>
      <c r="C1348" s="8" t="n">
        <v>0</v>
      </c>
      <c r="D1348" s="8" t="n">
        <v>0</v>
      </c>
      <c r="E1348" s="8" t="n">
        <v>2</v>
      </c>
      <c r="F1348" s="8" t="n">
        <v>19</v>
      </c>
    </row>
    <row r="1349" customFormat="false" ht="15" hidden="false" customHeight="true" outlineLevel="0" collapsed="false">
      <c r="A1349" s="8" t="s">
        <v>251</v>
      </c>
      <c r="B1349" s="8" t="s">
        <v>1262</v>
      </c>
      <c r="C1349" s="8" t="n">
        <v>0</v>
      </c>
      <c r="D1349" s="8" t="n">
        <v>0</v>
      </c>
      <c r="E1349" s="8" t="n">
        <v>1</v>
      </c>
      <c r="F1349" s="8" t="n">
        <v>9.71</v>
      </c>
    </row>
    <row r="1350" customFormat="false" ht="15" hidden="false" customHeight="true" outlineLevel="0" collapsed="false">
      <c r="A1350" s="8" t="s">
        <v>308</v>
      </c>
      <c r="B1350" s="8" t="s">
        <v>1229</v>
      </c>
      <c r="C1350" s="8" t="n">
        <v>0</v>
      </c>
      <c r="D1350" s="8" t="n">
        <v>0</v>
      </c>
      <c r="E1350" s="8" t="n">
        <v>1</v>
      </c>
      <c r="F1350" s="8" t="n">
        <v>8.08</v>
      </c>
    </row>
    <row r="1351" customFormat="false" ht="15" hidden="false" customHeight="true" outlineLevel="0" collapsed="false">
      <c r="A1351" s="8" t="s">
        <v>172</v>
      </c>
      <c r="B1351" s="8" t="s">
        <v>1214</v>
      </c>
      <c r="C1351" s="8" t="n">
        <v>0</v>
      </c>
      <c r="D1351" s="8" t="n">
        <v>0</v>
      </c>
      <c r="E1351" s="8" t="n">
        <v>2</v>
      </c>
      <c r="F1351" s="8" t="n">
        <v>24.36</v>
      </c>
    </row>
    <row r="1352" customFormat="false" ht="15" hidden="false" customHeight="true" outlineLevel="0" collapsed="false">
      <c r="A1352" s="8" t="s">
        <v>269</v>
      </c>
      <c r="B1352" s="8" t="s">
        <v>1231</v>
      </c>
      <c r="C1352" s="8" t="n">
        <v>0</v>
      </c>
      <c r="D1352" s="8" t="n">
        <v>0</v>
      </c>
      <c r="E1352" s="8" t="n">
        <v>1</v>
      </c>
      <c r="F1352" s="8" t="n">
        <v>11.33</v>
      </c>
    </row>
    <row r="1353" customFormat="false" ht="15" hidden="false" customHeight="true" outlineLevel="0" collapsed="false">
      <c r="A1353" s="8" t="s">
        <v>232</v>
      </c>
      <c r="B1353" s="8" t="s">
        <v>1233</v>
      </c>
      <c r="C1353" s="8" t="n">
        <v>0</v>
      </c>
      <c r="D1353" s="8" t="n">
        <v>0</v>
      </c>
      <c r="E1353" s="8" t="n">
        <v>1</v>
      </c>
      <c r="F1353" s="8" t="n">
        <v>16.2</v>
      </c>
    </row>
    <row r="1354" customFormat="false" ht="15" hidden="false" customHeight="true" outlineLevel="0" collapsed="false">
      <c r="A1354" s="8" t="s">
        <v>215</v>
      </c>
      <c r="B1354" s="8" t="s">
        <v>1233</v>
      </c>
      <c r="C1354" s="8" t="n">
        <v>0</v>
      </c>
      <c r="D1354" s="8" t="n">
        <v>0</v>
      </c>
      <c r="E1354" s="8" t="n">
        <v>1</v>
      </c>
      <c r="F1354" s="8" t="n">
        <v>17.82</v>
      </c>
    </row>
    <row r="1355" customFormat="false" ht="15" hidden="false" customHeight="true" outlineLevel="0" collapsed="false">
      <c r="A1355" s="8" t="s">
        <v>255</v>
      </c>
      <c r="B1355" s="8" t="s">
        <v>1273</v>
      </c>
      <c r="C1355" s="8" t="n">
        <v>0</v>
      </c>
      <c r="D1355" s="8" t="n">
        <v>0</v>
      </c>
      <c r="E1355" s="8" t="n">
        <v>3</v>
      </c>
      <c r="F1355" s="8" t="n">
        <v>24.6</v>
      </c>
    </row>
    <row r="1356" customFormat="false" ht="15" hidden="false" customHeight="true" outlineLevel="0" collapsed="false">
      <c r="A1356" s="8" t="s">
        <v>194</v>
      </c>
      <c r="B1356" s="8" t="s">
        <v>1239</v>
      </c>
      <c r="C1356" s="8" t="n">
        <v>0</v>
      </c>
      <c r="D1356" s="8" t="n">
        <v>0</v>
      </c>
      <c r="E1356" s="8" t="n">
        <v>6</v>
      </c>
      <c r="F1356" s="8" t="n">
        <v>58.92</v>
      </c>
    </row>
    <row r="1357" customFormat="false" ht="15" hidden="false" customHeight="true" outlineLevel="0" collapsed="false">
      <c r="A1357" s="8" t="s">
        <v>279</v>
      </c>
      <c r="B1357" s="8" t="s">
        <v>1274</v>
      </c>
      <c r="C1357" s="8" t="n">
        <v>0</v>
      </c>
      <c r="D1357" s="8" t="n">
        <v>0</v>
      </c>
      <c r="E1357" s="8" t="n">
        <v>3</v>
      </c>
      <c r="F1357" s="8" t="n">
        <v>29.46</v>
      </c>
    </row>
    <row r="1358" customFormat="false" ht="15" hidden="false" customHeight="true" outlineLevel="0" collapsed="false">
      <c r="A1358" s="8" t="s">
        <v>180</v>
      </c>
      <c r="B1358" s="8" t="s">
        <v>1216</v>
      </c>
      <c r="C1358" s="8" t="n">
        <v>0</v>
      </c>
      <c r="D1358" s="8" t="n">
        <v>0</v>
      </c>
      <c r="E1358" s="8" t="n">
        <v>1</v>
      </c>
      <c r="F1358" s="8" t="n">
        <v>16.5</v>
      </c>
    </row>
    <row r="1359" customFormat="false" ht="15" hidden="false" customHeight="true" outlineLevel="0" collapsed="false">
      <c r="A1359" s="8" t="s">
        <v>189</v>
      </c>
      <c r="B1359" s="8" t="s">
        <v>1216</v>
      </c>
      <c r="C1359" s="8" t="n">
        <v>0</v>
      </c>
      <c r="D1359" s="8" t="n">
        <v>0</v>
      </c>
      <c r="E1359" s="8" t="n">
        <v>1</v>
      </c>
      <c r="F1359" s="8" t="n">
        <v>16.5</v>
      </c>
    </row>
    <row r="1360" customFormat="false" ht="15" hidden="false" customHeight="true" outlineLevel="0" collapsed="false">
      <c r="A1360" s="8" t="s">
        <v>267</v>
      </c>
      <c r="B1360" s="8" t="s">
        <v>1216</v>
      </c>
      <c r="C1360" s="8" t="n">
        <v>0</v>
      </c>
      <c r="D1360" s="8" t="n">
        <v>0</v>
      </c>
      <c r="E1360" s="8" t="n">
        <v>1</v>
      </c>
      <c r="F1360" s="8" t="n">
        <v>16.5</v>
      </c>
    </row>
    <row r="1361" customFormat="false" ht="15" hidden="false" customHeight="true" outlineLevel="0" collapsed="false">
      <c r="A1361" s="8" t="s">
        <v>199</v>
      </c>
      <c r="B1361" s="8" t="s">
        <v>1216</v>
      </c>
      <c r="C1361" s="8" t="n">
        <v>0</v>
      </c>
      <c r="D1361" s="8" t="n">
        <v>0</v>
      </c>
      <c r="E1361" s="8" t="n">
        <v>1</v>
      </c>
      <c r="F1361" s="8" t="n">
        <v>16.5</v>
      </c>
    </row>
    <row r="1362" customFormat="false" ht="15" hidden="false" customHeight="true" outlineLevel="0" collapsed="false">
      <c r="A1362" s="8" t="s">
        <v>198</v>
      </c>
      <c r="B1362" s="8" t="s">
        <v>1217</v>
      </c>
      <c r="C1362" s="8" t="n">
        <v>0</v>
      </c>
      <c r="D1362" s="8" t="n">
        <v>0</v>
      </c>
      <c r="E1362" s="8" t="n">
        <v>1</v>
      </c>
      <c r="F1362" s="8" t="n">
        <v>20.5</v>
      </c>
    </row>
    <row r="1363" customFormat="false" ht="15" hidden="false" customHeight="true" outlineLevel="0" collapsed="false">
      <c r="A1363" s="8" t="s">
        <v>193</v>
      </c>
      <c r="B1363" s="8" t="s">
        <v>1217</v>
      </c>
      <c r="C1363" s="8" t="n">
        <v>0</v>
      </c>
      <c r="D1363" s="8" t="n">
        <v>0</v>
      </c>
      <c r="E1363" s="8" t="n">
        <v>1</v>
      </c>
      <c r="F1363" s="8" t="n">
        <v>20.5</v>
      </c>
    </row>
    <row r="1364" customFormat="false" ht="15" hidden="false" customHeight="true" outlineLevel="0" collapsed="false">
      <c r="A1364" s="8" t="s">
        <v>302</v>
      </c>
      <c r="B1364" s="8" t="s">
        <v>1217</v>
      </c>
      <c r="C1364" s="8" t="n">
        <v>0</v>
      </c>
      <c r="D1364" s="8" t="n">
        <v>0</v>
      </c>
      <c r="E1364" s="8" t="n">
        <v>1</v>
      </c>
      <c r="F1364" s="8" t="n">
        <v>20.5</v>
      </c>
    </row>
    <row r="1365" customFormat="false" ht="15" hidden="false" customHeight="true" outlineLevel="0" collapsed="false">
      <c r="A1365" s="8" t="s">
        <v>205</v>
      </c>
      <c r="B1365" s="8" t="s">
        <v>1217</v>
      </c>
      <c r="C1365" s="8" t="n">
        <v>0</v>
      </c>
      <c r="D1365" s="8" t="n">
        <v>0</v>
      </c>
      <c r="E1365" s="8" t="n">
        <v>1</v>
      </c>
      <c r="F1365" s="8" t="n">
        <v>20.5</v>
      </c>
    </row>
    <row r="1366" customFormat="false" ht="15" hidden="false" customHeight="true" outlineLevel="0" collapsed="false">
      <c r="A1366" s="8" t="s">
        <v>178</v>
      </c>
      <c r="B1366" s="8" t="s">
        <v>1236</v>
      </c>
      <c r="C1366" s="8" t="n">
        <v>0</v>
      </c>
      <c r="D1366" s="8" t="n">
        <v>0</v>
      </c>
      <c r="E1366" s="8" t="n">
        <v>1</v>
      </c>
      <c r="F1366" s="8" t="n">
        <v>35</v>
      </c>
    </row>
    <row r="1367" customFormat="false" ht="15" hidden="false" customHeight="true" outlineLevel="0" collapsed="false">
      <c r="A1367" s="8" t="s">
        <v>176</v>
      </c>
      <c r="B1367" s="8" t="s">
        <v>1236</v>
      </c>
      <c r="C1367" s="8" t="n">
        <v>0</v>
      </c>
      <c r="D1367" s="8" t="n">
        <v>0</v>
      </c>
      <c r="E1367" s="8" t="n">
        <v>1</v>
      </c>
      <c r="F1367" s="8" t="n">
        <v>35</v>
      </c>
    </row>
    <row r="1368" customFormat="false" ht="15" hidden="false" customHeight="true" outlineLevel="0" collapsed="false">
      <c r="A1368" s="8" t="s">
        <v>235</v>
      </c>
      <c r="B1368" s="8" t="s">
        <v>1236</v>
      </c>
      <c r="C1368" s="8" t="n">
        <v>0</v>
      </c>
      <c r="D1368" s="8" t="n">
        <v>0</v>
      </c>
      <c r="E1368" s="8" t="n">
        <v>1</v>
      </c>
      <c r="F1368" s="8" t="n">
        <v>35</v>
      </c>
    </row>
    <row r="1369" customFormat="false" ht="15" hidden="false" customHeight="true" outlineLevel="0" collapsed="false">
      <c r="A1369" s="8" t="s">
        <v>224</v>
      </c>
      <c r="B1369" s="8" t="s">
        <v>1236</v>
      </c>
      <c r="C1369" s="8" t="n">
        <v>0</v>
      </c>
      <c r="D1369" s="8" t="n">
        <v>0</v>
      </c>
      <c r="E1369" s="8" t="n">
        <v>1</v>
      </c>
      <c r="F1369" s="8" t="n">
        <v>35</v>
      </c>
    </row>
    <row r="1370" customFormat="false" ht="15" hidden="false" customHeight="true" outlineLevel="0" collapsed="false">
      <c r="A1370" s="8" t="s">
        <v>240</v>
      </c>
      <c r="B1370" s="8" t="s">
        <v>769</v>
      </c>
      <c r="C1370" s="8" t="n">
        <v>0</v>
      </c>
      <c r="D1370" s="8" t="n">
        <v>0</v>
      </c>
      <c r="E1370" s="8" t="n">
        <v>1</v>
      </c>
      <c r="F1370" s="8" t="n">
        <v>17</v>
      </c>
    </row>
    <row r="1371" customFormat="false" ht="15" hidden="false" customHeight="true" outlineLevel="0" collapsed="false">
      <c r="A1371" s="8" t="s">
        <v>234</v>
      </c>
      <c r="B1371" s="8" t="s">
        <v>769</v>
      </c>
      <c r="C1371" s="8" t="n">
        <v>0</v>
      </c>
      <c r="D1371" s="8" t="n">
        <v>0</v>
      </c>
      <c r="E1371" s="8" t="n">
        <v>1</v>
      </c>
      <c r="F1371" s="8" t="n">
        <v>17</v>
      </c>
    </row>
    <row r="1372" customFormat="false" ht="15" hidden="false" customHeight="true" outlineLevel="0" collapsed="false">
      <c r="A1372" s="8" t="s">
        <v>247</v>
      </c>
      <c r="B1372" s="8" t="s">
        <v>769</v>
      </c>
      <c r="C1372" s="8" t="n">
        <v>0</v>
      </c>
      <c r="D1372" s="8" t="n">
        <v>0</v>
      </c>
      <c r="E1372" s="8" t="n">
        <v>1</v>
      </c>
      <c r="F1372" s="8" t="n">
        <v>17</v>
      </c>
    </row>
    <row r="1373" customFormat="false" ht="15" hidden="false" customHeight="true" outlineLevel="0" collapsed="false">
      <c r="A1373" s="8" t="s">
        <v>300</v>
      </c>
      <c r="B1373" s="8" t="s">
        <v>769</v>
      </c>
      <c r="C1373" s="8" t="n">
        <v>0</v>
      </c>
      <c r="D1373" s="8" t="n">
        <v>0</v>
      </c>
      <c r="E1373" s="8" t="n">
        <v>1</v>
      </c>
      <c r="F1373" s="8" t="n">
        <v>17</v>
      </c>
    </row>
    <row r="1374" customFormat="false" ht="15" hidden="false" customHeight="true" outlineLevel="0" collapsed="false">
      <c r="A1374" s="8" t="s">
        <v>328</v>
      </c>
      <c r="B1374" s="8" t="s">
        <v>769</v>
      </c>
      <c r="C1374" s="8" t="n">
        <v>0</v>
      </c>
      <c r="D1374" s="8" t="n">
        <v>0</v>
      </c>
      <c r="E1374" s="8" t="n">
        <v>1</v>
      </c>
      <c r="F1374" s="8" t="n">
        <v>17</v>
      </c>
    </row>
    <row r="1375" customFormat="false" ht="15" hidden="false" customHeight="true" outlineLevel="0" collapsed="false">
      <c r="A1375" s="8" t="s">
        <v>182</v>
      </c>
      <c r="B1375" s="8" t="s">
        <v>799</v>
      </c>
      <c r="C1375" s="8" t="n">
        <v>0</v>
      </c>
      <c r="D1375" s="8" t="n">
        <v>0</v>
      </c>
      <c r="E1375" s="8" t="n">
        <v>2</v>
      </c>
      <c r="F1375" s="8" t="n">
        <v>40</v>
      </c>
    </row>
    <row r="1376" customFormat="false" ht="15" hidden="false" customHeight="true" outlineLevel="0" collapsed="false">
      <c r="A1376" s="8" t="s">
        <v>274</v>
      </c>
      <c r="B1376" s="8" t="s">
        <v>1219</v>
      </c>
      <c r="C1376" s="8" t="n">
        <v>0</v>
      </c>
      <c r="D1376" s="8" t="n">
        <v>0</v>
      </c>
      <c r="E1376" s="8" t="n">
        <v>2</v>
      </c>
      <c r="F1376" s="8" t="n">
        <v>17.46</v>
      </c>
    </row>
    <row r="1377" customFormat="false" ht="15" hidden="false" customHeight="true" outlineLevel="0" collapsed="false">
      <c r="A1377" s="8" t="s">
        <v>170</v>
      </c>
      <c r="B1377" s="8" t="s">
        <v>1220</v>
      </c>
      <c r="C1377" s="8" t="n">
        <v>0</v>
      </c>
      <c r="D1377" s="8" t="n">
        <v>0</v>
      </c>
      <c r="E1377" s="8" t="n">
        <v>6</v>
      </c>
      <c r="F1377" s="8" t="n">
        <v>88.8</v>
      </c>
    </row>
    <row r="1378" customFormat="false" ht="15" hidden="false" customHeight="true" outlineLevel="0" collapsed="false">
      <c r="A1378" s="8" t="s">
        <v>377</v>
      </c>
      <c r="B1378" s="8" t="s">
        <v>877</v>
      </c>
      <c r="C1378" s="8" t="n">
        <v>0</v>
      </c>
      <c r="D1378" s="8" t="n">
        <v>0</v>
      </c>
      <c r="E1378" s="8" t="n">
        <v>1</v>
      </c>
      <c r="F1378" s="8" t="n">
        <v>15.91</v>
      </c>
    </row>
    <row r="1379" customFormat="false" ht="15" hidden="false" customHeight="true" outlineLevel="0" collapsed="false">
      <c r="A1379" s="8" t="s">
        <v>315</v>
      </c>
      <c r="B1379" s="8" t="s">
        <v>1266</v>
      </c>
      <c r="C1379" s="8" t="n">
        <v>0</v>
      </c>
      <c r="D1379" s="8" t="n">
        <v>0</v>
      </c>
      <c r="E1379" s="8" t="n">
        <v>1</v>
      </c>
      <c r="F1379" s="8" t="n">
        <v>15.91</v>
      </c>
    </row>
    <row r="1380" customFormat="false" ht="15" hidden="false" customHeight="true" outlineLevel="0" collapsed="false">
      <c r="A1380" s="8" t="s">
        <v>220</v>
      </c>
      <c r="B1380" s="8" t="s">
        <v>1248</v>
      </c>
      <c r="C1380" s="8" t="n">
        <v>0</v>
      </c>
      <c r="D1380" s="8" t="n">
        <v>0</v>
      </c>
      <c r="E1380" s="8" t="n">
        <v>2</v>
      </c>
      <c r="F1380" s="8" t="n">
        <v>20.8</v>
      </c>
    </row>
    <row r="1381" customFormat="false" ht="15" hidden="false" customHeight="true" outlineLevel="0" collapsed="false">
      <c r="A1381" s="8" t="s">
        <v>275</v>
      </c>
      <c r="B1381" s="8" t="s">
        <v>1257</v>
      </c>
      <c r="C1381" s="8" t="n">
        <v>0</v>
      </c>
      <c r="D1381" s="8" t="n">
        <v>0</v>
      </c>
      <c r="E1381" s="8" t="n">
        <v>2</v>
      </c>
      <c r="F1381" s="8" t="n">
        <v>43.2</v>
      </c>
    </row>
    <row r="1382" customFormat="false" ht="15" hidden="false" customHeight="true" outlineLevel="0" collapsed="false">
      <c r="A1382" s="8" t="s">
        <v>233</v>
      </c>
      <c r="B1382" s="8" t="s">
        <v>1249</v>
      </c>
      <c r="C1382" s="8" t="n">
        <v>0</v>
      </c>
      <c r="D1382" s="8" t="n">
        <v>0</v>
      </c>
      <c r="E1382" s="8" t="n">
        <v>2</v>
      </c>
      <c r="F1382" s="8" t="n">
        <v>35.9</v>
      </c>
    </row>
    <row r="1383" customFormat="false" ht="15" hidden="false" customHeight="true" outlineLevel="0" collapsed="false">
      <c r="A1383" s="8" t="s">
        <v>252</v>
      </c>
      <c r="B1383" s="8" t="s">
        <v>1177</v>
      </c>
      <c r="C1383" s="8" t="n">
        <v>0</v>
      </c>
      <c r="D1383" s="8" t="n">
        <v>0</v>
      </c>
      <c r="E1383" s="8" t="n">
        <v>1</v>
      </c>
      <c r="F1383" s="8" t="n">
        <v>16.6</v>
      </c>
    </row>
    <row r="1384" customFormat="false" ht="15" hidden="false" customHeight="true" outlineLevel="0" collapsed="false">
      <c r="A1384" s="8" t="s">
        <v>203</v>
      </c>
      <c r="B1384" s="8" t="s">
        <v>1177</v>
      </c>
      <c r="C1384" s="8" t="n">
        <v>0</v>
      </c>
      <c r="D1384" s="8" t="n">
        <v>0</v>
      </c>
      <c r="E1384" s="8" t="n">
        <v>1</v>
      </c>
      <c r="F1384" s="8" t="n">
        <v>18.5</v>
      </c>
    </row>
    <row r="1385" customFormat="false" ht="15" hidden="false" customHeight="true" outlineLevel="0" collapsed="false">
      <c r="A1385" s="8" t="s">
        <v>226</v>
      </c>
      <c r="B1385" s="8" t="s">
        <v>566</v>
      </c>
      <c r="C1385" s="8" t="n">
        <v>0</v>
      </c>
      <c r="D1385" s="8" t="n">
        <v>0</v>
      </c>
      <c r="E1385" s="8" t="n">
        <v>1</v>
      </c>
      <c r="F1385" s="8" t="n">
        <v>20.8</v>
      </c>
    </row>
    <row r="1386" customFormat="false" ht="15" hidden="false" customHeight="true" outlineLevel="0" collapsed="false">
      <c r="A1386" s="8" t="s">
        <v>223</v>
      </c>
      <c r="B1386" s="8" t="s">
        <v>1227</v>
      </c>
      <c r="C1386" s="8" t="n">
        <v>6</v>
      </c>
      <c r="D1386" s="8" t="n">
        <v>102</v>
      </c>
      <c r="E1386" s="8" t="n">
        <v>0</v>
      </c>
      <c r="F1386" s="8" t="n">
        <v>0</v>
      </c>
    </row>
    <row r="1387" customFormat="false" ht="15" hidden="false" customHeight="true" outlineLevel="0" collapsed="false">
      <c r="A1387" s="8" t="s">
        <v>195</v>
      </c>
      <c r="B1387" s="8" t="s">
        <v>1218</v>
      </c>
      <c r="C1387" s="8" t="n">
        <v>1</v>
      </c>
      <c r="D1387" s="8" t="n">
        <v>126.5</v>
      </c>
      <c r="E1387" s="8" t="n">
        <v>0</v>
      </c>
      <c r="F1387" s="8" t="n">
        <v>0</v>
      </c>
    </row>
    <row r="1388" customFormat="false" ht="15" hidden="false" customHeight="true" outlineLevel="0" collapsed="false">
      <c r="A1388" s="8" t="s">
        <v>273</v>
      </c>
      <c r="B1388" s="8" t="s">
        <v>1218</v>
      </c>
      <c r="C1388" s="8" t="n">
        <v>1</v>
      </c>
      <c r="D1388" s="8" t="n">
        <v>126.5</v>
      </c>
      <c r="E1388" s="8" t="n">
        <v>0</v>
      </c>
      <c r="F1388" s="8" t="n">
        <v>0</v>
      </c>
    </row>
    <row r="1389" customFormat="false" ht="15" hidden="false" customHeight="true" outlineLevel="0" collapsed="false">
      <c r="A1389" s="8" t="s">
        <v>280</v>
      </c>
      <c r="B1389" s="8" t="s">
        <v>1282</v>
      </c>
      <c r="C1389" s="8" t="n">
        <v>2</v>
      </c>
      <c r="D1389" s="8" t="n">
        <v>214.18</v>
      </c>
      <c r="E1389" s="8" t="n">
        <v>0</v>
      </c>
      <c r="F1389" s="8" t="n">
        <v>0</v>
      </c>
    </row>
    <row r="1390" customFormat="false" ht="15" hidden="false" customHeight="true" outlineLevel="0" collapsed="false">
      <c r="A1390" s="8" t="s">
        <v>190</v>
      </c>
      <c r="B1390" s="8" t="s">
        <v>1224</v>
      </c>
      <c r="C1390" s="8" t="n">
        <v>0</v>
      </c>
      <c r="D1390" s="8" t="n">
        <v>0</v>
      </c>
      <c r="E1390" s="8" t="n">
        <v>1</v>
      </c>
      <c r="F1390" s="8" t="n">
        <v>24.43</v>
      </c>
    </row>
    <row r="1391" customFormat="false" ht="15" hidden="false" customHeight="true" outlineLevel="0" collapsed="false">
      <c r="A1391" s="8" t="s">
        <v>183</v>
      </c>
      <c r="B1391" s="8" t="s">
        <v>1224</v>
      </c>
      <c r="C1391" s="8" t="n">
        <v>2</v>
      </c>
      <c r="D1391" s="8" t="n">
        <v>48.86</v>
      </c>
      <c r="E1391" s="8" t="n">
        <v>1</v>
      </c>
      <c r="F1391" s="8" t="n">
        <v>24.43</v>
      </c>
    </row>
    <row r="1392" customFormat="false" ht="15" hidden="false" customHeight="true" outlineLevel="0" collapsed="false">
      <c r="A1392" s="8" t="s">
        <v>161</v>
      </c>
      <c r="B1392" s="8" t="s">
        <v>1208</v>
      </c>
      <c r="C1392" s="8" t="n">
        <v>14</v>
      </c>
      <c r="D1392" s="8" t="n">
        <v>637</v>
      </c>
      <c r="E1392" s="8" t="n">
        <v>2</v>
      </c>
      <c r="F1392" s="8" t="n">
        <v>91</v>
      </c>
    </row>
    <row r="1393" customFormat="false" ht="15" hidden="false" customHeight="true" outlineLevel="0" collapsed="false">
      <c r="A1393" s="8" t="s">
        <v>162</v>
      </c>
      <c r="B1393" s="8" t="s">
        <v>1209</v>
      </c>
      <c r="C1393" s="8" t="n">
        <v>5</v>
      </c>
      <c r="D1393" s="8" t="n">
        <v>389</v>
      </c>
      <c r="E1393" s="8" t="n">
        <v>0</v>
      </c>
      <c r="F1393" s="8" t="n">
        <v>0</v>
      </c>
    </row>
    <row r="1394" customFormat="false" ht="15" hidden="false" customHeight="true" outlineLevel="0" collapsed="false">
      <c r="A1394" s="8" t="s">
        <v>171</v>
      </c>
      <c r="B1394" s="8" t="s">
        <v>1210</v>
      </c>
      <c r="C1394" s="8" t="n">
        <v>6</v>
      </c>
      <c r="D1394" s="8" t="n">
        <v>283.38</v>
      </c>
      <c r="E1394" s="8" t="n">
        <v>1</v>
      </c>
      <c r="F1394" s="8" t="n">
        <v>47.23</v>
      </c>
    </row>
    <row r="1395" customFormat="false" ht="15" hidden="false" customHeight="true" outlineLevel="0" collapsed="false">
      <c r="A1395" s="8" t="s">
        <v>174</v>
      </c>
      <c r="B1395" s="8" t="s">
        <v>1210</v>
      </c>
      <c r="C1395" s="8" t="n">
        <v>2</v>
      </c>
      <c r="D1395" s="8" t="n">
        <v>94.46</v>
      </c>
      <c r="E1395" s="8" t="n">
        <v>0</v>
      </c>
      <c r="F1395" s="8" t="n">
        <v>0</v>
      </c>
    </row>
    <row r="1396" customFormat="false" ht="15" hidden="false" customHeight="true" outlineLevel="0" collapsed="false">
      <c r="A1396" s="8" t="s">
        <v>270</v>
      </c>
      <c r="B1396" s="8" t="s">
        <v>1251</v>
      </c>
      <c r="C1396" s="8" t="n">
        <v>2</v>
      </c>
      <c r="D1396" s="8" t="n">
        <v>19.64</v>
      </c>
      <c r="E1396" s="8" t="n">
        <v>0</v>
      </c>
      <c r="F1396" s="8" t="n">
        <v>0</v>
      </c>
    </row>
    <row r="1397" customFormat="false" ht="15" hidden="false" customHeight="true" outlineLevel="0" collapsed="false">
      <c r="A1397" s="8" t="s">
        <v>188</v>
      </c>
      <c r="B1397" s="8" t="s">
        <v>1225</v>
      </c>
      <c r="C1397" s="8" t="n">
        <v>4</v>
      </c>
      <c r="D1397" s="8" t="n">
        <v>115.72</v>
      </c>
      <c r="E1397" s="8" t="n">
        <v>0</v>
      </c>
      <c r="F1397" s="8" t="n">
        <v>0</v>
      </c>
    </row>
    <row r="1398" customFormat="false" ht="15" hidden="false" customHeight="true" outlineLevel="0" collapsed="false">
      <c r="A1398" s="8" t="s">
        <v>186</v>
      </c>
      <c r="B1398" s="8" t="s">
        <v>1225</v>
      </c>
      <c r="C1398" s="8" t="n">
        <v>6</v>
      </c>
      <c r="D1398" s="8" t="n">
        <v>173.58</v>
      </c>
      <c r="E1398" s="8" t="n">
        <v>0</v>
      </c>
      <c r="F1398" s="8" t="n">
        <v>0</v>
      </c>
    </row>
    <row r="1399" customFormat="false" ht="15" hidden="false" customHeight="true" outlineLevel="0" collapsed="false">
      <c r="A1399" s="8" t="s">
        <v>210</v>
      </c>
      <c r="B1399" s="8" t="s">
        <v>1225</v>
      </c>
      <c r="C1399" s="8" t="n">
        <v>3</v>
      </c>
      <c r="D1399" s="8" t="n">
        <v>86.79</v>
      </c>
      <c r="E1399" s="8" t="n">
        <v>0</v>
      </c>
      <c r="F1399" s="8" t="n">
        <v>0</v>
      </c>
    </row>
    <row r="1400" customFormat="false" ht="15" hidden="false" customHeight="true" outlineLevel="0" collapsed="false">
      <c r="A1400" s="8" t="s">
        <v>320</v>
      </c>
      <c r="B1400" s="8" t="s">
        <v>1225</v>
      </c>
      <c r="C1400" s="8" t="n">
        <v>2</v>
      </c>
      <c r="D1400" s="8" t="n">
        <v>57.86</v>
      </c>
      <c r="E1400" s="8" t="n">
        <v>1</v>
      </c>
      <c r="F1400" s="8" t="n">
        <v>28.93</v>
      </c>
    </row>
    <row r="1401" customFormat="false" ht="15" hidden="false" customHeight="true" outlineLevel="0" collapsed="false">
      <c r="A1401" s="8" t="s">
        <v>241</v>
      </c>
      <c r="B1401" s="8" t="s">
        <v>1227</v>
      </c>
      <c r="C1401" s="8" t="n">
        <v>2</v>
      </c>
      <c r="D1401" s="8" t="n">
        <v>34</v>
      </c>
      <c r="E1401" s="8" t="n">
        <v>0</v>
      </c>
      <c r="F1401" s="8" t="n">
        <v>0</v>
      </c>
    </row>
    <row r="1402" customFormat="false" ht="15" hidden="false" customHeight="true" outlineLevel="0" collapsed="false">
      <c r="A1402" s="8" t="s">
        <v>219</v>
      </c>
      <c r="B1402" s="8" t="s">
        <v>1227</v>
      </c>
      <c r="C1402" s="8" t="n">
        <v>5</v>
      </c>
      <c r="D1402" s="8" t="n">
        <v>85</v>
      </c>
      <c r="E1402" s="8" t="n">
        <v>0</v>
      </c>
      <c r="F1402" s="8" t="n">
        <v>0</v>
      </c>
    </row>
    <row r="1403" customFormat="false" ht="15" hidden="false" customHeight="true" outlineLevel="0" collapsed="false">
      <c r="A1403" s="8" t="s">
        <v>223</v>
      </c>
      <c r="B1403" s="8" t="s">
        <v>1227</v>
      </c>
      <c r="C1403" s="8" t="n">
        <v>4</v>
      </c>
      <c r="D1403" s="8" t="n">
        <v>68</v>
      </c>
      <c r="E1403" s="8" t="n">
        <v>0</v>
      </c>
      <c r="F1403" s="8" t="n">
        <v>0</v>
      </c>
    </row>
    <row r="1404" customFormat="false" ht="15" hidden="false" customHeight="true" outlineLevel="0" collapsed="false">
      <c r="A1404" s="8" t="s">
        <v>229</v>
      </c>
      <c r="B1404" s="8" t="s">
        <v>881</v>
      </c>
      <c r="C1404" s="8" t="n">
        <v>5</v>
      </c>
      <c r="D1404" s="8" t="n">
        <v>206</v>
      </c>
      <c r="E1404" s="8" t="n">
        <v>0</v>
      </c>
      <c r="F1404" s="8" t="n">
        <v>0</v>
      </c>
    </row>
    <row r="1405" customFormat="false" ht="15" hidden="false" customHeight="true" outlineLevel="0" collapsed="false">
      <c r="A1405" s="8" t="s">
        <v>202</v>
      </c>
      <c r="B1405" s="8" t="s">
        <v>1212</v>
      </c>
      <c r="C1405" s="8" t="n">
        <v>10</v>
      </c>
      <c r="D1405" s="8" t="n">
        <v>95</v>
      </c>
      <c r="E1405" s="8" t="n">
        <v>0</v>
      </c>
      <c r="F1405" s="8" t="n">
        <v>0</v>
      </c>
    </row>
    <row r="1406" customFormat="false" ht="15" hidden="false" customHeight="true" outlineLevel="0" collapsed="false">
      <c r="A1406" s="8" t="s">
        <v>243</v>
      </c>
      <c r="B1406" s="8" t="s">
        <v>1253</v>
      </c>
      <c r="C1406" s="8" t="n">
        <v>3</v>
      </c>
      <c r="D1406" s="8" t="n">
        <v>38.85</v>
      </c>
      <c r="E1406" s="8" t="n">
        <v>0</v>
      </c>
      <c r="F1406" s="8" t="n">
        <v>0</v>
      </c>
    </row>
    <row r="1407" customFormat="false" ht="15" hidden="false" customHeight="true" outlineLevel="0" collapsed="false">
      <c r="A1407" s="8" t="s">
        <v>251</v>
      </c>
      <c r="B1407" s="8" t="s">
        <v>1262</v>
      </c>
      <c r="C1407" s="8" t="n">
        <v>3</v>
      </c>
      <c r="D1407" s="8" t="n">
        <v>29.13</v>
      </c>
      <c r="E1407" s="8" t="n">
        <v>0</v>
      </c>
      <c r="F1407" s="8" t="n">
        <v>0</v>
      </c>
    </row>
    <row r="1408" customFormat="false" ht="15" hidden="false" customHeight="true" outlineLevel="0" collapsed="false">
      <c r="A1408" s="8" t="s">
        <v>172</v>
      </c>
      <c r="B1408" s="8" t="s">
        <v>1214</v>
      </c>
      <c r="C1408" s="8" t="n">
        <v>4</v>
      </c>
      <c r="D1408" s="8" t="n">
        <v>48.72</v>
      </c>
      <c r="E1408" s="8" t="n">
        <v>0</v>
      </c>
      <c r="F1408" s="8" t="n">
        <v>0</v>
      </c>
    </row>
    <row r="1409" customFormat="false" ht="15" hidden="false" customHeight="true" outlineLevel="0" collapsed="false">
      <c r="A1409" s="8" t="s">
        <v>269</v>
      </c>
      <c r="B1409" s="8" t="s">
        <v>1231</v>
      </c>
      <c r="C1409" s="8" t="n">
        <v>3</v>
      </c>
      <c r="D1409" s="8" t="n">
        <v>33.99</v>
      </c>
      <c r="E1409" s="8" t="n">
        <v>0</v>
      </c>
      <c r="F1409" s="8" t="n">
        <v>0</v>
      </c>
    </row>
    <row r="1410" customFormat="false" ht="15" hidden="false" customHeight="true" outlineLevel="0" collapsed="false">
      <c r="A1410" s="8" t="s">
        <v>213</v>
      </c>
      <c r="B1410" s="8" t="s">
        <v>1232</v>
      </c>
      <c r="C1410" s="8" t="n">
        <v>0</v>
      </c>
      <c r="D1410" s="8" t="n">
        <v>0</v>
      </c>
      <c r="E1410" s="8" t="n">
        <v>1</v>
      </c>
      <c r="F1410" s="8" t="n">
        <v>27.55</v>
      </c>
    </row>
    <row r="1411" customFormat="false" ht="15" hidden="false" customHeight="true" outlineLevel="0" collapsed="false">
      <c r="A1411" s="8" t="s">
        <v>288</v>
      </c>
      <c r="B1411" s="8" t="s">
        <v>939</v>
      </c>
      <c r="C1411" s="8" t="n">
        <v>2</v>
      </c>
      <c r="D1411" s="8" t="n">
        <v>40.48</v>
      </c>
      <c r="E1411" s="8" t="n">
        <v>0</v>
      </c>
      <c r="F1411" s="8" t="n">
        <v>0</v>
      </c>
    </row>
    <row r="1412" customFormat="false" ht="15" hidden="false" customHeight="true" outlineLevel="0" collapsed="false">
      <c r="A1412" s="8" t="s">
        <v>232</v>
      </c>
      <c r="B1412" s="8" t="s">
        <v>1233</v>
      </c>
      <c r="C1412" s="8" t="n">
        <v>5</v>
      </c>
      <c r="D1412" s="8" t="n">
        <v>81</v>
      </c>
      <c r="E1412" s="8" t="n">
        <v>0</v>
      </c>
      <c r="F1412" s="8" t="n">
        <v>0</v>
      </c>
    </row>
    <row r="1413" customFormat="false" ht="15" hidden="false" customHeight="true" outlineLevel="0" collapsed="false">
      <c r="A1413" s="8" t="s">
        <v>255</v>
      </c>
      <c r="B1413" s="8" t="s">
        <v>1273</v>
      </c>
      <c r="C1413" s="8" t="n">
        <v>7</v>
      </c>
      <c r="D1413" s="8" t="n">
        <v>57.4</v>
      </c>
      <c r="E1413" s="8" t="n">
        <v>5</v>
      </c>
      <c r="F1413" s="8" t="n">
        <v>41</v>
      </c>
    </row>
    <row r="1414" customFormat="false" ht="15" hidden="false" customHeight="true" outlineLevel="0" collapsed="false">
      <c r="A1414" s="8" t="s">
        <v>279</v>
      </c>
      <c r="B1414" s="8" t="s">
        <v>1274</v>
      </c>
      <c r="C1414" s="8" t="n">
        <v>4</v>
      </c>
      <c r="D1414" s="8" t="n">
        <v>39.28</v>
      </c>
      <c r="E1414" s="8" t="n">
        <v>0</v>
      </c>
      <c r="F1414" s="8" t="n">
        <v>0</v>
      </c>
    </row>
    <row r="1415" customFormat="false" ht="15" hidden="false" customHeight="true" outlineLevel="0" collapsed="false">
      <c r="A1415" s="8" t="s">
        <v>180</v>
      </c>
      <c r="B1415" s="8" t="s">
        <v>1216</v>
      </c>
      <c r="C1415" s="8" t="n">
        <v>5</v>
      </c>
      <c r="D1415" s="8" t="n">
        <v>82.5</v>
      </c>
      <c r="E1415" s="8" t="n">
        <v>0</v>
      </c>
      <c r="F1415" s="8" t="n">
        <v>0</v>
      </c>
    </row>
    <row r="1416" customFormat="false" ht="15" hidden="false" customHeight="true" outlineLevel="0" collapsed="false">
      <c r="A1416" s="8" t="s">
        <v>189</v>
      </c>
      <c r="B1416" s="8" t="s">
        <v>1216</v>
      </c>
      <c r="C1416" s="8" t="n">
        <v>6</v>
      </c>
      <c r="D1416" s="8" t="n">
        <v>99</v>
      </c>
      <c r="E1416" s="8" t="n">
        <v>0</v>
      </c>
      <c r="F1416" s="8" t="n">
        <v>0</v>
      </c>
    </row>
    <row r="1417" customFormat="false" ht="15" hidden="false" customHeight="true" outlineLevel="0" collapsed="false">
      <c r="A1417" s="8" t="s">
        <v>198</v>
      </c>
      <c r="B1417" s="8" t="s">
        <v>1217</v>
      </c>
      <c r="C1417" s="8" t="n">
        <v>2</v>
      </c>
      <c r="D1417" s="8" t="n">
        <v>41</v>
      </c>
      <c r="E1417" s="8" t="n">
        <v>0</v>
      </c>
      <c r="F1417" s="8" t="n">
        <v>0</v>
      </c>
    </row>
    <row r="1418" customFormat="false" ht="15" hidden="false" customHeight="true" outlineLevel="0" collapsed="false">
      <c r="A1418" s="8" t="s">
        <v>193</v>
      </c>
      <c r="B1418" s="8" t="s">
        <v>1217</v>
      </c>
      <c r="C1418" s="8" t="n">
        <v>4</v>
      </c>
      <c r="D1418" s="8" t="n">
        <v>82</v>
      </c>
      <c r="E1418" s="8" t="n">
        <v>0</v>
      </c>
      <c r="F1418" s="8" t="n">
        <v>0</v>
      </c>
    </row>
    <row r="1419" customFormat="false" ht="15" hidden="false" customHeight="true" outlineLevel="0" collapsed="false">
      <c r="A1419" s="8" t="s">
        <v>205</v>
      </c>
      <c r="B1419" s="8" t="s">
        <v>1217</v>
      </c>
      <c r="C1419" s="8" t="n">
        <v>3</v>
      </c>
      <c r="D1419" s="8" t="n">
        <v>61.5</v>
      </c>
      <c r="E1419" s="8" t="n">
        <v>0</v>
      </c>
      <c r="F1419" s="8" t="n">
        <v>0</v>
      </c>
    </row>
    <row r="1420" customFormat="false" ht="15" hidden="false" customHeight="true" outlineLevel="0" collapsed="false">
      <c r="A1420" s="8" t="s">
        <v>277</v>
      </c>
      <c r="B1420" s="8" t="s">
        <v>1285</v>
      </c>
      <c r="C1420" s="8" t="n">
        <v>2</v>
      </c>
      <c r="D1420" s="8" t="n">
        <v>272.6</v>
      </c>
      <c r="E1420" s="8" t="n">
        <v>0</v>
      </c>
      <c r="F1420" s="8" t="n">
        <v>0</v>
      </c>
    </row>
    <row r="1421" customFormat="false" ht="15" hidden="false" customHeight="true" outlineLevel="0" collapsed="false">
      <c r="A1421" s="8" t="s">
        <v>257</v>
      </c>
      <c r="B1421" s="8" t="s">
        <v>1284</v>
      </c>
      <c r="C1421" s="8" t="n">
        <v>2</v>
      </c>
      <c r="D1421" s="8" t="n">
        <v>64.86</v>
      </c>
      <c r="E1421" s="8" t="n">
        <v>0</v>
      </c>
      <c r="F1421" s="8" t="n">
        <v>0</v>
      </c>
    </row>
    <row r="1422" customFormat="false" ht="15" hidden="false" customHeight="true" outlineLevel="0" collapsed="false">
      <c r="A1422" s="8" t="s">
        <v>178</v>
      </c>
      <c r="B1422" s="8" t="s">
        <v>1236</v>
      </c>
      <c r="C1422" s="8" t="n">
        <v>2</v>
      </c>
      <c r="D1422" s="8" t="n">
        <v>70</v>
      </c>
      <c r="E1422" s="8" t="n">
        <v>0</v>
      </c>
      <c r="F1422" s="8" t="n">
        <v>0</v>
      </c>
    </row>
    <row r="1423" customFormat="false" ht="15" hidden="false" customHeight="true" outlineLevel="0" collapsed="false">
      <c r="A1423" s="8" t="s">
        <v>176</v>
      </c>
      <c r="B1423" s="8" t="s">
        <v>1236</v>
      </c>
      <c r="C1423" s="8" t="n">
        <v>2</v>
      </c>
      <c r="D1423" s="8" t="n">
        <v>70</v>
      </c>
      <c r="E1423" s="8" t="n">
        <v>1</v>
      </c>
      <c r="F1423" s="8" t="n">
        <v>35</v>
      </c>
    </row>
    <row r="1424" customFormat="false" ht="15" hidden="false" customHeight="true" outlineLevel="0" collapsed="false">
      <c r="A1424" s="8" t="s">
        <v>235</v>
      </c>
      <c r="B1424" s="8" t="s">
        <v>1236</v>
      </c>
      <c r="C1424" s="8" t="n">
        <v>7</v>
      </c>
      <c r="D1424" s="8" t="n">
        <v>245</v>
      </c>
      <c r="E1424" s="8" t="n">
        <v>0</v>
      </c>
      <c r="F1424" s="8" t="n">
        <v>0</v>
      </c>
    </row>
    <row r="1425" customFormat="false" ht="15" hidden="false" customHeight="true" outlineLevel="0" collapsed="false">
      <c r="A1425" s="8" t="s">
        <v>179</v>
      </c>
      <c r="B1425" s="8" t="s">
        <v>1218</v>
      </c>
      <c r="C1425" s="8" t="n">
        <v>2</v>
      </c>
      <c r="D1425" s="8" t="n">
        <v>253</v>
      </c>
      <c r="E1425" s="8" t="n">
        <v>0</v>
      </c>
      <c r="F1425" s="8" t="n">
        <v>0</v>
      </c>
    </row>
    <row r="1426" customFormat="false" ht="15" hidden="false" customHeight="true" outlineLevel="0" collapsed="false">
      <c r="A1426" s="8" t="s">
        <v>182</v>
      </c>
      <c r="B1426" s="8" t="s">
        <v>799</v>
      </c>
      <c r="C1426" s="8" t="n">
        <v>5</v>
      </c>
      <c r="D1426" s="8" t="n">
        <v>100</v>
      </c>
      <c r="E1426" s="8" t="n">
        <v>0</v>
      </c>
      <c r="F1426" s="8" t="n">
        <v>0</v>
      </c>
    </row>
    <row r="1427" customFormat="false" ht="15" hidden="false" customHeight="true" outlineLevel="0" collapsed="false">
      <c r="A1427" s="8" t="s">
        <v>170</v>
      </c>
      <c r="B1427" s="8" t="s">
        <v>1220</v>
      </c>
      <c r="C1427" s="8" t="n">
        <v>6</v>
      </c>
      <c r="D1427" s="8" t="n">
        <v>88.8</v>
      </c>
      <c r="E1427" s="8" t="n">
        <v>0</v>
      </c>
      <c r="F1427" s="8" t="n">
        <v>0</v>
      </c>
    </row>
    <row r="1428" customFormat="false" ht="15" hidden="false" customHeight="true" outlineLevel="0" collapsed="false">
      <c r="A1428" s="8" t="s">
        <v>167</v>
      </c>
      <c r="B1428" s="8" t="s">
        <v>1238</v>
      </c>
      <c r="C1428" s="8" t="n">
        <v>10</v>
      </c>
      <c r="D1428" s="8" t="n">
        <v>134</v>
      </c>
      <c r="E1428" s="8" t="n">
        <v>0</v>
      </c>
      <c r="F1428" s="8" t="n">
        <v>0</v>
      </c>
    </row>
    <row r="1429" customFormat="false" ht="15" hidden="false" customHeight="true" outlineLevel="0" collapsed="false">
      <c r="A1429" s="8" t="s">
        <v>275</v>
      </c>
      <c r="B1429" s="8" t="s">
        <v>1257</v>
      </c>
      <c r="C1429" s="8" t="n">
        <v>0</v>
      </c>
      <c r="D1429" s="8" t="n">
        <v>0</v>
      </c>
      <c r="E1429" s="8" t="n">
        <v>2</v>
      </c>
      <c r="F1429" s="8" t="n">
        <v>43.2</v>
      </c>
    </row>
    <row r="1430" customFormat="false" ht="15" hidden="false" customHeight="true" outlineLevel="0" collapsed="false">
      <c r="A1430" s="8" t="s">
        <v>233</v>
      </c>
      <c r="B1430" s="8" t="s">
        <v>1249</v>
      </c>
      <c r="C1430" s="8" t="n">
        <v>8</v>
      </c>
      <c r="D1430" s="8" t="n">
        <v>143.6</v>
      </c>
      <c r="E1430" s="8" t="n">
        <v>0</v>
      </c>
      <c r="F1430" s="8" t="n">
        <v>0</v>
      </c>
    </row>
    <row r="1431" customFormat="false" ht="15" hidden="false" customHeight="true" outlineLevel="0" collapsed="false">
      <c r="A1431" s="8" t="s">
        <v>264</v>
      </c>
      <c r="B1431" s="8" t="s">
        <v>1221</v>
      </c>
      <c r="C1431" s="8" t="n">
        <v>16</v>
      </c>
      <c r="D1431" s="8" t="n">
        <v>92.96</v>
      </c>
      <c r="E1431" s="8" t="n">
        <v>0</v>
      </c>
      <c r="F1431" s="8" t="n">
        <v>0</v>
      </c>
    </row>
    <row r="1432" customFormat="false" ht="15" hidden="false" customHeight="true" outlineLevel="0" collapsed="false">
      <c r="A1432" s="8" t="s">
        <v>200</v>
      </c>
      <c r="B1432" s="8" t="s">
        <v>1279</v>
      </c>
      <c r="C1432" s="8" t="n">
        <v>1</v>
      </c>
      <c r="D1432" s="8" t="n">
        <v>77.24</v>
      </c>
      <c r="E1432" s="8" t="n">
        <v>0</v>
      </c>
      <c r="F1432" s="8" t="n">
        <v>0</v>
      </c>
    </row>
    <row r="1433" customFormat="false" ht="15" hidden="false" customHeight="true" outlineLevel="0" collapsed="false">
      <c r="A1433" s="8" t="s">
        <v>161</v>
      </c>
      <c r="B1433" s="8" t="s">
        <v>1208</v>
      </c>
      <c r="C1433" s="8" t="n">
        <v>8</v>
      </c>
      <c r="D1433" s="8" t="n">
        <v>364</v>
      </c>
      <c r="E1433" s="8" t="n">
        <v>6</v>
      </c>
      <c r="F1433" s="8" t="n">
        <v>273</v>
      </c>
    </row>
    <row r="1434" customFormat="false" ht="15" hidden="false" customHeight="true" outlineLevel="0" collapsed="false">
      <c r="A1434" s="8" t="s">
        <v>162</v>
      </c>
      <c r="B1434" s="8" t="s">
        <v>1209</v>
      </c>
      <c r="C1434" s="8" t="n">
        <v>4</v>
      </c>
      <c r="D1434" s="8" t="n">
        <v>311.2</v>
      </c>
      <c r="E1434" s="8" t="n">
        <v>0</v>
      </c>
      <c r="F1434" s="8" t="n">
        <v>0</v>
      </c>
    </row>
    <row r="1435" customFormat="false" ht="15" hidden="false" customHeight="true" outlineLevel="0" collapsed="false">
      <c r="A1435" s="8" t="s">
        <v>171</v>
      </c>
      <c r="B1435" s="8" t="s">
        <v>1210</v>
      </c>
      <c r="C1435" s="8" t="n">
        <v>4</v>
      </c>
      <c r="D1435" s="8" t="n">
        <v>188.92</v>
      </c>
      <c r="E1435" s="8" t="n">
        <v>0</v>
      </c>
      <c r="F1435" s="8" t="n">
        <v>0</v>
      </c>
    </row>
    <row r="1436" customFormat="false" ht="15" hidden="false" customHeight="true" outlineLevel="0" collapsed="false">
      <c r="A1436" s="8" t="s">
        <v>174</v>
      </c>
      <c r="B1436" s="8" t="s">
        <v>1210</v>
      </c>
      <c r="C1436" s="8" t="n">
        <v>4</v>
      </c>
      <c r="D1436" s="8" t="n">
        <v>188.92</v>
      </c>
      <c r="E1436" s="8" t="n">
        <v>0</v>
      </c>
      <c r="F1436" s="8" t="n">
        <v>0</v>
      </c>
    </row>
    <row r="1437" customFormat="false" ht="15" hidden="false" customHeight="true" outlineLevel="0" collapsed="false">
      <c r="A1437" s="8" t="s">
        <v>180</v>
      </c>
      <c r="B1437" s="8" t="s">
        <v>1216</v>
      </c>
      <c r="C1437" s="8" t="n">
        <v>12</v>
      </c>
      <c r="D1437" s="8" t="n">
        <v>198</v>
      </c>
      <c r="E1437" s="8" t="n">
        <v>0</v>
      </c>
      <c r="F1437" s="8" t="n">
        <v>0</v>
      </c>
    </row>
    <row r="1438" customFormat="false" ht="15" hidden="false" customHeight="true" outlineLevel="0" collapsed="false">
      <c r="A1438" s="8" t="s">
        <v>198</v>
      </c>
      <c r="B1438" s="8" t="s">
        <v>1217</v>
      </c>
      <c r="C1438" s="8" t="n">
        <v>4</v>
      </c>
      <c r="D1438" s="8" t="n">
        <v>82</v>
      </c>
      <c r="E1438" s="8" t="n">
        <v>0</v>
      </c>
      <c r="F1438" s="8" t="n">
        <v>0</v>
      </c>
    </row>
    <row r="1439" customFormat="false" ht="15" hidden="false" customHeight="true" outlineLevel="0" collapsed="false">
      <c r="A1439" s="8" t="s">
        <v>193</v>
      </c>
      <c r="B1439" s="8" t="s">
        <v>1217</v>
      </c>
      <c r="C1439" s="8" t="n">
        <v>2</v>
      </c>
      <c r="D1439" s="8" t="n">
        <v>41</v>
      </c>
      <c r="E1439" s="8" t="n">
        <v>0</v>
      </c>
      <c r="F1439" s="8" t="n">
        <v>0</v>
      </c>
    </row>
    <row r="1440" customFormat="false" ht="15" hidden="false" customHeight="true" outlineLevel="0" collapsed="false">
      <c r="A1440" s="8" t="s">
        <v>274</v>
      </c>
      <c r="B1440" s="8" t="s">
        <v>1219</v>
      </c>
      <c r="C1440" s="8" t="n">
        <v>16</v>
      </c>
      <c r="D1440" s="8" t="n">
        <v>139.68</v>
      </c>
      <c r="E1440" s="8" t="n">
        <v>0</v>
      </c>
      <c r="F1440" s="8" t="n">
        <v>0</v>
      </c>
    </row>
    <row r="1441" customFormat="false" ht="15" hidden="false" customHeight="true" outlineLevel="0" collapsed="false">
      <c r="A1441" s="8" t="s">
        <v>170</v>
      </c>
      <c r="B1441" s="8" t="s">
        <v>1220</v>
      </c>
      <c r="C1441" s="8" t="n">
        <v>6</v>
      </c>
      <c r="D1441" s="8" t="n">
        <v>88.8</v>
      </c>
      <c r="E1441" s="8" t="n">
        <v>0</v>
      </c>
      <c r="F1441" s="8" t="n">
        <v>0</v>
      </c>
    </row>
    <row r="1442" customFormat="false" ht="15" hidden="false" customHeight="true" outlineLevel="0" collapsed="false">
      <c r="A1442" s="8" t="s">
        <v>207</v>
      </c>
      <c r="B1442" s="8" t="s">
        <v>1222</v>
      </c>
      <c r="C1442" s="8" t="n">
        <v>1</v>
      </c>
      <c r="D1442" s="8" t="n">
        <v>65</v>
      </c>
      <c r="E1442" s="8" t="n">
        <v>0</v>
      </c>
      <c r="F1442" s="8" t="n">
        <v>0</v>
      </c>
    </row>
    <row r="1443" customFormat="false" ht="15" hidden="false" customHeight="true" outlineLevel="0" collapsed="false">
      <c r="A1443" s="8" t="s">
        <v>357</v>
      </c>
      <c r="B1443" s="8" t="s">
        <v>1280</v>
      </c>
      <c r="C1443" s="8" t="n">
        <v>1</v>
      </c>
      <c r="D1443" s="8" t="n">
        <v>65</v>
      </c>
      <c r="E1443" s="8" t="n">
        <v>0</v>
      </c>
      <c r="F1443" s="8" t="n">
        <v>0</v>
      </c>
    </row>
    <row r="1444" customFormat="false" ht="15" hidden="false" customHeight="true" outlineLevel="0" collapsed="false">
      <c r="A1444" s="8" t="s">
        <v>163</v>
      </c>
      <c r="B1444" s="8" t="s">
        <v>897</v>
      </c>
      <c r="C1444" s="8" t="n">
        <v>4</v>
      </c>
      <c r="D1444" s="8" t="n">
        <v>260</v>
      </c>
      <c r="E1444" s="8" t="n">
        <v>0</v>
      </c>
      <c r="F1444" s="8" t="n">
        <v>0</v>
      </c>
    </row>
    <row r="1445" customFormat="false" ht="15" hidden="false" customHeight="true" outlineLevel="0" collapsed="false">
      <c r="A1445" s="8" t="s">
        <v>181</v>
      </c>
      <c r="B1445" s="8" t="s">
        <v>897</v>
      </c>
      <c r="C1445" s="8" t="n">
        <v>2</v>
      </c>
      <c r="D1445" s="8" t="n">
        <v>130</v>
      </c>
      <c r="E1445" s="8" t="n">
        <v>0</v>
      </c>
      <c r="F1445" s="8" t="n">
        <v>0</v>
      </c>
    </row>
    <row r="1446" customFormat="false" ht="15" hidden="false" customHeight="true" outlineLevel="0" collapsed="false">
      <c r="A1446" s="8" t="s">
        <v>173</v>
      </c>
      <c r="B1446" s="8" t="s">
        <v>1244</v>
      </c>
      <c r="C1446" s="8" t="n">
        <v>2</v>
      </c>
      <c r="D1446" s="8" t="n">
        <v>351</v>
      </c>
      <c r="E1446" s="8" t="n">
        <v>0</v>
      </c>
      <c r="F1446" s="8" t="n">
        <v>0</v>
      </c>
    </row>
    <row r="1447" customFormat="false" ht="15" hidden="false" customHeight="true" outlineLevel="0" collapsed="false">
      <c r="A1447" s="8" t="s">
        <v>204</v>
      </c>
      <c r="B1447" s="8" t="s">
        <v>1179</v>
      </c>
      <c r="C1447" s="8" t="n">
        <v>1</v>
      </c>
      <c r="D1447" s="8" t="n">
        <v>72.34</v>
      </c>
      <c r="E1447" s="8" t="n">
        <v>0</v>
      </c>
      <c r="F1447" s="8" t="n">
        <v>0</v>
      </c>
    </row>
    <row r="1448" customFormat="false" ht="15" hidden="false" customHeight="true" outlineLevel="0" collapsed="false">
      <c r="A1448" s="8" t="s">
        <v>298</v>
      </c>
      <c r="B1448" s="8" t="s">
        <v>1282</v>
      </c>
      <c r="C1448" s="8" t="n">
        <v>1</v>
      </c>
      <c r="D1448" s="8" t="n">
        <v>107.09</v>
      </c>
      <c r="E1448" s="8" t="n">
        <v>0</v>
      </c>
      <c r="F1448" s="8" t="n">
        <v>0</v>
      </c>
    </row>
    <row r="1449" customFormat="false" ht="15" hidden="false" customHeight="true" outlineLevel="0" collapsed="false">
      <c r="A1449" s="8" t="s">
        <v>293</v>
      </c>
      <c r="B1449" s="8" t="s">
        <v>1292</v>
      </c>
      <c r="C1449" s="8" t="n">
        <v>1</v>
      </c>
      <c r="D1449" s="8" t="n">
        <v>107.09</v>
      </c>
      <c r="E1449" s="8" t="n">
        <v>0</v>
      </c>
      <c r="F1449" s="8" t="n">
        <v>0</v>
      </c>
    </row>
    <row r="1450" customFormat="false" ht="15" hidden="false" customHeight="true" outlineLevel="0" collapsed="false">
      <c r="A1450" s="8" t="s">
        <v>216</v>
      </c>
      <c r="B1450" s="8" t="s">
        <v>1223</v>
      </c>
      <c r="C1450" s="8" t="n">
        <v>0</v>
      </c>
      <c r="D1450" s="8" t="n">
        <v>0</v>
      </c>
      <c r="E1450" s="8" t="n">
        <v>2</v>
      </c>
      <c r="F1450" s="8" t="n">
        <v>155.6</v>
      </c>
    </row>
    <row r="1451" customFormat="false" ht="15" hidden="false" customHeight="true" outlineLevel="0" collapsed="false">
      <c r="A1451" s="8" t="s">
        <v>190</v>
      </c>
      <c r="B1451" s="8" t="s">
        <v>1224</v>
      </c>
      <c r="C1451" s="8" t="n">
        <v>6</v>
      </c>
      <c r="D1451" s="8" t="n">
        <v>146.58</v>
      </c>
      <c r="E1451" s="8" t="n">
        <v>8</v>
      </c>
      <c r="F1451" s="8" t="n">
        <v>195.44</v>
      </c>
    </row>
    <row r="1452" customFormat="false" ht="15" hidden="false" customHeight="true" outlineLevel="0" collapsed="false">
      <c r="A1452" s="8" t="s">
        <v>183</v>
      </c>
      <c r="B1452" s="8" t="s">
        <v>1224</v>
      </c>
      <c r="C1452" s="8" t="n">
        <v>12</v>
      </c>
      <c r="D1452" s="8" t="n">
        <v>293.16</v>
      </c>
      <c r="E1452" s="8" t="n">
        <v>0</v>
      </c>
      <c r="F1452" s="8" t="n">
        <v>0</v>
      </c>
    </row>
    <row r="1453" customFormat="false" ht="15" hidden="false" customHeight="true" outlineLevel="0" collapsed="false">
      <c r="A1453" s="8" t="s">
        <v>218</v>
      </c>
      <c r="B1453" s="8" t="s">
        <v>1224</v>
      </c>
      <c r="C1453" s="8" t="n">
        <v>3</v>
      </c>
      <c r="D1453" s="8" t="n">
        <v>73.29</v>
      </c>
      <c r="E1453" s="8" t="n">
        <v>0</v>
      </c>
      <c r="F1453" s="8" t="n">
        <v>0</v>
      </c>
    </row>
    <row r="1454" customFormat="false" ht="15" hidden="false" customHeight="true" outlineLevel="0" collapsed="false">
      <c r="A1454" s="8" t="s">
        <v>231</v>
      </c>
      <c r="B1454" s="8" t="s">
        <v>1224</v>
      </c>
      <c r="C1454" s="8" t="n">
        <v>8</v>
      </c>
      <c r="D1454" s="8" t="n">
        <v>195.44</v>
      </c>
      <c r="E1454" s="8" t="n">
        <v>0</v>
      </c>
      <c r="F1454" s="8" t="n">
        <v>0</v>
      </c>
    </row>
    <row r="1455" customFormat="false" ht="15" hidden="false" customHeight="true" outlineLevel="0" collapsed="false">
      <c r="A1455" s="8" t="s">
        <v>161</v>
      </c>
      <c r="B1455" s="8" t="s">
        <v>1208</v>
      </c>
      <c r="C1455" s="8" t="n">
        <v>27</v>
      </c>
      <c r="D1455" s="8" t="n">
        <v>1228.5</v>
      </c>
      <c r="E1455" s="8" t="n">
        <v>0</v>
      </c>
      <c r="F1455" s="8" t="n">
        <v>0</v>
      </c>
    </row>
    <row r="1456" customFormat="false" ht="15" hidden="false" customHeight="true" outlineLevel="0" collapsed="false">
      <c r="A1456" s="8" t="s">
        <v>162</v>
      </c>
      <c r="B1456" s="8" t="s">
        <v>1209</v>
      </c>
      <c r="C1456" s="8" t="n">
        <v>2</v>
      </c>
      <c r="D1456" s="8" t="n">
        <v>155.6</v>
      </c>
      <c r="E1456" s="8" t="n">
        <v>3</v>
      </c>
      <c r="F1456" s="8" t="n">
        <v>233.4</v>
      </c>
    </row>
    <row r="1457" customFormat="false" ht="15" hidden="false" customHeight="true" outlineLevel="0" collapsed="false">
      <c r="A1457" s="8" t="s">
        <v>166</v>
      </c>
      <c r="B1457" s="8" t="s">
        <v>1211</v>
      </c>
      <c r="C1457" s="8" t="n">
        <v>0</v>
      </c>
      <c r="D1457" s="8" t="n">
        <v>0</v>
      </c>
      <c r="E1457" s="8" t="n">
        <v>2</v>
      </c>
      <c r="F1457" s="8" t="n">
        <v>126.54</v>
      </c>
    </row>
    <row r="1458" customFormat="false" ht="15" hidden="false" customHeight="true" outlineLevel="0" collapsed="false">
      <c r="A1458" s="8" t="s">
        <v>164</v>
      </c>
      <c r="B1458" s="8" t="s">
        <v>1211</v>
      </c>
      <c r="C1458" s="8" t="n">
        <v>9</v>
      </c>
      <c r="D1458" s="8" t="n">
        <v>569.43</v>
      </c>
      <c r="E1458" s="8" t="n">
        <v>0</v>
      </c>
      <c r="F1458" s="8" t="n">
        <v>0</v>
      </c>
    </row>
    <row r="1459" customFormat="false" ht="15" hidden="false" customHeight="true" outlineLevel="0" collapsed="false">
      <c r="A1459" s="8" t="s">
        <v>270</v>
      </c>
      <c r="B1459" s="8" t="s">
        <v>1251</v>
      </c>
      <c r="C1459" s="8" t="n">
        <v>2</v>
      </c>
      <c r="D1459" s="8" t="n">
        <v>19.64</v>
      </c>
      <c r="E1459" s="8" t="n">
        <v>0</v>
      </c>
      <c r="F1459" s="8" t="n">
        <v>0</v>
      </c>
    </row>
    <row r="1460" customFormat="false" ht="15" hidden="false" customHeight="true" outlineLevel="0" collapsed="false">
      <c r="A1460" s="8" t="s">
        <v>206</v>
      </c>
      <c r="B1460" s="8" t="s">
        <v>1288</v>
      </c>
      <c r="C1460" s="8" t="n">
        <v>2</v>
      </c>
      <c r="D1460" s="8" t="n">
        <v>194.7</v>
      </c>
      <c r="E1460" s="8" t="n">
        <v>0</v>
      </c>
      <c r="F1460" s="8" t="n">
        <v>0</v>
      </c>
    </row>
    <row r="1461" customFormat="false" ht="15" hidden="false" customHeight="true" outlineLevel="0" collapsed="false">
      <c r="A1461" s="8" t="s">
        <v>188</v>
      </c>
      <c r="B1461" s="8" t="s">
        <v>1225</v>
      </c>
      <c r="C1461" s="8" t="n">
        <v>5</v>
      </c>
      <c r="D1461" s="8" t="n">
        <v>144.65</v>
      </c>
      <c r="E1461" s="8" t="n">
        <v>0</v>
      </c>
      <c r="F1461" s="8" t="n">
        <v>0</v>
      </c>
    </row>
    <row r="1462" customFormat="false" ht="15" hidden="false" customHeight="true" outlineLevel="0" collapsed="false">
      <c r="A1462" s="8" t="s">
        <v>186</v>
      </c>
      <c r="B1462" s="8" t="s">
        <v>1225</v>
      </c>
      <c r="C1462" s="8" t="n">
        <v>3</v>
      </c>
      <c r="D1462" s="8" t="n">
        <v>86.79</v>
      </c>
      <c r="E1462" s="8" t="n">
        <v>0</v>
      </c>
      <c r="F1462" s="8" t="n">
        <v>0</v>
      </c>
    </row>
    <row r="1463" customFormat="false" ht="15" hidden="false" customHeight="true" outlineLevel="0" collapsed="false">
      <c r="A1463" s="8" t="s">
        <v>239</v>
      </c>
      <c r="B1463" s="8" t="s">
        <v>1225</v>
      </c>
      <c r="C1463" s="8" t="n">
        <v>0</v>
      </c>
      <c r="D1463" s="8" t="n">
        <v>0</v>
      </c>
      <c r="E1463" s="8" t="n">
        <v>2</v>
      </c>
      <c r="F1463" s="8" t="n">
        <v>57.86</v>
      </c>
    </row>
    <row r="1464" customFormat="false" ht="15" hidden="false" customHeight="true" outlineLevel="0" collapsed="false">
      <c r="A1464" s="8" t="s">
        <v>210</v>
      </c>
      <c r="B1464" s="8" t="s">
        <v>1225</v>
      </c>
      <c r="C1464" s="8" t="n">
        <v>1</v>
      </c>
      <c r="D1464" s="8" t="n">
        <v>28.93</v>
      </c>
      <c r="E1464" s="8" t="n">
        <v>0</v>
      </c>
      <c r="F1464" s="8" t="n">
        <v>0</v>
      </c>
    </row>
    <row r="1465" customFormat="false" ht="15" hidden="false" customHeight="true" outlineLevel="0" collapsed="false">
      <c r="A1465" s="8" t="s">
        <v>238</v>
      </c>
      <c r="B1465" s="8" t="s">
        <v>1226</v>
      </c>
      <c r="C1465" s="8" t="n">
        <v>7</v>
      </c>
      <c r="D1465" s="8" t="n">
        <v>295.19</v>
      </c>
      <c r="E1465" s="8" t="n">
        <v>0</v>
      </c>
      <c r="F1465" s="8" t="n">
        <v>0</v>
      </c>
    </row>
    <row r="1466" customFormat="false" ht="15" hidden="false" customHeight="true" outlineLevel="0" collapsed="false">
      <c r="A1466" s="8" t="s">
        <v>201</v>
      </c>
      <c r="B1466" s="8" t="s">
        <v>1226</v>
      </c>
      <c r="C1466" s="8" t="n">
        <v>3</v>
      </c>
      <c r="D1466" s="8" t="n">
        <v>126.51</v>
      </c>
      <c r="E1466" s="8" t="n">
        <v>2</v>
      </c>
      <c r="F1466" s="8" t="n">
        <v>84.34</v>
      </c>
    </row>
    <row r="1467" customFormat="false" ht="15" hidden="false" customHeight="true" outlineLevel="0" collapsed="false">
      <c r="A1467" s="8" t="s">
        <v>314</v>
      </c>
      <c r="B1467" s="8" t="s">
        <v>1226</v>
      </c>
      <c r="C1467" s="8" t="n">
        <v>2</v>
      </c>
      <c r="D1467" s="8" t="n">
        <v>84.34</v>
      </c>
      <c r="E1467" s="8" t="n">
        <v>0</v>
      </c>
      <c r="F1467" s="8" t="n">
        <v>0</v>
      </c>
    </row>
    <row r="1468" customFormat="false" ht="15" hidden="false" customHeight="true" outlineLevel="0" collapsed="false">
      <c r="A1468" s="8" t="s">
        <v>241</v>
      </c>
      <c r="B1468" s="8" t="s">
        <v>1227</v>
      </c>
      <c r="C1468" s="8" t="n">
        <v>3</v>
      </c>
      <c r="D1468" s="8" t="n">
        <v>51</v>
      </c>
      <c r="E1468" s="8" t="n">
        <v>0</v>
      </c>
      <c r="F1468" s="8" t="n">
        <v>0</v>
      </c>
    </row>
    <row r="1469" customFormat="false" ht="15" hidden="false" customHeight="true" outlineLevel="0" collapsed="false">
      <c r="A1469" s="8" t="s">
        <v>219</v>
      </c>
      <c r="B1469" s="8" t="s">
        <v>1227</v>
      </c>
      <c r="C1469" s="8" t="n">
        <v>2</v>
      </c>
      <c r="D1469" s="8" t="n">
        <v>34</v>
      </c>
      <c r="E1469" s="8" t="n">
        <v>0</v>
      </c>
      <c r="F1469" s="8" t="n">
        <v>0</v>
      </c>
    </row>
    <row r="1470" customFormat="false" ht="15" hidden="false" customHeight="true" outlineLevel="0" collapsed="false">
      <c r="A1470" s="8" t="s">
        <v>292</v>
      </c>
      <c r="B1470" s="8" t="s">
        <v>1227</v>
      </c>
      <c r="C1470" s="8" t="n">
        <v>2</v>
      </c>
      <c r="D1470" s="8" t="n">
        <v>34</v>
      </c>
      <c r="E1470" s="8" t="n">
        <v>0</v>
      </c>
      <c r="F1470" s="8" t="n">
        <v>0</v>
      </c>
    </row>
    <row r="1471" customFormat="false" ht="15" hidden="false" customHeight="true" outlineLevel="0" collapsed="false">
      <c r="A1471" s="8" t="s">
        <v>223</v>
      </c>
      <c r="B1471" s="8" t="s">
        <v>1227</v>
      </c>
      <c r="C1471" s="8" t="n">
        <v>2</v>
      </c>
      <c r="D1471" s="8" t="n">
        <v>34</v>
      </c>
      <c r="E1471" s="8" t="n">
        <v>0</v>
      </c>
      <c r="F1471" s="8" t="n">
        <v>0</v>
      </c>
    </row>
    <row r="1472" customFormat="false" ht="15" hidden="false" customHeight="true" outlineLevel="0" collapsed="false">
      <c r="A1472" s="8" t="s">
        <v>287</v>
      </c>
      <c r="B1472" s="8" t="s">
        <v>1227</v>
      </c>
      <c r="C1472" s="8" t="n">
        <v>0</v>
      </c>
      <c r="D1472" s="8" t="n">
        <v>0</v>
      </c>
      <c r="E1472" s="8" t="n">
        <v>3</v>
      </c>
      <c r="F1472" s="8" t="n">
        <v>51</v>
      </c>
    </row>
    <row r="1473" customFormat="false" ht="15" hidden="false" customHeight="true" outlineLevel="0" collapsed="false">
      <c r="A1473" s="8" t="s">
        <v>266</v>
      </c>
      <c r="B1473" s="8" t="s">
        <v>1228</v>
      </c>
      <c r="C1473" s="8" t="n">
        <v>5</v>
      </c>
      <c r="D1473" s="8" t="n">
        <v>99.6</v>
      </c>
      <c r="E1473" s="8" t="n">
        <v>5</v>
      </c>
      <c r="F1473" s="8" t="n">
        <v>99.6</v>
      </c>
    </row>
    <row r="1474" customFormat="false" ht="15" hidden="false" customHeight="true" outlineLevel="0" collapsed="false">
      <c r="A1474" s="8" t="s">
        <v>202</v>
      </c>
      <c r="B1474" s="8" t="s">
        <v>1212</v>
      </c>
      <c r="C1474" s="8" t="n">
        <v>6</v>
      </c>
      <c r="D1474" s="8" t="n">
        <v>57</v>
      </c>
      <c r="E1474" s="8" t="n">
        <v>0</v>
      </c>
      <c r="F1474" s="8" t="n">
        <v>0</v>
      </c>
    </row>
    <row r="1475" customFormat="false" ht="15" hidden="false" customHeight="true" outlineLevel="0" collapsed="false">
      <c r="A1475" s="8" t="s">
        <v>251</v>
      </c>
      <c r="B1475" s="8" t="s">
        <v>1262</v>
      </c>
      <c r="C1475" s="8" t="n">
        <v>3</v>
      </c>
      <c r="D1475" s="8" t="n">
        <v>29.13</v>
      </c>
      <c r="E1475" s="8" t="n">
        <v>0</v>
      </c>
      <c r="F1475" s="8" t="n">
        <v>0</v>
      </c>
    </row>
    <row r="1476" customFormat="false" ht="15" hidden="false" customHeight="true" outlineLevel="0" collapsed="false">
      <c r="A1476" s="8" t="s">
        <v>172</v>
      </c>
      <c r="B1476" s="8" t="s">
        <v>1214</v>
      </c>
      <c r="C1476" s="8" t="n">
        <v>9</v>
      </c>
      <c r="D1476" s="8" t="n">
        <v>109.62</v>
      </c>
      <c r="E1476" s="8" t="n">
        <v>0</v>
      </c>
      <c r="F1476" s="8" t="n">
        <v>0</v>
      </c>
    </row>
    <row r="1477" customFormat="false" ht="15" hidden="false" customHeight="true" outlineLevel="0" collapsed="false">
      <c r="A1477" s="8" t="s">
        <v>242</v>
      </c>
      <c r="B1477" s="8" t="s">
        <v>1230</v>
      </c>
      <c r="C1477" s="8" t="n">
        <v>5</v>
      </c>
      <c r="D1477" s="8" t="n">
        <v>193.5</v>
      </c>
      <c r="E1477" s="8" t="n">
        <v>0</v>
      </c>
      <c r="F1477" s="8" t="n">
        <v>0</v>
      </c>
    </row>
    <row r="1478" customFormat="false" ht="15" hidden="false" customHeight="true" outlineLevel="0" collapsed="false">
      <c r="A1478" s="8" t="s">
        <v>232</v>
      </c>
      <c r="B1478" s="8" t="s">
        <v>1233</v>
      </c>
      <c r="C1478" s="8" t="n">
        <v>6</v>
      </c>
      <c r="D1478" s="8" t="n">
        <v>97.2</v>
      </c>
      <c r="E1478" s="8" t="n">
        <v>0</v>
      </c>
      <c r="F1478" s="8" t="n">
        <v>0</v>
      </c>
    </row>
    <row r="1479" customFormat="false" ht="15" hidden="false" customHeight="true" outlineLevel="0" collapsed="false">
      <c r="A1479" s="8" t="s">
        <v>268</v>
      </c>
      <c r="B1479" s="8" t="s">
        <v>1234</v>
      </c>
      <c r="C1479" s="8" t="n">
        <v>2</v>
      </c>
      <c r="D1479" s="8" t="n">
        <v>71.34</v>
      </c>
      <c r="E1479" s="8" t="n">
        <v>0</v>
      </c>
      <c r="F1479" s="8" t="n">
        <v>0</v>
      </c>
    </row>
    <row r="1480" customFormat="false" ht="15" hidden="false" customHeight="true" outlineLevel="0" collapsed="false">
      <c r="A1480" s="8" t="s">
        <v>180</v>
      </c>
      <c r="B1480" s="8" t="s">
        <v>1216</v>
      </c>
      <c r="C1480" s="8" t="n">
        <v>23</v>
      </c>
      <c r="D1480" s="8" t="n">
        <v>379.5</v>
      </c>
      <c r="E1480" s="8" t="n">
        <v>0</v>
      </c>
      <c r="F1480" s="8" t="n">
        <v>0</v>
      </c>
    </row>
    <row r="1481" customFormat="false" ht="15" hidden="false" customHeight="true" outlineLevel="0" collapsed="false">
      <c r="A1481" s="8" t="s">
        <v>189</v>
      </c>
      <c r="B1481" s="8" t="s">
        <v>1216</v>
      </c>
      <c r="C1481" s="8" t="n">
        <v>9</v>
      </c>
      <c r="D1481" s="8" t="n">
        <v>148.5</v>
      </c>
      <c r="E1481" s="8" t="n">
        <v>6</v>
      </c>
      <c r="F1481" s="8" t="n">
        <v>99</v>
      </c>
    </row>
    <row r="1482" customFormat="false" ht="15" hidden="false" customHeight="true" outlineLevel="0" collapsed="false">
      <c r="A1482" s="8" t="s">
        <v>267</v>
      </c>
      <c r="B1482" s="8" t="s">
        <v>1216</v>
      </c>
      <c r="C1482" s="8" t="n">
        <v>3</v>
      </c>
      <c r="D1482" s="8" t="n">
        <v>49.5</v>
      </c>
      <c r="E1482" s="8" t="n">
        <v>0</v>
      </c>
      <c r="F1482" s="8" t="n">
        <v>0</v>
      </c>
    </row>
    <row r="1483" customFormat="false" ht="15" hidden="false" customHeight="true" outlineLevel="0" collapsed="false">
      <c r="A1483" s="8" t="s">
        <v>199</v>
      </c>
      <c r="B1483" s="8" t="s">
        <v>1216</v>
      </c>
      <c r="C1483" s="8" t="n">
        <v>3</v>
      </c>
      <c r="D1483" s="8" t="n">
        <v>49.5</v>
      </c>
      <c r="E1483" s="8" t="n">
        <v>0</v>
      </c>
      <c r="F1483" s="8" t="n">
        <v>0</v>
      </c>
    </row>
    <row r="1484" customFormat="false" ht="15" hidden="false" customHeight="true" outlineLevel="0" collapsed="false">
      <c r="A1484" s="8" t="s">
        <v>250</v>
      </c>
      <c r="B1484" s="8" t="s">
        <v>1216</v>
      </c>
      <c r="C1484" s="8" t="n">
        <v>2</v>
      </c>
      <c r="D1484" s="8" t="n">
        <v>33</v>
      </c>
      <c r="E1484" s="8" t="n">
        <v>0</v>
      </c>
      <c r="F1484" s="8" t="n">
        <v>0</v>
      </c>
    </row>
    <row r="1485" customFormat="false" ht="15" hidden="false" customHeight="true" outlineLevel="0" collapsed="false">
      <c r="A1485" s="8" t="s">
        <v>198</v>
      </c>
      <c r="B1485" s="8" t="s">
        <v>1217</v>
      </c>
      <c r="C1485" s="8" t="n">
        <v>2</v>
      </c>
      <c r="D1485" s="8" t="n">
        <v>41</v>
      </c>
      <c r="E1485" s="8" t="n">
        <v>2</v>
      </c>
      <c r="F1485" s="8" t="n">
        <v>41</v>
      </c>
    </row>
    <row r="1486" customFormat="false" ht="15" hidden="false" customHeight="true" outlineLevel="0" collapsed="false">
      <c r="A1486" s="8" t="s">
        <v>193</v>
      </c>
      <c r="B1486" s="8" t="s">
        <v>1217</v>
      </c>
      <c r="C1486" s="8" t="n">
        <v>1</v>
      </c>
      <c r="D1486" s="8" t="n">
        <v>20.5</v>
      </c>
      <c r="E1486" s="8" t="n">
        <v>0</v>
      </c>
      <c r="F1486" s="8" t="n">
        <v>0</v>
      </c>
    </row>
    <row r="1487" customFormat="false" ht="15" hidden="false" customHeight="true" outlineLevel="0" collapsed="false">
      <c r="A1487" s="8" t="s">
        <v>302</v>
      </c>
      <c r="B1487" s="8" t="s">
        <v>1217</v>
      </c>
      <c r="C1487" s="8" t="n">
        <v>5</v>
      </c>
      <c r="D1487" s="8" t="n">
        <v>102.5</v>
      </c>
      <c r="E1487" s="8" t="n">
        <v>0</v>
      </c>
      <c r="F1487" s="8" t="n">
        <v>0</v>
      </c>
    </row>
    <row r="1488" customFormat="false" ht="15" hidden="false" customHeight="true" outlineLevel="0" collapsed="false">
      <c r="A1488" s="8" t="s">
        <v>249</v>
      </c>
      <c r="B1488" s="8" t="s">
        <v>1285</v>
      </c>
      <c r="C1488" s="8" t="n">
        <v>2</v>
      </c>
      <c r="D1488" s="8" t="n">
        <v>272.6</v>
      </c>
      <c r="E1488" s="8" t="n">
        <v>0</v>
      </c>
      <c r="F1488" s="8" t="n">
        <v>0</v>
      </c>
    </row>
    <row r="1489" customFormat="false" ht="15" hidden="false" customHeight="true" outlineLevel="0" collapsed="false">
      <c r="A1489" s="8" t="s">
        <v>113</v>
      </c>
      <c r="B1489" s="8" t="s">
        <v>1247</v>
      </c>
      <c r="C1489" s="8" t="n">
        <v>9</v>
      </c>
      <c r="D1489" s="8" t="n">
        <v>225</v>
      </c>
      <c r="E1489" s="8" t="n">
        <v>0</v>
      </c>
      <c r="F1489" s="8" t="n">
        <v>0</v>
      </c>
    </row>
    <row r="1490" customFormat="false" ht="15" hidden="false" customHeight="true" outlineLevel="0" collapsed="false">
      <c r="A1490" s="8" t="s">
        <v>120</v>
      </c>
      <c r="B1490" s="8" t="s">
        <v>1247</v>
      </c>
      <c r="C1490" s="8" t="n">
        <v>3</v>
      </c>
      <c r="D1490" s="8" t="n">
        <v>75</v>
      </c>
      <c r="E1490" s="8" t="n">
        <v>5</v>
      </c>
      <c r="F1490" s="8" t="n">
        <v>125</v>
      </c>
    </row>
    <row r="1491" customFormat="false" ht="15" hidden="false" customHeight="true" outlineLevel="0" collapsed="false">
      <c r="A1491" s="8" t="s">
        <v>178</v>
      </c>
      <c r="B1491" s="8" t="s">
        <v>1236</v>
      </c>
      <c r="C1491" s="8" t="n">
        <v>7</v>
      </c>
      <c r="D1491" s="8" t="n">
        <v>245</v>
      </c>
      <c r="E1491" s="8" t="n">
        <v>0</v>
      </c>
      <c r="F1491" s="8" t="n">
        <v>0</v>
      </c>
    </row>
    <row r="1492" customFormat="false" ht="15" hidden="false" customHeight="true" outlineLevel="0" collapsed="false">
      <c r="A1492" s="8" t="s">
        <v>176</v>
      </c>
      <c r="B1492" s="8" t="s">
        <v>1236</v>
      </c>
      <c r="C1492" s="8" t="n">
        <v>3</v>
      </c>
      <c r="D1492" s="8" t="n">
        <v>105</v>
      </c>
      <c r="E1492" s="8" t="n">
        <v>0</v>
      </c>
      <c r="F1492" s="8" t="n">
        <v>0</v>
      </c>
    </row>
    <row r="1493" customFormat="false" ht="15" hidden="false" customHeight="true" outlineLevel="0" collapsed="false">
      <c r="A1493" s="8" t="s">
        <v>235</v>
      </c>
      <c r="B1493" s="8" t="s">
        <v>1236</v>
      </c>
      <c r="C1493" s="8" t="n">
        <v>2</v>
      </c>
      <c r="D1493" s="8" t="n">
        <v>70</v>
      </c>
      <c r="E1493" s="8" t="n">
        <v>0</v>
      </c>
      <c r="F1493" s="8" t="n">
        <v>0</v>
      </c>
    </row>
    <row r="1494" customFormat="false" ht="15" hidden="false" customHeight="true" outlineLevel="0" collapsed="false">
      <c r="A1494" s="8" t="s">
        <v>224</v>
      </c>
      <c r="B1494" s="8" t="s">
        <v>1236</v>
      </c>
      <c r="C1494" s="8" t="n">
        <v>2</v>
      </c>
      <c r="D1494" s="8" t="n">
        <v>70</v>
      </c>
      <c r="E1494" s="8" t="n">
        <v>0</v>
      </c>
      <c r="F1494" s="8" t="n">
        <v>0</v>
      </c>
    </row>
    <row r="1495" customFormat="false" ht="15" hidden="false" customHeight="true" outlineLevel="0" collapsed="false">
      <c r="A1495" s="8" t="s">
        <v>179</v>
      </c>
      <c r="B1495" s="8" t="s">
        <v>1218</v>
      </c>
      <c r="C1495" s="8" t="n">
        <v>0</v>
      </c>
      <c r="D1495" s="8" t="n">
        <v>0</v>
      </c>
      <c r="E1495" s="8" t="n">
        <v>4</v>
      </c>
      <c r="F1495" s="8" t="n">
        <v>506</v>
      </c>
    </row>
    <row r="1496" customFormat="false" ht="15" hidden="false" customHeight="true" outlineLevel="0" collapsed="false">
      <c r="A1496" s="8" t="s">
        <v>185</v>
      </c>
      <c r="B1496" s="8" t="s">
        <v>1218</v>
      </c>
      <c r="C1496" s="8" t="n">
        <v>3</v>
      </c>
      <c r="D1496" s="8" t="n">
        <v>379.5</v>
      </c>
      <c r="E1496" s="8" t="n">
        <v>0</v>
      </c>
      <c r="F1496" s="8" t="n">
        <v>0</v>
      </c>
    </row>
    <row r="1497" customFormat="false" ht="15" hidden="false" customHeight="true" outlineLevel="0" collapsed="false">
      <c r="A1497" s="8" t="s">
        <v>195</v>
      </c>
      <c r="B1497" s="8" t="s">
        <v>1218</v>
      </c>
      <c r="C1497" s="8" t="n">
        <v>2</v>
      </c>
      <c r="D1497" s="8" t="n">
        <v>253</v>
      </c>
      <c r="E1497" s="8" t="n">
        <v>3</v>
      </c>
      <c r="F1497" s="8" t="n">
        <v>379.5</v>
      </c>
    </row>
    <row r="1498" customFormat="false" ht="15" hidden="false" customHeight="true" outlineLevel="0" collapsed="false">
      <c r="A1498" s="8" t="s">
        <v>240</v>
      </c>
      <c r="B1498" s="8" t="s">
        <v>769</v>
      </c>
      <c r="C1498" s="8" t="n">
        <v>4</v>
      </c>
      <c r="D1498" s="8" t="n">
        <v>68</v>
      </c>
      <c r="E1498" s="8" t="n">
        <v>0</v>
      </c>
      <c r="F1498" s="8" t="n">
        <v>0</v>
      </c>
    </row>
    <row r="1499" customFormat="false" ht="15" hidden="false" customHeight="true" outlineLevel="0" collapsed="false">
      <c r="A1499" s="8" t="s">
        <v>182</v>
      </c>
      <c r="B1499" s="8" t="s">
        <v>799</v>
      </c>
      <c r="C1499" s="8" t="n">
        <v>2</v>
      </c>
      <c r="D1499" s="8" t="n">
        <v>40</v>
      </c>
      <c r="E1499" s="8" t="n">
        <v>0</v>
      </c>
      <c r="F1499" s="8" t="n">
        <v>0</v>
      </c>
    </row>
    <row r="1500" customFormat="false" ht="15" hidden="false" customHeight="true" outlineLevel="0" collapsed="false">
      <c r="A1500" s="8" t="s">
        <v>170</v>
      </c>
      <c r="B1500" s="8" t="s">
        <v>1220</v>
      </c>
      <c r="C1500" s="8" t="n">
        <v>24</v>
      </c>
      <c r="D1500" s="8" t="n">
        <v>355.2</v>
      </c>
      <c r="E1500" s="8" t="n">
        <v>0</v>
      </c>
      <c r="F1500" s="8" t="n">
        <v>0</v>
      </c>
    </row>
    <row r="1501" customFormat="false" ht="15" hidden="false" customHeight="true" outlineLevel="0" collapsed="false">
      <c r="A1501" s="8" t="s">
        <v>252</v>
      </c>
      <c r="B1501" s="8" t="s">
        <v>1177</v>
      </c>
      <c r="C1501" s="8" t="n">
        <v>3</v>
      </c>
      <c r="D1501" s="8" t="n">
        <v>49.8</v>
      </c>
      <c r="E1501" s="8" t="n">
        <v>0</v>
      </c>
      <c r="F1501" s="8" t="n">
        <v>0</v>
      </c>
    </row>
    <row r="1502" customFormat="false" ht="15" hidden="false" customHeight="true" outlineLevel="0" collapsed="false">
      <c r="A1502" s="8" t="s">
        <v>203</v>
      </c>
      <c r="B1502" s="8" t="s">
        <v>1177</v>
      </c>
      <c r="C1502" s="8" t="n">
        <v>7</v>
      </c>
      <c r="D1502" s="8" t="n">
        <v>129.5</v>
      </c>
      <c r="E1502" s="8" t="n">
        <v>0</v>
      </c>
      <c r="F1502" s="8" t="n">
        <v>0</v>
      </c>
    </row>
    <row r="1503" customFormat="false" ht="15" hidden="false" customHeight="true" outlineLevel="0" collapsed="false">
      <c r="A1503" s="8" t="s">
        <v>196</v>
      </c>
      <c r="B1503" s="8" t="s">
        <v>1243</v>
      </c>
      <c r="C1503" s="8" t="n">
        <v>5</v>
      </c>
      <c r="D1503" s="8" t="n">
        <v>267.5</v>
      </c>
      <c r="E1503" s="8" t="n">
        <v>0</v>
      </c>
      <c r="F1503" s="8" t="n">
        <v>0</v>
      </c>
    </row>
    <row r="1504" customFormat="false" ht="15" hidden="false" customHeight="true" outlineLevel="0" collapsed="false">
      <c r="A1504" s="8" t="s">
        <v>226</v>
      </c>
      <c r="B1504" s="8" t="s">
        <v>566</v>
      </c>
      <c r="C1504" s="8" t="n">
        <v>7</v>
      </c>
      <c r="D1504" s="8" t="n">
        <v>145.6</v>
      </c>
      <c r="E1504" s="8" t="n">
        <v>0</v>
      </c>
      <c r="F1504" s="8" t="n">
        <v>0</v>
      </c>
    </row>
    <row r="1505" customFormat="false" ht="15" hidden="false" customHeight="true" outlineLevel="0" collapsed="false">
      <c r="A1505" s="8" t="s">
        <v>344</v>
      </c>
      <c r="B1505" s="8" t="s">
        <v>1293</v>
      </c>
      <c r="C1505" s="8" t="n">
        <v>0</v>
      </c>
      <c r="D1505" s="8" t="n">
        <v>0</v>
      </c>
      <c r="E1505" s="8" t="n">
        <v>2</v>
      </c>
      <c r="F1505" s="8" t="n">
        <v>147.6</v>
      </c>
    </row>
    <row r="1506" customFormat="false" ht="15" hidden="false" customHeight="true" outlineLevel="0" collapsed="false">
      <c r="A1506" s="8" t="s">
        <v>204</v>
      </c>
      <c r="B1506" s="8" t="s">
        <v>1179</v>
      </c>
      <c r="C1506" s="8" t="n">
        <v>1</v>
      </c>
      <c r="D1506" s="8" t="n">
        <v>72.34</v>
      </c>
      <c r="E1506" s="8" t="n">
        <v>0</v>
      </c>
      <c r="F1506" s="8" t="n">
        <v>0</v>
      </c>
    </row>
    <row r="1507" customFormat="false" ht="15" hidden="false" customHeight="true" outlineLevel="0" collapsed="false">
      <c r="A1507" s="8" t="s">
        <v>293</v>
      </c>
      <c r="B1507" s="8" t="s">
        <v>1292</v>
      </c>
      <c r="C1507" s="8" t="n">
        <v>2</v>
      </c>
      <c r="D1507" s="8" t="n">
        <v>214.18</v>
      </c>
      <c r="E1507" s="8" t="n">
        <v>-2</v>
      </c>
      <c r="F1507" s="8" t="n">
        <v>-214.18</v>
      </c>
    </row>
    <row r="1508" customFormat="false" ht="15" hidden="false" customHeight="true" outlineLevel="0" collapsed="false">
      <c r="A1508" s="8" t="s">
        <v>216</v>
      </c>
      <c r="B1508" s="8" t="s">
        <v>1223</v>
      </c>
      <c r="C1508" s="8" t="n">
        <v>0</v>
      </c>
      <c r="D1508" s="8" t="n">
        <v>0</v>
      </c>
      <c r="E1508" s="8" t="n">
        <v>1</v>
      </c>
      <c r="F1508" s="8" t="n">
        <v>77.8</v>
      </c>
    </row>
    <row r="1509" customFormat="false" ht="15" hidden="false" customHeight="true" outlineLevel="0" collapsed="false">
      <c r="A1509" s="8" t="s">
        <v>171</v>
      </c>
      <c r="B1509" s="8" t="s">
        <v>1210</v>
      </c>
      <c r="C1509" s="8" t="n">
        <v>3</v>
      </c>
      <c r="D1509" s="8" t="n">
        <v>141.69</v>
      </c>
      <c r="E1509" s="8" t="n">
        <v>0</v>
      </c>
      <c r="F1509" s="8" t="n">
        <v>0</v>
      </c>
    </row>
    <row r="1510" customFormat="false" ht="15" hidden="false" customHeight="true" outlineLevel="0" collapsed="false">
      <c r="A1510" s="8" t="s">
        <v>174</v>
      </c>
      <c r="B1510" s="8" t="s">
        <v>1210</v>
      </c>
      <c r="C1510" s="8" t="n">
        <v>4</v>
      </c>
      <c r="D1510" s="8" t="n">
        <v>188.92</v>
      </c>
      <c r="E1510" s="8" t="n">
        <v>0</v>
      </c>
      <c r="F1510" s="8" t="n">
        <v>0</v>
      </c>
    </row>
    <row r="1511" customFormat="false" ht="15" hidden="false" customHeight="true" outlineLevel="0" collapsed="false">
      <c r="A1511" s="8" t="s">
        <v>164</v>
      </c>
      <c r="B1511" s="8" t="s">
        <v>1211</v>
      </c>
      <c r="C1511" s="8" t="n">
        <v>0</v>
      </c>
      <c r="D1511" s="8" t="n">
        <v>0</v>
      </c>
      <c r="E1511" s="8" t="n">
        <v>1</v>
      </c>
      <c r="F1511" s="8" t="n">
        <v>63.27</v>
      </c>
    </row>
    <row r="1512" customFormat="false" ht="15" hidden="false" customHeight="true" outlineLevel="0" collapsed="false">
      <c r="A1512" s="8" t="s">
        <v>270</v>
      </c>
      <c r="B1512" s="8" t="s">
        <v>1251</v>
      </c>
      <c r="C1512" s="8" t="n">
        <v>2</v>
      </c>
      <c r="D1512" s="8" t="n">
        <v>19.64</v>
      </c>
      <c r="E1512" s="8" t="n">
        <v>7</v>
      </c>
      <c r="F1512" s="8" t="n">
        <v>68.74</v>
      </c>
    </row>
    <row r="1513" customFormat="false" ht="15" hidden="false" customHeight="true" outlineLevel="0" collapsed="false">
      <c r="A1513" s="8" t="s">
        <v>307</v>
      </c>
      <c r="B1513" s="8" t="s">
        <v>1252</v>
      </c>
      <c r="C1513" s="8" t="n">
        <v>2</v>
      </c>
      <c r="D1513" s="8" t="n">
        <v>28.56</v>
      </c>
      <c r="E1513" s="8" t="n">
        <v>0</v>
      </c>
      <c r="F1513" s="8" t="n">
        <v>0</v>
      </c>
    </row>
    <row r="1514" customFormat="false" ht="15" hidden="false" customHeight="true" outlineLevel="0" collapsed="false">
      <c r="A1514" s="8" t="s">
        <v>263</v>
      </c>
      <c r="B1514" s="8" t="s">
        <v>407</v>
      </c>
      <c r="C1514" s="8" t="n">
        <v>3</v>
      </c>
      <c r="D1514" s="8" t="n">
        <v>38.46</v>
      </c>
      <c r="E1514" s="8" t="n">
        <v>0</v>
      </c>
      <c r="F1514" s="8" t="n">
        <v>0</v>
      </c>
    </row>
    <row r="1515" customFormat="false" ht="15" hidden="false" customHeight="true" outlineLevel="0" collapsed="false">
      <c r="A1515" s="8" t="s">
        <v>271</v>
      </c>
      <c r="B1515" s="8" t="s">
        <v>1260</v>
      </c>
      <c r="C1515" s="8" t="n">
        <v>0</v>
      </c>
      <c r="D1515" s="8" t="n">
        <v>0</v>
      </c>
      <c r="E1515" s="8" t="n">
        <v>2</v>
      </c>
      <c r="F1515" s="8" t="n">
        <v>46.8</v>
      </c>
    </row>
    <row r="1516" customFormat="false" ht="15" hidden="false" customHeight="true" outlineLevel="0" collapsed="false">
      <c r="A1516" s="8" t="s">
        <v>246</v>
      </c>
      <c r="B1516" s="8" t="s">
        <v>1261</v>
      </c>
      <c r="C1516" s="8" t="n">
        <v>0</v>
      </c>
      <c r="D1516" s="8" t="n">
        <v>0</v>
      </c>
      <c r="E1516" s="8" t="n">
        <v>2</v>
      </c>
      <c r="F1516" s="8" t="n">
        <v>34.7</v>
      </c>
    </row>
    <row r="1517" customFormat="false" ht="15" hidden="false" customHeight="true" outlineLevel="0" collapsed="false">
      <c r="A1517" s="8" t="s">
        <v>202</v>
      </c>
      <c r="B1517" s="8" t="s">
        <v>1212</v>
      </c>
      <c r="C1517" s="8" t="n">
        <v>6</v>
      </c>
      <c r="D1517" s="8" t="n">
        <v>57</v>
      </c>
      <c r="E1517" s="8" t="n">
        <v>0</v>
      </c>
      <c r="F1517" s="8" t="n">
        <v>0</v>
      </c>
    </row>
    <row r="1518" customFormat="false" ht="15" hidden="false" customHeight="true" outlineLevel="0" collapsed="false">
      <c r="A1518" s="8" t="s">
        <v>244</v>
      </c>
      <c r="B1518" s="8" t="s">
        <v>1213</v>
      </c>
      <c r="C1518" s="8" t="n">
        <v>7</v>
      </c>
      <c r="D1518" s="8" t="n">
        <v>66.5</v>
      </c>
      <c r="E1518" s="8" t="n">
        <v>0</v>
      </c>
      <c r="F1518" s="8" t="n">
        <v>0</v>
      </c>
    </row>
    <row r="1519" customFormat="false" ht="15" hidden="false" customHeight="true" outlineLevel="0" collapsed="false">
      <c r="A1519" s="8" t="s">
        <v>243</v>
      </c>
      <c r="B1519" s="8" t="s">
        <v>1253</v>
      </c>
      <c r="C1519" s="8" t="n">
        <v>2</v>
      </c>
      <c r="D1519" s="8" t="n">
        <v>25.9</v>
      </c>
      <c r="E1519" s="8" t="n">
        <v>0</v>
      </c>
      <c r="F1519" s="8" t="n">
        <v>0</v>
      </c>
    </row>
    <row r="1520" customFormat="false" ht="15" hidden="false" customHeight="true" outlineLevel="0" collapsed="false">
      <c r="A1520" s="8" t="s">
        <v>308</v>
      </c>
      <c r="B1520" s="8" t="s">
        <v>1229</v>
      </c>
      <c r="C1520" s="8" t="n">
        <v>1</v>
      </c>
      <c r="D1520" s="8" t="n">
        <v>8.08</v>
      </c>
      <c r="E1520" s="8" t="n">
        <v>0</v>
      </c>
      <c r="F1520" s="8" t="n">
        <v>0</v>
      </c>
    </row>
    <row r="1521" customFormat="false" ht="15" hidden="false" customHeight="true" outlineLevel="0" collapsed="false">
      <c r="A1521" s="8" t="s">
        <v>288</v>
      </c>
      <c r="B1521" s="8" t="s">
        <v>939</v>
      </c>
      <c r="C1521" s="8" t="n">
        <v>0</v>
      </c>
      <c r="D1521" s="8" t="n">
        <v>0</v>
      </c>
      <c r="E1521" s="8" t="n">
        <v>2</v>
      </c>
      <c r="F1521" s="8" t="n">
        <v>40.48</v>
      </c>
    </row>
    <row r="1522" customFormat="false" ht="15" hidden="false" customHeight="true" outlineLevel="0" collapsed="false">
      <c r="A1522" s="8" t="s">
        <v>168</v>
      </c>
      <c r="B1522" s="8" t="s">
        <v>1240</v>
      </c>
      <c r="C1522" s="8" t="n">
        <v>3</v>
      </c>
      <c r="D1522" s="8" t="n">
        <v>125.43</v>
      </c>
      <c r="E1522" s="8" t="n">
        <v>0</v>
      </c>
      <c r="F1522" s="8" t="n">
        <v>0</v>
      </c>
    </row>
    <row r="1523" customFormat="false" ht="15" hidden="false" customHeight="true" outlineLevel="0" collapsed="false">
      <c r="A1523" s="8" t="s">
        <v>169</v>
      </c>
      <c r="B1523" s="8" t="s">
        <v>1240</v>
      </c>
      <c r="C1523" s="8" t="n">
        <v>1</v>
      </c>
      <c r="D1523" s="8" t="n">
        <v>41.81</v>
      </c>
      <c r="E1523" s="8" t="n">
        <v>0</v>
      </c>
      <c r="F1523" s="8" t="n">
        <v>0</v>
      </c>
    </row>
    <row r="1524" customFormat="false" ht="15" hidden="false" customHeight="true" outlineLevel="0" collapsed="false">
      <c r="A1524" s="8" t="s">
        <v>176</v>
      </c>
      <c r="B1524" s="8" t="s">
        <v>1236</v>
      </c>
      <c r="C1524" s="8" t="n">
        <v>1</v>
      </c>
      <c r="D1524" s="8" t="n">
        <v>35</v>
      </c>
      <c r="E1524" s="8" t="n">
        <v>0</v>
      </c>
      <c r="F1524" s="8" t="n">
        <v>0</v>
      </c>
    </row>
    <row r="1525" customFormat="false" ht="15" hidden="false" customHeight="true" outlineLevel="0" collapsed="false">
      <c r="A1525" s="8" t="s">
        <v>170</v>
      </c>
      <c r="B1525" s="8" t="s">
        <v>1220</v>
      </c>
      <c r="C1525" s="8" t="n">
        <v>6</v>
      </c>
      <c r="D1525" s="8" t="n">
        <v>88.8</v>
      </c>
      <c r="E1525" s="8" t="n">
        <v>6</v>
      </c>
      <c r="F1525" s="8" t="n">
        <v>88.8</v>
      </c>
    </row>
    <row r="1526" customFormat="false" ht="15" hidden="false" customHeight="true" outlineLevel="0" collapsed="false">
      <c r="A1526" s="8" t="s">
        <v>167</v>
      </c>
      <c r="B1526" s="8" t="s">
        <v>1238</v>
      </c>
      <c r="C1526" s="8" t="n">
        <v>11</v>
      </c>
      <c r="D1526" s="8" t="n">
        <v>147.4</v>
      </c>
      <c r="E1526" s="8" t="n">
        <v>2</v>
      </c>
      <c r="F1526" s="8" t="n">
        <v>26.8</v>
      </c>
    </row>
    <row r="1527" customFormat="false" ht="15" hidden="false" customHeight="true" outlineLevel="0" collapsed="false">
      <c r="A1527" s="8" t="s">
        <v>203</v>
      </c>
      <c r="B1527" s="8" t="s">
        <v>1177</v>
      </c>
      <c r="C1527" s="8" t="n">
        <v>4</v>
      </c>
      <c r="D1527" s="8" t="n">
        <v>74</v>
      </c>
      <c r="E1527" s="8" t="n">
        <v>0</v>
      </c>
      <c r="F1527" s="8" t="n">
        <v>0</v>
      </c>
    </row>
    <row r="1528" customFormat="false" ht="15" hidden="false" customHeight="true" outlineLevel="0" collapsed="false">
      <c r="A1528" s="8" t="s">
        <v>248</v>
      </c>
      <c r="B1528" s="8" t="s">
        <v>1242</v>
      </c>
      <c r="C1528" s="8" t="n">
        <v>2</v>
      </c>
      <c r="D1528" s="8" t="n">
        <v>42</v>
      </c>
      <c r="E1528" s="8" t="n">
        <v>0</v>
      </c>
      <c r="F1528" s="8" t="n">
        <v>0</v>
      </c>
    </row>
    <row r="1529" customFormat="false" ht="15" hidden="false" customHeight="true" outlineLevel="0" collapsed="false">
      <c r="A1529" s="8" t="s">
        <v>197</v>
      </c>
      <c r="B1529" s="8" t="s">
        <v>1222</v>
      </c>
      <c r="C1529" s="8" t="n">
        <v>1</v>
      </c>
      <c r="D1529" s="8" t="n">
        <v>65</v>
      </c>
      <c r="E1529" s="8" t="n">
        <v>0</v>
      </c>
      <c r="F1529" s="8" t="n">
        <v>0</v>
      </c>
    </row>
    <row r="1530" customFormat="false" ht="15" hidden="false" customHeight="true" outlineLevel="0" collapsed="false">
      <c r="A1530" s="8" t="s">
        <v>207</v>
      </c>
      <c r="B1530" s="8" t="s">
        <v>1222</v>
      </c>
      <c r="C1530" s="8" t="n">
        <v>1</v>
      </c>
      <c r="D1530" s="8" t="n">
        <v>65</v>
      </c>
      <c r="E1530" s="8" t="n">
        <v>0</v>
      </c>
      <c r="F1530" s="8" t="n">
        <v>0</v>
      </c>
    </row>
    <row r="1531" customFormat="false" ht="15" hidden="false" customHeight="true" outlineLevel="0" collapsed="false">
      <c r="A1531" s="8" t="s">
        <v>283</v>
      </c>
      <c r="B1531" s="8" t="s">
        <v>1223</v>
      </c>
      <c r="C1531" s="8" t="n">
        <v>1</v>
      </c>
      <c r="D1531" s="8" t="n">
        <v>77.8</v>
      </c>
      <c r="E1531" s="8" t="n">
        <v>0</v>
      </c>
      <c r="F1531" s="8" t="n">
        <v>0</v>
      </c>
    </row>
    <row r="1532" customFormat="false" ht="15" hidden="false" customHeight="true" outlineLevel="0" collapsed="false">
      <c r="A1532" s="8" t="s">
        <v>216</v>
      </c>
      <c r="B1532" s="8" t="s">
        <v>1223</v>
      </c>
      <c r="C1532" s="8" t="n">
        <v>1</v>
      </c>
      <c r="D1532" s="8" t="n">
        <v>77.8</v>
      </c>
      <c r="E1532" s="8" t="n">
        <v>0</v>
      </c>
      <c r="F1532" s="8" t="n">
        <v>0</v>
      </c>
    </row>
    <row r="1533" customFormat="false" ht="15" hidden="false" customHeight="true" outlineLevel="0" collapsed="false">
      <c r="A1533" s="8" t="s">
        <v>218</v>
      </c>
      <c r="B1533" s="8" t="s">
        <v>1224</v>
      </c>
      <c r="C1533" s="8" t="n">
        <v>2</v>
      </c>
      <c r="D1533" s="8" t="n">
        <v>48.86</v>
      </c>
      <c r="E1533" s="8" t="n">
        <v>0</v>
      </c>
      <c r="F1533" s="8" t="n">
        <v>0</v>
      </c>
    </row>
    <row r="1534" customFormat="false" ht="15" hidden="false" customHeight="true" outlineLevel="0" collapsed="false">
      <c r="A1534" s="8" t="s">
        <v>231</v>
      </c>
      <c r="B1534" s="8" t="s">
        <v>1224</v>
      </c>
      <c r="C1534" s="8" t="n">
        <v>3</v>
      </c>
      <c r="D1534" s="8" t="n">
        <v>73.29</v>
      </c>
      <c r="E1534" s="8" t="n">
        <v>0</v>
      </c>
      <c r="F1534" s="8" t="n">
        <v>0</v>
      </c>
    </row>
    <row r="1535" customFormat="false" ht="15" hidden="false" customHeight="true" outlineLevel="0" collapsed="false">
      <c r="A1535" s="8" t="s">
        <v>161</v>
      </c>
      <c r="B1535" s="8" t="s">
        <v>1208</v>
      </c>
      <c r="C1535" s="8" t="n">
        <v>8</v>
      </c>
      <c r="D1535" s="8" t="n">
        <v>364</v>
      </c>
      <c r="E1535" s="8" t="n">
        <v>0</v>
      </c>
      <c r="F1535" s="8" t="n">
        <v>0</v>
      </c>
    </row>
    <row r="1536" customFormat="false" ht="15" hidden="false" customHeight="true" outlineLevel="0" collapsed="false">
      <c r="A1536" s="8" t="s">
        <v>162</v>
      </c>
      <c r="B1536" s="8" t="s">
        <v>1209</v>
      </c>
      <c r="C1536" s="8" t="n">
        <v>14</v>
      </c>
      <c r="D1536" s="8" t="n">
        <v>1089.2</v>
      </c>
      <c r="E1536" s="8" t="n">
        <v>0</v>
      </c>
      <c r="F1536" s="8" t="n">
        <v>0</v>
      </c>
    </row>
    <row r="1537" customFormat="false" ht="15" hidden="false" customHeight="true" outlineLevel="0" collapsed="false">
      <c r="A1537" s="8" t="s">
        <v>166</v>
      </c>
      <c r="B1537" s="8" t="s">
        <v>1211</v>
      </c>
      <c r="C1537" s="8" t="n">
        <v>4</v>
      </c>
      <c r="D1537" s="8" t="n">
        <v>253.08</v>
      </c>
      <c r="E1537" s="8" t="n">
        <v>0</v>
      </c>
      <c r="F1537" s="8" t="n">
        <v>0</v>
      </c>
    </row>
    <row r="1538" customFormat="false" ht="15" hidden="false" customHeight="true" outlineLevel="0" collapsed="false">
      <c r="A1538" s="8" t="s">
        <v>164</v>
      </c>
      <c r="B1538" s="8" t="s">
        <v>1211</v>
      </c>
      <c r="C1538" s="8" t="n">
        <v>3</v>
      </c>
      <c r="D1538" s="8" t="n">
        <v>189.81</v>
      </c>
      <c r="E1538" s="8" t="n">
        <v>0</v>
      </c>
      <c r="F1538" s="8" t="n">
        <v>0</v>
      </c>
    </row>
    <row r="1539" customFormat="false" ht="15" hidden="false" customHeight="true" outlineLevel="0" collapsed="false">
      <c r="A1539" s="8" t="s">
        <v>270</v>
      </c>
      <c r="B1539" s="8" t="s">
        <v>1251</v>
      </c>
      <c r="C1539" s="8" t="n">
        <v>9</v>
      </c>
      <c r="D1539" s="8" t="n">
        <v>88.38</v>
      </c>
      <c r="E1539" s="8" t="n">
        <v>0</v>
      </c>
      <c r="F1539" s="8" t="n">
        <v>0</v>
      </c>
    </row>
    <row r="1540" customFormat="false" ht="15" hidden="false" customHeight="true" outlineLevel="0" collapsed="false">
      <c r="A1540" s="8" t="s">
        <v>241</v>
      </c>
      <c r="B1540" s="8" t="s">
        <v>1227</v>
      </c>
      <c r="C1540" s="8" t="n">
        <v>4</v>
      </c>
      <c r="D1540" s="8" t="n">
        <v>68</v>
      </c>
      <c r="E1540" s="8" t="n">
        <v>0</v>
      </c>
      <c r="F1540" s="8" t="n">
        <v>0</v>
      </c>
    </row>
    <row r="1541" customFormat="false" ht="15" hidden="false" customHeight="true" outlineLevel="0" collapsed="false">
      <c r="A1541" s="8" t="s">
        <v>219</v>
      </c>
      <c r="B1541" s="8" t="s">
        <v>1227</v>
      </c>
      <c r="C1541" s="8" t="n">
        <v>4</v>
      </c>
      <c r="D1541" s="8" t="n">
        <v>68</v>
      </c>
      <c r="E1541" s="8" t="n">
        <v>0</v>
      </c>
      <c r="F1541" s="8" t="n">
        <v>0</v>
      </c>
    </row>
    <row r="1542" customFormat="false" ht="15" hidden="false" customHeight="true" outlineLevel="0" collapsed="false">
      <c r="A1542" s="8" t="s">
        <v>292</v>
      </c>
      <c r="B1542" s="8" t="s">
        <v>1227</v>
      </c>
      <c r="C1542" s="8" t="n">
        <v>2</v>
      </c>
      <c r="D1542" s="8" t="n">
        <v>34</v>
      </c>
      <c r="E1542" s="8" t="n">
        <v>0</v>
      </c>
      <c r="F1542" s="8" t="n">
        <v>0</v>
      </c>
    </row>
    <row r="1543" customFormat="false" ht="15" hidden="false" customHeight="true" outlineLevel="0" collapsed="false">
      <c r="A1543" s="8" t="s">
        <v>223</v>
      </c>
      <c r="B1543" s="8" t="s">
        <v>1227</v>
      </c>
      <c r="C1543" s="8" t="n">
        <v>8</v>
      </c>
      <c r="D1543" s="8" t="n">
        <v>136</v>
      </c>
      <c r="E1543" s="8" t="n">
        <v>0</v>
      </c>
      <c r="F1543" s="8" t="n">
        <v>0</v>
      </c>
    </row>
    <row r="1544" customFormat="false" ht="15" hidden="false" customHeight="true" outlineLevel="0" collapsed="false">
      <c r="A1544" s="8" t="s">
        <v>368</v>
      </c>
      <c r="B1544" s="8" t="s">
        <v>1227</v>
      </c>
      <c r="C1544" s="8" t="n">
        <v>2</v>
      </c>
      <c r="D1544" s="8" t="n">
        <v>34</v>
      </c>
      <c r="E1544" s="8" t="n">
        <v>0</v>
      </c>
      <c r="F1544" s="8" t="n">
        <v>0</v>
      </c>
    </row>
    <row r="1545" customFormat="false" ht="15" hidden="false" customHeight="true" outlineLevel="0" collapsed="false">
      <c r="A1545" s="8" t="s">
        <v>237</v>
      </c>
      <c r="B1545" s="8" t="s">
        <v>1259</v>
      </c>
      <c r="C1545" s="8" t="n">
        <v>2</v>
      </c>
      <c r="D1545" s="8" t="n">
        <v>36.9</v>
      </c>
      <c r="E1545" s="8" t="n">
        <v>0</v>
      </c>
      <c r="F1545" s="8" t="n">
        <v>0</v>
      </c>
    </row>
    <row r="1546" customFormat="false" ht="15" hidden="false" customHeight="true" outlineLevel="0" collapsed="false">
      <c r="A1546" s="8" t="s">
        <v>266</v>
      </c>
      <c r="B1546" s="8" t="s">
        <v>1228</v>
      </c>
      <c r="C1546" s="8" t="n">
        <v>14</v>
      </c>
      <c r="D1546" s="8" t="n">
        <v>278.88</v>
      </c>
      <c r="E1546" s="8" t="n">
        <v>0</v>
      </c>
      <c r="F1546" s="8" t="n">
        <v>0</v>
      </c>
    </row>
    <row r="1547" customFormat="false" ht="15" hidden="false" customHeight="true" outlineLevel="0" collapsed="false">
      <c r="A1547" s="8" t="s">
        <v>202</v>
      </c>
      <c r="B1547" s="8" t="s">
        <v>1212</v>
      </c>
      <c r="C1547" s="8" t="n">
        <v>3</v>
      </c>
      <c r="D1547" s="8" t="n">
        <v>28.5</v>
      </c>
      <c r="E1547" s="8" t="n">
        <v>0</v>
      </c>
      <c r="F1547" s="8" t="n">
        <v>0</v>
      </c>
    </row>
    <row r="1548" customFormat="false" ht="15" hidden="false" customHeight="true" outlineLevel="0" collapsed="false">
      <c r="A1548" s="8" t="s">
        <v>244</v>
      </c>
      <c r="B1548" s="8" t="s">
        <v>1213</v>
      </c>
      <c r="C1548" s="8" t="n">
        <v>2</v>
      </c>
      <c r="D1548" s="8" t="n">
        <v>19</v>
      </c>
      <c r="E1548" s="8" t="n">
        <v>0</v>
      </c>
      <c r="F1548" s="8" t="n">
        <v>0</v>
      </c>
    </row>
    <row r="1549" customFormat="false" ht="15" hidden="false" customHeight="true" outlineLevel="0" collapsed="false">
      <c r="A1549" s="8" t="s">
        <v>243</v>
      </c>
      <c r="B1549" s="8" t="s">
        <v>1253</v>
      </c>
      <c r="C1549" s="8" t="n">
        <v>8</v>
      </c>
      <c r="D1549" s="8" t="n">
        <v>103.6</v>
      </c>
      <c r="E1549" s="8" t="n">
        <v>0</v>
      </c>
      <c r="F1549" s="8" t="n">
        <v>0</v>
      </c>
    </row>
    <row r="1550" customFormat="false" ht="15" hidden="false" customHeight="true" outlineLevel="0" collapsed="false">
      <c r="A1550" s="8" t="s">
        <v>172</v>
      </c>
      <c r="B1550" s="8" t="s">
        <v>1214</v>
      </c>
      <c r="C1550" s="8" t="n">
        <v>6</v>
      </c>
      <c r="D1550" s="8" t="n">
        <v>73.08</v>
      </c>
      <c r="E1550" s="8" t="n">
        <v>0</v>
      </c>
      <c r="F1550" s="8" t="n">
        <v>0</v>
      </c>
    </row>
    <row r="1551" customFormat="false" ht="15" hidden="false" customHeight="true" outlineLevel="0" collapsed="false">
      <c r="A1551" s="8" t="s">
        <v>242</v>
      </c>
      <c r="B1551" s="8" t="s">
        <v>1230</v>
      </c>
      <c r="C1551" s="8" t="n">
        <v>2</v>
      </c>
      <c r="D1551" s="8" t="n">
        <v>77.4</v>
      </c>
      <c r="E1551" s="8" t="n">
        <v>0</v>
      </c>
      <c r="F1551" s="8" t="n">
        <v>0</v>
      </c>
    </row>
    <row r="1552" customFormat="false" ht="15" hidden="false" customHeight="true" outlineLevel="0" collapsed="false">
      <c r="A1552" s="8" t="s">
        <v>261</v>
      </c>
      <c r="B1552" s="8" t="s">
        <v>1215</v>
      </c>
      <c r="C1552" s="8" t="n">
        <v>3</v>
      </c>
      <c r="D1552" s="8" t="n">
        <v>63.63</v>
      </c>
      <c r="E1552" s="8" t="n">
        <v>0</v>
      </c>
      <c r="F1552" s="8" t="n">
        <v>0</v>
      </c>
    </row>
    <row r="1553" customFormat="false" ht="15" hidden="false" customHeight="true" outlineLevel="0" collapsed="false">
      <c r="A1553" s="8" t="s">
        <v>213</v>
      </c>
      <c r="B1553" s="8" t="s">
        <v>1232</v>
      </c>
      <c r="C1553" s="8" t="n">
        <v>2</v>
      </c>
      <c r="D1553" s="8" t="n">
        <v>55.1</v>
      </c>
      <c r="E1553" s="8" t="n">
        <v>0</v>
      </c>
      <c r="F1553" s="8" t="n">
        <v>0</v>
      </c>
    </row>
    <row r="1554" customFormat="false" ht="15" hidden="false" customHeight="true" outlineLevel="0" collapsed="false">
      <c r="A1554" s="8" t="s">
        <v>288</v>
      </c>
      <c r="B1554" s="8" t="s">
        <v>939</v>
      </c>
      <c r="C1554" s="8" t="n">
        <v>4</v>
      </c>
      <c r="D1554" s="8" t="n">
        <v>80.96</v>
      </c>
      <c r="E1554" s="8" t="n">
        <v>0</v>
      </c>
      <c r="F1554" s="8" t="n">
        <v>0</v>
      </c>
    </row>
    <row r="1555" customFormat="false" ht="15" hidden="false" customHeight="true" outlineLevel="0" collapsed="false">
      <c r="A1555" s="8" t="s">
        <v>281</v>
      </c>
      <c r="B1555" s="8" t="s">
        <v>1254</v>
      </c>
      <c r="C1555" s="8" t="n">
        <v>1</v>
      </c>
      <c r="D1555" s="8" t="n">
        <v>13.84</v>
      </c>
      <c r="E1555" s="8" t="n">
        <v>0</v>
      </c>
      <c r="F1555" s="8" t="n">
        <v>0</v>
      </c>
    </row>
    <row r="1556" customFormat="false" ht="15" hidden="false" customHeight="true" outlineLevel="0" collapsed="false">
      <c r="A1556" s="8" t="s">
        <v>194</v>
      </c>
      <c r="B1556" s="8" t="s">
        <v>1239</v>
      </c>
      <c r="C1556" s="8" t="n">
        <v>8</v>
      </c>
      <c r="D1556" s="8" t="n">
        <v>78.56</v>
      </c>
      <c r="E1556" s="8" t="n">
        <v>0</v>
      </c>
      <c r="F1556" s="8" t="n">
        <v>0</v>
      </c>
    </row>
    <row r="1557" customFormat="false" ht="15" hidden="false" customHeight="true" outlineLevel="0" collapsed="false">
      <c r="A1557" s="8" t="s">
        <v>180</v>
      </c>
      <c r="B1557" s="8" t="s">
        <v>1216</v>
      </c>
      <c r="C1557" s="8" t="n">
        <v>3</v>
      </c>
      <c r="D1557" s="8" t="n">
        <v>49.5</v>
      </c>
      <c r="E1557" s="8" t="n">
        <v>0</v>
      </c>
      <c r="F1557" s="8" t="n">
        <v>0</v>
      </c>
    </row>
    <row r="1558" customFormat="false" ht="15" hidden="false" customHeight="true" outlineLevel="0" collapsed="false">
      <c r="A1558" s="8" t="s">
        <v>376</v>
      </c>
      <c r="B1558" s="8" t="s">
        <v>767</v>
      </c>
      <c r="C1558" s="8" t="n">
        <v>1</v>
      </c>
      <c r="D1558" s="8" t="n">
        <v>21</v>
      </c>
      <c r="E1558" s="8" t="n">
        <v>0</v>
      </c>
      <c r="F1558" s="8" t="n">
        <v>0</v>
      </c>
    </row>
    <row r="1559" customFormat="false" ht="15" hidden="false" customHeight="true" outlineLevel="0" collapsed="false">
      <c r="A1559" s="8" t="s">
        <v>247</v>
      </c>
      <c r="B1559" s="8" t="s">
        <v>769</v>
      </c>
      <c r="C1559" s="8" t="n">
        <v>3</v>
      </c>
      <c r="D1559" s="8" t="n">
        <v>51</v>
      </c>
      <c r="E1559" s="8" t="n">
        <v>0</v>
      </c>
      <c r="F1559" s="8" t="n">
        <v>0</v>
      </c>
    </row>
    <row r="1560" customFormat="false" ht="15" hidden="false" customHeight="true" outlineLevel="0" collapsed="false">
      <c r="A1560" s="8" t="s">
        <v>182</v>
      </c>
      <c r="B1560" s="8" t="s">
        <v>799</v>
      </c>
      <c r="C1560" s="8" t="n">
        <v>5</v>
      </c>
      <c r="D1560" s="8" t="n">
        <v>100</v>
      </c>
      <c r="E1560" s="8" t="n">
        <v>0</v>
      </c>
      <c r="F1560" s="8" t="n">
        <v>0</v>
      </c>
    </row>
    <row r="1561" customFormat="false" ht="15" hidden="false" customHeight="true" outlineLevel="0" collapsed="false">
      <c r="A1561" s="8" t="s">
        <v>170</v>
      </c>
      <c r="B1561" s="8" t="s">
        <v>1220</v>
      </c>
      <c r="C1561" s="8" t="n">
        <v>18</v>
      </c>
      <c r="D1561" s="8" t="n">
        <v>266.4</v>
      </c>
      <c r="E1561" s="8" t="n">
        <v>0</v>
      </c>
      <c r="F1561" s="8" t="n">
        <v>0</v>
      </c>
    </row>
    <row r="1562" customFormat="false" ht="15" hidden="false" customHeight="true" outlineLevel="0" collapsed="false">
      <c r="A1562" s="8" t="s">
        <v>334</v>
      </c>
      <c r="B1562" s="8" t="s">
        <v>1276</v>
      </c>
      <c r="C1562" s="8" t="n">
        <v>7</v>
      </c>
      <c r="D1562" s="8" t="n">
        <v>113.4</v>
      </c>
      <c r="E1562" s="8" t="n">
        <v>0</v>
      </c>
      <c r="F1562" s="8" t="n">
        <v>0</v>
      </c>
    </row>
    <row r="1563" customFormat="false" ht="15" hidden="false" customHeight="true" outlineLevel="0" collapsed="false">
      <c r="A1563" s="8" t="s">
        <v>294</v>
      </c>
      <c r="B1563" s="8" t="s">
        <v>1289</v>
      </c>
      <c r="C1563" s="8" t="n">
        <v>5</v>
      </c>
      <c r="D1563" s="8" t="n">
        <v>72.25</v>
      </c>
      <c r="E1563" s="8" t="n">
        <v>0</v>
      </c>
      <c r="F1563" s="8" t="n">
        <v>0</v>
      </c>
    </row>
    <row r="1564" customFormat="false" ht="15" hidden="false" customHeight="true" outlineLevel="0" collapsed="false">
      <c r="A1564" s="8" t="s">
        <v>315</v>
      </c>
      <c r="B1564" s="8" t="s">
        <v>1266</v>
      </c>
      <c r="C1564" s="8" t="n">
        <v>2</v>
      </c>
      <c r="D1564" s="8" t="n">
        <v>31.82</v>
      </c>
      <c r="E1564" s="8" t="n">
        <v>0</v>
      </c>
      <c r="F1564" s="8" t="n">
        <v>0</v>
      </c>
    </row>
    <row r="1565" customFormat="false" ht="15" hidden="false" customHeight="true" outlineLevel="0" collapsed="false">
      <c r="A1565" s="8" t="s">
        <v>264</v>
      </c>
      <c r="B1565" s="8" t="s">
        <v>1221</v>
      </c>
      <c r="C1565" s="8" t="n">
        <v>49</v>
      </c>
      <c r="D1565" s="8" t="n">
        <v>284.69</v>
      </c>
      <c r="E1565" s="8" t="n">
        <v>0</v>
      </c>
      <c r="F1565" s="8" t="n">
        <v>0</v>
      </c>
    </row>
    <row r="1566" customFormat="false" ht="15" hidden="false" customHeight="true" outlineLevel="0" collapsed="false">
      <c r="A1566" s="8" t="s">
        <v>203</v>
      </c>
      <c r="B1566" s="8" t="s">
        <v>1177</v>
      </c>
      <c r="C1566" s="8" t="n">
        <v>3</v>
      </c>
      <c r="D1566" s="8" t="n">
        <v>55.5</v>
      </c>
      <c r="E1566" s="8" t="n">
        <v>0</v>
      </c>
      <c r="F1566" s="8" t="n">
        <v>0</v>
      </c>
    </row>
    <row r="1567" customFormat="false" ht="15" hidden="false" customHeight="true" outlineLevel="0" collapsed="false">
      <c r="A1567" s="8" t="s">
        <v>211</v>
      </c>
      <c r="B1567" s="8" t="s">
        <v>1250</v>
      </c>
      <c r="C1567" s="8" t="n">
        <v>1</v>
      </c>
      <c r="D1567" s="8" t="n">
        <v>25</v>
      </c>
      <c r="E1567" s="8" t="n">
        <v>0</v>
      </c>
      <c r="F1567" s="8" t="n">
        <v>0</v>
      </c>
    </row>
    <row r="1568" customFormat="false" ht="15" hidden="false" customHeight="true" outlineLevel="0" collapsed="false">
      <c r="A1568" s="8" t="s">
        <v>248</v>
      </c>
      <c r="B1568" s="8" t="s">
        <v>1242</v>
      </c>
      <c r="C1568" s="8" t="n">
        <v>4</v>
      </c>
      <c r="D1568" s="8" t="n">
        <v>84</v>
      </c>
      <c r="E1568" s="8" t="n">
        <v>0</v>
      </c>
      <c r="F1568" s="8" t="n">
        <v>0</v>
      </c>
    </row>
    <row r="1569" customFormat="false" ht="15" hidden="false" customHeight="true" outlineLevel="0" collapsed="false">
      <c r="A1569" s="8" t="s">
        <v>183</v>
      </c>
      <c r="B1569" s="8" t="s">
        <v>1224</v>
      </c>
      <c r="C1569" s="8" t="n">
        <v>1</v>
      </c>
      <c r="D1569" s="8" t="n">
        <v>24.43</v>
      </c>
      <c r="E1569" s="8" t="n">
        <v>0</v>
      </c>
      <c r="F1569" s="8" t="n">
        <v>0</v>
      </c>
    </row>
    <row r="1570" customFormat="false" ht="15" hidden="false" customHeight="true" outlineLevel="0" collapsed="false">
      <c r="A1570" s="8" t="s">
        <v>218</v>
      </c>
      <c r="B1570" s="8" t="s">
        <v>1224</v>
      </c>
      <c r="C1570" s="8" t="n">
        <v>2</v>
      </c>
      <c r="D1570" s="8" t="n">
        <v>48.86</v>
      </c>
      <c r="E1570" s="8" t="n">
        <v>0</v>
      </c>
      <c r="F1570" s="8" t="n">
        <v>0</v>
      </c>
    </row>
    <row r="1571" customFormat="false" ht="15" hidden="false" customHeight="true" outlineLevel="0" collapsed="false">
      <c r="A1571" s="8" t="s">
        <v>166</v>
      </c>
      <c r="B1571" s="8" t="s">
        <v>1211</v>
      </c>
      <c r="C1571" s="8" t="n">
        <v>5</v>
      </c>
      <c r="D1571" s="8" t="n">
        <v>316.35</v>
      </c>
      <c r="E1571" s="8" t="n">
        <v>2</v>
      </c>
      <c r="F1571" s="8" t="n">
        <v>126.54</v>
      </c>
    </row>
    <row r="1572" customFormat="false" ht="15" hidden="false" customHeight="true" outlineLevel="0" collapsed="false">
      <c r="A1572" s="8" t="s">
        <v>164</v>
      </c>
      <c r="B1572" s="8" t="s">
        <v>1211</v>
      </c>
      <c r="C1572" s="8" t="n">
        <v>5</v>
      </c>
      <c r="D1572" s="8" t="n">
        <v>316.35</v>
      </c>
      <c r="E1572" s="8" t="n">
        <v>0</v>
      </c>
      <c r="F1572" s="8" t="n">
        <v>0</v>
      </c>
    </row>
    <row r="1573" customFormat="false" ht="15" hidden="false" customHeight="true" outlineLevel="0" collapsed="false">
      <c r="A1573" s="8" t="s">
        <v>187</v>
      </c>
      <c r="B1573" s="8" t="s">
        <v>1211</v>
      </c>
      <c r="C1573" s="8" t="n">
        <v>0</v>
      </c>
      <c r="D1573" s="8" t="n">
        <v>0</v>
      </c>
      <c r="E1573" s="8" t="n">
        <v>2</v>
      </c>
      <c r="F1573" s="8" t="n">
        <v>126.54</v>
      </c>
    </row>
    <row r="1574" customFormat="false" ht="15" hidden="false" customHeight="true" outlineLevel="0" collapsed="false">
      <c r="A1574" s="8" t="s">
        <v>270</v>
      </c>
      <c r="B1574" s="8" t="s">
        <v>1251</v>
      </c>
      <c r="C1574" s="8" t="n">
        <v>9</v>
      </c>
      <c r="D1574" s="8" t="n">
        <v>88.38</v>
      </c>
      <c r="E1574" s="8" t="n">
        <v>0</v>
      </c>
      <c r="F1574" s="8" t="n">
        <v>0</v>
      </c>
    </row>
    <row r="1575" customFormat="false" ht="15" hidden="false" customHeight="true" outlineLevel="0" collapsed="false">
      <c r="A1575" s="8" t="s">
        <v>188</v>
      </c>
      <c r="B1575" s="8" t="s">
        <v>1225</v>
      </c>
      <c r="C1575" s="8" t="n">
        <v>6</v>
      </c>
      <c r="D1575" s="8" t="n">
        <v>173.58</v>
      </c>
      <c r="E1575" s="8" t="n">
        <v>0</v>
      </c>
      <c r="F1575" s="8" t="n">
        <v>0</v>
      </c>
    </row>
    <row r="1576" customFormat="false" ht="15" hidden="false" customHeight="true" outlineLevel="0" collapsed="false">
      <c r="A1576" s="8" t="s">
        <v>201</v>
      </c>
      <c r="B1576" s="8" t="s">
        <v>1226</v>
      </c>
      <c r="C1576" s="8" t="n">
        <v>4</v>
      </c>
      <c r="D1576" s="8" t="n">
        <v>168.68</v>
      </c>
      <c r="E1576" s="8" t="n">
        <v>0</v>
      </c>
      <c r="F1576" s="8" t="n">
        <v>0</v>
      </c>
    </row>
    <row r="1577" customFormat="false" ht="15" hidden="false" customHeight="true" outlineLevel="0" collapsed="false">
      <c r="A1577" s="8" t="s">
        <v>229</v>
      </c>
      <c r="B1577" s="8" t="s">
        <v>881</v>
      </c>
      <c r="C1577" s="8" t="n">
        <v>6</v>
      </c>
      <c r="D1577" s="8" t="n">
        <v>247.2</v>
      </c>
      <c r="E1577" s="8" t="n">
        <v>0</v>
      </c>
      <c r="F1577" s="8" t="n">
        <v>0</v>
      </c>
    </row>
    <row r="1578" customFormat="false" ht="15" hidden="false" customHeight="true" outlineLevel="0" collapsed="false">
      <c r="A1578" s="8" t="s">
        <v>202</v>
      </c>
      <c r="B1578" s="8" t="s">
        <v>1212</v>
      </c>
      <c r="C1578" s="8" t="n">
        <v>4</v>
      </c>
      <c r="D1578" s="8" t="n">
        <v>38</v>
      </c>
      <c r="E1578" s="8" t="n">
        <v>0</v>
      </c>
      <c r="F1578" s="8" t="n">
        <v>0</v>
      </c>
    </row>
    <row r="1579" customFormat="false" ht="15" hidden="false" customHeight="true" outlineLevel="0" collapsed="false">
      <c r="A1579" s="8" t="s">
        <v>244</v>
      </c>
      <c r="B1579" s="8" t="s">
        <v>1213</v>
      </c>
      <c r="C1579" s="8" t="n">
        <v>9</v>
      </c>
      <c r="D1579" s="8" t="n">
        <v>85.5</v>
      </c>
      <c r="E1579" s="8" t="n">
        <v>0</v>
      </c>
      <c r="F1579" s="8" t="n">
        <v>0</v>
      </c>
    </row>
    <row r="1580" customFormat="false" ht="15" hidden="false" customHeight="true" outlineLevel="0" collapsed="false">
      <c r="A1580" s="8" t="s">
        <v>243</v>
      </c>
      <c r="B1580" s="8" t="s">
        <v>1253</v>
      </c>
      <c r="C1580" s="8" t="n">
        <v>4</v>
      </c>
      <c r="D1580" s="8" t="n">
        <v>51.8</v>
      </c>
      <c r="E1580" s="8" t="n">
        <v>0</v>
      </c>
      <c r="F1580" s="8" t="n">
        <v>0</v>
      </c>
    </row>
    <row r="1581" customFormat="false" ht="15" hidden="false" customHeight="true" outlineLevel="0" collapsed="false">
      <c r="A1581" s="8" t="s">
        <v>251</v>
      </c>
      <c r="B1581" s="8" t="s">
        <v>1262</v>
      </c>
      <c r="C1581" s="8" t="n">
        <v>3</v>
      </c>
      <c r="D1581" s="8" t="n">
        <v>29.13</v>
      </c>
      <c r="E1581" s="8" t="n">
        <v>0</v>
      </c>
      <c r="F1581" s="8" t="n">
        <v>0</v>
      </c>
    </row>
    <row r="1582" customFormat="false" ht="15" hidden="false" customHeight="true" outlineLevel="0" collapsed="false">
      <c r="A1582" s="8" t="s">
        <v>308</v>
      </c>
      <c r="B1582" s="8" t="s">
        <v>1229</v>
      </c>
      <c r="C1582" s="8" t="n">
        <v>2</v>
      </c>
      <c r="D1582" s="8" t="n">
        <v>16.16</v>
      </c>
      <c r="E1582" s="8" t="n">
        <v>0</v>
      </c>
      <c r="F1582" s="8" t="n">
        <v>0</v>
      </c>
    </row>
    <row r="1583" customFormat="false" ht="15" hidden="false" customHeight="true" outlineLevel="0" collapsed="false">
      <c r="A1583" s="8" t="s">
        <v>172</v>
      </c>
      <c r="B1583" s="8" t="s">
        <v>1214</v>
      </c>
      <c r="C1583" s="8" t="n">
        <v>12</v>
      </c>
      <c r="D1583" s="8" t="n">
        <v>146.16</v>
      </c>
      <c r="E1583" s="8" t="n">
        <v>0</v>
      </c>
      <c r="F1583" s="8" t="n">
        <v>0</v>
      </c>
    </row>
    <row r="1584" customFormat="false" ht="15" hidden="false" customHeight="true" outlineLevel="0" collapsed="false">
      <c r="A1584" s="8" t="s">
        <v>269</v>
      </c>
      <c r="B1584" s="8" t="s">
        <v>1231</v>
      </c>
      <c r="C1584" s="8" t="n">
        <v>5</v>
      </c>
      <c r="D1584" s="8" t="n">
        <v>56.65</v>
      </c>
      <c r="E1584" s="8" t="n">
        <v>0</v>
      </c>
      <c r="F1584" s="8" t="n">
        <v>0</v>
      </c>
    </row>
    <row r="1585" customFormat="false" ht="15" hidden="false" customHeight="true" outlineLevel="0" collapsed="false">
      <c r="A1585" s="8" t="s">
        <v>232</v>
      </c>
      <c r="B1585" s="8" t="s">
        <v>1233</v>
      </c>
      <c r="C1585" s="8" t="n">
        <v>11</v>
      </c>
      <c r="D1585" s="8" t="n">
        <v>178.2</v>
      </c>
      <c r="E1585" s="8" t="n">
        <v>0</v>
      </c>
      <c r="F1585" s="8" t="n">
        <v>0</v>
      </c>
    </row>
    <row r="1586" customFormat="false" ht="15" hidden="false" customHeight="true" outlineLevel="0" collapsed="false">
      <c r="A1586" s="8" t="s">
        <v>215</v>
      </c>
      <c r="B1586" s="8" t="s">
        <v>1233</v>
      </c>
      <c r="C1586" s="8" t="n">
        <v>9</v>
      </c>
      <c r="D1586" s="8" t="n">
        <v>160.38</v>
      </c>
      <c r="E1586" s="8" t="n">
        <v>0</v>
      </c>
      <c r="F1586" s="8" t="n">
        <v>0</v>
      </c>
    </row>
    <row r="1587" customFormat="false" ht="15" hidden="false" customHeight="true" outlineLevel="0" collapsed="false">
      <c r="A1587" s="8" t="s">
        <v>194</v>
      </c>
      <c r="B1587" s="8" t="s">
        <v>1239</v>
      </c>
      <c r="C1587" s="8" t="n">
        <v>20</v>
      </c>
      <c r="D1587" s="8" t="n">
        <v>196.4</v>
      </c>
      <c r="E1587" s="8" t="n">
        <v>0</v>
      </c>
      <c r="F1587" s="8" t="n">
        <v>0</v>
      </c>
    </row>
    <row r="1588" customFormat="false" ht="15" hidden="false" customHeight="true" outlineLevel="0" collapsed="false">
      <c r="A1588" s="8" t="s">
        <v>180</v>
      </c>
      <c r="B1588" s="8" t="s">
        <v>1216</v>
      </c>
      <c r="C1588" s="8" t="n">
        <v>4</v>
      </c>
      <c r="D1588" s="8" t="n">
        <v>66</v>
      </c>
      <c r="E1588" s="8" t="n">
        <v>0</v>
      </c>
      <c r="F1588" s="8" t="n">
        <v>0</v>
      </c>
    </row>
    <row r="1589" customFormat="false" ht="15" hidden="false" customHeight="true" outlineLevel="0" collapsed="false">
      <c r="A1589" s="8" t="s">
        <v>189</v>
      </c>
      <c r="B1589" s="8" t="s">
        <v>1216</v>
      </c>
      <c r="C1589" s="8" t="n">
        <v>8</v>
      </c>
      <c r="D1589" s="8" t="n">
        <v>132</v>
      </c>
      <c r="E1589" s="8" t="n">
        <v>0</v>
      </c>
      <c r="F1589" s="8" t="n">
        <v>0</v>
      </c>
    </row>
    <row r="1590" customFormat="false" ht="15" hidden="false" customHeight="true" outlineLevel="0" collapsed="false">
      <c r="A1590" s="8" t="s">
        <v>250</v>
      </c>
      <c r="B1590" s="8" t="s">
        <v>1216</v>
      </c>
      <c r="C1590" s="8" t="n">
        <v>2</v>
      </c>
      <c r="D1590" s="8" t="n">
        <v>33</v>
      </c>
      <c r="E1590" s="8" t="n">
        <v>0</v>
      </c>
      <c r="F1590" s="8" t="n">
        <v>0</v>
      </c>
    </row>
    <row r="1591" customFormat="false" ht="15" hidden="false" customHeight="true" outlineLevel="0" collapsed="false">
      <c r="A1591" s="8" t="s">
        <v>95</v>
      </c>
      <c r="B1591" s="8" t="s">
        <v>1247</v>
      </c>
      <c r="C1591" s="8" t="n">
        <v>6</v>
      </c>
      <c r="D1591" s="8" t="n">
        <v>150</v>
      </c>
      <c r="E1591" s="8" t="n">
        <v>0</v>
      </c>
      <c r="F1591" s="8" t="n">
        <v>0</v>
      </c>
    </row>
    <row r="1592" customFormat="false" ht="15" hidden="false" customHeight="true" outlineLevel="0" collapsed="false">
      <c r="A1592" s="8" t="s">
        <v>274</v>
      </c>
      <c r="B1592" s="8" t="s">
        <v>1219</v>
      </c>
      <c r="C1592" s="8" t="n">
        <v>27</v>
      </c>
      <c r="D1592" s="8" t="n">
        <v>235.71</v>
      </c>
      <c r="E1592" s="8" t="n">
        <v>0</v>
      </c>
      <c r="F1592" s="8" t="n">
        <v>0</v>
      </c>
    </row>
    <row r="1593" customFormat="false" ht="15" hidden="false" customHeight="true" outlineLevel="0" collapsed="false">
      <c r="A1593" s="8" t="s">
        <v>170</v>
      </c>
      <c r="B1593" s="8" t="s">
        <v>1220</v>
      </c>
      <c r="C1593" s="8" t="n">
        <v>24</v>
      </c>
      <c r="D1593" s="8" t="n">
        <v>355.2</v>
      </c>
      <c r="E1593" s="8" t="n">
        <v>0</v>
      </c>
      <c r="F1593" s="8" t="n">
        <v>0</v>
      </c>
    </row>
    <row r="1594" customFormat="false" ht="15" hidden="false" customHeight="true" outlineLevel="0" collapsed="false">
      <c r="A1594" s="8" t="s">
        <v>167</v>
      </c>
      <c r="B1594" s="8" t="s">
        <v>1238</v>
      </c>
      <c r="C1594" s="8" t="n">
        <v>29</v>
      </c>
      <c r="D1594" s="8" t="n">
        <v>388.6</v>
      </c>
      <c r="E1594" s="8" t="n">
        <v>0</v>
      </c>
      <c r="F1594" s="8" t="n">
        <v>0</v>
      </c>
    </row>
    <row r="1595" customFormat="false" ht="15" hidden="false" customHeight="true" outlineLevel="0" collapsed="false">
      <c r="A1595" s="8" t="s">
        <v>211</v>
      </c>
      <c r="B1595" s="8" t="s">
        <v>1250</v>
      </c>
      <c r="C1595" s="8" t="n">
        <v>1</v>
      </c>
      <c r="D1595" s="8" t="n">
        <v>25</v>
      </c>
      <c r="E1595" s="8" t="n">
        <v>0</v>
      </c>
      <c r="F1595" s="8" t="n">
        <v>0</v>
      </c>
    </row>
    <row r="1596" customFormat="false" ht="15" hidden="false" customHeight="true" outlineLevel="0" collapsed="false">
      <c r="A1596" s="8" t="s">
        <v>165</v>
      </c>
      <c r="B1596" s="8" t="s">
        <v>897</v>
      </c>
      <c r="C1596" s="8" t="n">
        <v>0</v>
      </c>
      <c r="D1596" s="8" t="n">
        <v>0</v>
      </c>
      <c r="E1596" s="8" t="n">
        <v>2</v>
      </c>
      <c r="F1596" s="8" t="n">
        <v>130</v>
      </c>
    </row>
    <row r="1597" customFormat="false" ht="15" hidden="false" customHeight="true" outlineLevel="0" collapsed="false">
      <c r="A1597" s="8" t="s">
        <v>191</v>
      </c>
      <c r="B1597" s="8" t="s">
        <v>1179</v>
      </c>
      <c r="C1597" s="8" t="n">
        <v>8</v>
      </c>
      <c r="D1597" s="8" t="n">
        <v>578.72</v>
      </c>
      <c r="E1597" s="8" t="n">
        <v>0</v>
      </c>
      <c r="F1597" s="8" t="n">
        <v>0</v>
      </c>
    </row>
    <row r="1598" customFormat="false" ht="15" hidden="false" customHeight="true" outlineLevel="0" collapsed="false">
      <c r="A1598" s="8" t="s">
        <v>204</v>
      </c>
      <c r="B1598" s="8" t="s">
        <v>1179</v>
      </c>
      <c r="C1598" s="8" t="n">
        <v>3</v>
      </c>
      <c r="D1598" s="8" t="n">
        <v>217.02</v>
      </c>
      <c r="E1598" s="8" t="n">
        <v>2</v>
      </c>
      <c r="F1598" s="8" t="n">
        <v>144.68</v>
      </c>
    </row>
    <row r="1599" customFormat="false" ht="15" hidden="false" customHeight="true" outlineLevel="0" collapsed="false">
      <c r="A1599" s="8" t="s">
        <v>190</v>
      </c>
      <c r="B1599" s="8" t="s">
        <v>1224</v>
      </c>
      <c r="C1599" s="8" t="n">
        <v>7</v>
      </c>
      <c r="D1599" s="8" t="n">
        <v>171.01</v>
      </c>
      <c r="E1599" s="8" t="n">
        <v>0</v>
      </c>
      <c r="F1599" s="8" t="n">
        <v>0</v>
      </c>
    </row>
    <row r="1600" customFormat="false" ht="15" hidden="false" customHeight="true" outlineLevel="0" collapsed="false">
      <c r="A1600" s="8" t="s">
        <v>183</v>
      </c>
      <c r="B1600" s="8" t="s">
        <v>1224</v>
      </c>
      <c r="C1600" s="8" t="n">
        <v>8</v>
      </c>
      <c r="D1600" s="8" t="n">
        <v>195.44</v>
      </c>
      <c r="E1600" s="8" t="n">
        <v>6</v>
      </c>
      <c r="F1600" s="8" t="n">
        <v>146.58</v>
      </c>
    </row>
    <row r="1601" customFormat="false" ht="15" hidden="false" customHeight="true" outlineLevel="0" collapsed="false">
      <c r="A1601" s="8" t="s">
        <v>218</v>
      </c>
      <c r="B1601" s="8" t="s">
        <v>1224</v>
      </c>
      <c r="C1601" s="8" t="n">
        <v>2</v>
      </c>
      <c r="D1601" s="8" t="n">
        <v>48.86</v>
      </c>
      <c r="E1601" s="8" t="n">
        <v>0</v>
      </c>
      <c r="F1601" s="8" t="n">
        <v>0</v>
      </c>
    </row>
    <row r="1602" customFormat="false" ht="15" hidden="false" customHeight="true" outlineLevel="0" collapsed="false">
      <c r="A1602" s="8" t="s">
        <v>231</v>
      </c>
      <c r="B1602" s="8" t="s">
        <v>1224</v>
      </c>
      <c r="C1602" s="8" t="n">
        <v>4</v>
      </c>
      <c r="D1602" s="8" t="n">
        <v>97.72</v>
      </c>
      <c r="E1602" s="8" t="n">
        <v>0</v>
      </c>
      <c r="F1602" s="8" t="n">
        <v>0</v>
      </c>
    </row>
    <row r="1603" customFormat="false" ht="15" hidden="false" customHeight="true" outlineLevel="0" collapsed="false">
      <c r="A1603" s="8" t="s">
        <v>286</v>
      </c>
      <c r="B1603" s="8" t="s">
        <v>1269</v>
      </c>
      <c r="C1603" s="8" t="n">
        <v>6</v>
      </c>
      <c r="D1603" s="8" t="n">
        <v>66</v>
      </c>
      <c r="E1603" s="8" t="n">
        <v>0</v>
      </c>
      <c r="F1603" s="8" t="n">
        <v>0</v>
      </c>
    </row>
    <row r="1604" customFormat="false" ht="15" hidden="false" customHeight="true" outlineLevel="0" collapsed="false">
      <c r="A1604" s="8" t="s">
        <v>289</v>
      </c>
      <c r="B1604" s="8" t="s">
        <v>1270</v>
      </c>
      <c r="C1604" s="8" t="n">
        <v>6</v>
      </c>
      <c r="D1604" s="8" t="n">
        <v>66</v>
      </c>
      <c r="E1604" s="8" t="n">
        <v>0</v>
      </c>
      <c r="F1604" s="8" t="n">
        <v>0</v>
      </c>
    </row>
    <row r="1605" customFormat="false" ht="15" hidden="false" customHeight="true" outlineLevel="0" collapsed="false">
      <c r="A1605" s="8" t="s">
        <v>337</v>
      </c>
      <c r="B1605" s="8" t="s">
        <v>1272</v>
      </c>
      <c r="C1605" s="8" t="n">
        <v>6</v>
      </c>
      <c r="D1605" s="8" t="n">
        <v>66</v>
      </c>
      <c r="E1605" s="8" t="n">
        <v>0</v>
      </c>
      <c r="F1605" s="8" t="n">
        <v>0</v>
      </c>
    </row>
    <row r="1606" customFormat="false" ht="15" hidden="false" customHeight="true" outlineLevel="0" collapsed="false">
      <c r="A1606" s="8" t="s">
        <v>161</v>
      </c>
      <c r="B1606" s="8" t="s">
        <v>1208</v>
      </c>
      <c r="C1606" s="8" t="n">
        <v>18</v>
      </c>
      <c r="D1606" s="8" t="n">
        <v>819</v>
      </c>
      <c r="E1606" s="8" t="n">
        <v>5</v>
      </c>
      <c r="F1606" s="8" t="n">
        <v>227.5</v>
      </c>
    </row>
    <row r="1607" customFormat="false" ht="15" hidden="false" customHeight="true" outlineLevel="0" collapsed="false">
      <c r="A1607" s="8" t="s">
        <v>162</v>
      </c>
      <c r="B1607" s="8" t="s">
        <v>1209</v>
      </c>
      <c r="C1607" s="8" t="n">
        <v>15</v>
      </c>
      <c r="D1607" s="8" t="n">
        <v>1167</v>
      </c>
      <c r="E1607" s="8" t="n">
        <v>0</v>
      </c>
      <c r="F1607" s="8" t="n">
        <v>0</v>
      </c>
    </row>
    <row r="1608" customFormat="false" ht="15" hidden="false" customHeight="true" outlineLevel="0" collapsed="false">
      <c r="A1608" s="8" t="s">
        <v>166</v>
      </c>
      <c r="B1608" s="8" t="s">
        <v>1211</v>
      </c>
      <c r="C1608" s="8" t="n">
        <v>4</v>
      </c>
      <c r="D1608" s="8" t="n">
        <v>253.08</v>
      </c>
      <c r="E1608" s="8" t="n">
        <v>0</v>
      </c>
      <c r="F1608" s="8" t="n">
        <v>0</v>
      </c>
    </row>
    <row r="1609" customFormat="false" ht="15" hidden="false" customHeight="true" outlineLevel="0" collapsed="false">
      <c r="A1609" s="8" t="s">
        <v>164</v>
      </c>
      <c r="B1609" s="8" t="s">
        <v>1211</v>
      </c>
      <c r="C1609" s="8" t="n">
        <v>10</v>
      </c>
      <c r="D1609" s="8" t="n">
        <v>632.7</v>
      </c>
      <c r="E1609" s="8" t="n">
        <v>0</v>
      </c>
      <c r="F1609" s="8" t="n">
        <v>0</v>
      </c>
    </row>
    <row r="1610" customFormat="false" ht="15" hidden="false" customHeight="true" outlineLevel="0" collapsed="false">
      <c r="A1610" s="8" t="s">
        <v>187</v>
      </c>
      <c r="B1610" s="8" t="s">
        <v>1211</v>
      </c>
      <c r="C1610" s="8" t="n">
        <v>3</v>
      </c>
      <c r="D1610" s="8" t="n">
        <v>189.81</v>
      </c>
      <c r="E1610" s="8" t="n">
        <v>0</v>
      </c>
      <c r="F1610" s="8" t="n">
        <v>0</v>
      </c>
    </row>
    <row r="1611" customFormat="false" ht="15" hidden="false" customHeight="true" outlineLevel="0" collapsed="false">
      <c r="A1611" s="8" t="s">
        <v>263</v>
      </c>
      <c r="B1611" s="8" t="s">
        <v>407</v>
      </c>
      <c r="C1611" s="8" t="n">
        <v>5</v>
      </c>
      <c r="D1611" s="8" t="n">
        <v>64.1</v>
      </c>
      <c r="E1611" s="8" t="n">
        <v>0</v>
      </c>
      <c r="F1611" s="8" t="n">
        <v>0</v>
      </c>
    </row>
    <row r="1612" customFormat="false" ht="15" hidden="false" customHeight="true" outlineLevel="0" collapsed="false">
      <c r="A1612" s="8" t="s">
        <v>188</v>
      </c>
      <c r="B1612" s="8" t="s">
        <v>1225</v>
      </c>
      <c r="C1612" s="8" t="n">
        <v>6</v>
      </c>
      <c r="D1612" s="8" t="n">
        <v>173.58</v>
      </c>
      <c r="E1612" s="8" t="n">
        <v>0</v>
      </c>
      <c r="F1612" s="8" t="n">
        <v>0</v>
      </c>
    </row>
    <row r="1613" customFormat="false" ht="15" hidden="false" customHeight="true" outlineLevel="0" collapsed="false">
      <c r="A1613" s="8" t="s">
        <v>186</v>
      </c>
      <c r="B1613" s="8" t="s">
        <v>1225</v>
      </c>
      <c r="C1613" s="8" t="n">
        <v>2</v>
      </c>
      <c r="D1613" s="8" t="n">
        <v>57.86</v>
      </c>
      <c r="E1613" s="8" t="n">
        <v>0</v>
      </c>
      <c r="F1613" s="8" t="n">
        <v>0</v>
      </c>
    </row>
    <row r="1614" customFormat="false" ht="15" hidden="false" customHeight="true" outlineLevel="0" collapsed="false">
      <c r="A1614" s="8" t="s">
        <v>239</v>
      </c>
      <c r="B1614" s="8" t="s">
        <v>1225</v>
      </c>
      <c r="C1614" s="8" t="n">
        <v>2</v>
      </c>
      <c r="D1614" s="8" t="n">
        <v>57.86</v>
      </c>
      <c r="E1614" s="8" t="n">
        <v>0</v>
      </c>
      <c r="F1614" s="8" t="n">
        <v>0</v>
      </c>
    </row>
    <row r="1615" customFormat="false" ht="15" hidden="false" customHeight="true" outlineLevel="0" collapsed="false">
      <c r="A1615" s="8" t="s">
        <v>210</v>
      </c>
      <c r="B1615" s="8" t="s">
        <v>1225</v>
      </c>
      <c r="C1615" s="8" t="n">
        <v>0</v>
      </c>
      <c r="D1615" s="8" t="n">
        <v>0</v>
      </c>
      <c r="E1615" s="8" t="n">
        <v>6</v>
      </c>
      <c r="F1615" s="8" t="n">
        <v>173.58</v>
      </c>
    </row>
    <row r="1616" customFormat="false" ht="15" hidden="false" customHeight="true" outlineLevel="0" collapsed="false">
      <c r="A1616" s="8" t="s">
        <v>320</v>
      </c>
      <c r="B1616" s="8" t="s">
        <v>1225</v>
      </c>
      <c r="C1616" s="8" t="n">
        <v>2</v>
      </c>
      <c r="D1616" s="8" t="n">
        <v>57.86</v>
      </c>
      <c r="E1616" s="8" t="n">
        <v>0</v>
      </c>
      <c r="F1616" s="8" t="n">
        <v>0</v>
      </c>
    </row>
    <row r="1617" customFormat="false" ht="15" hidden="false" customHeight="true" outlineLevel="0" collapsed="false">
      <c r="A1617" s="8" t="s">
        <v>278</v>
      </c>
      <c r="B1617" s="8" t="s">
        <v>1225</v>
      </c>
      <c r="C1617" s="8" t="n">
        <v>0</v>
      </c>
      <c r="D1617" s="8" t="n">
        <v>0</v>
      </c>
      <c r="E1617" s="8" t="n">
        <v>6</v>
      </c>
      <c r="F1617" s="8" t="n">
        <v>173.58</v>
      </c>
    </row>
    <row r="1618" customFormat="false" ht="15" hidden="false" customHeight="true" outlineLevel="0" collapsed="false">
      <c r="A1618" s="8" t="s">
        <v>266</v>
      </c>
      <c r="B1618" s="8" t="s">
        <v>1228</v>
      </c>
      <c r="C1618" s="8" t="n">
        <v>2</v>
      </c>
      <c r="D1618" s="8" t="n">
        <v>39.84</v>
      </c>
      <c r="E1618" s="8" t="n">
        <v>0</v>
      </c>
      <c r="F1618" s="8" t="n">
        <v>0</v>
      </c>
    </row>
    <row r="1619" customFormat="false" ht="15" hidden="false" customHeight="true" outlineLevel="0" collapsed="false">
      <c r="A1619" s="8" t="s">
        <v>246</v>
      </c>
      <c r="B1619" s="8" t="s">
        <v>1261</v>
      </c>
      <c r="C1619" s="8" t="n">
        <v>4</v>
      </c>
      <c r="D1619" s="8" t="n">
        <v>69.4</v>
      </c>
      <c r="E1619" s="8" t="n">
        <v>0</v>
      </c>
      <c r="F1619" s="8" t="n">
        <v>0</v>
      </c>
    </row>
    <row r="1620" customFormat="false" ht="15" hidden="false" customHeight="true" outlineLevel="0" collapsed="false">
      <c r="A1620" s="8" t="s">
        <v>202</v>
      </c>
      <c r="B1620" s="8" t="s">
        <v>1212</v>
      </c>
      <c r="C1620" s="8" t="n">
        <v>17</v>
      </c>
      <c r="D1620" s="8" t="n">
        <v>161.5</v>
      </c>
      <c r="E1620" s="8" t="n">
        <v>3</v>
      </c>
      <c r="F1620" s="8" t="n">
        <v>28.5</v>
      </c>
    </row>
    <row r="1621" customFormat="false" ht="15" hidden="false" customHeight="true" outlineLevel="0" collapsed="false">
      <c r="A1621" s="8" t="s">
        <v>244</v>
      </c>
      <c r="B1621" s="8" t="s">
        <v>1213</v>
      </c>
      <c r="C1621" s="8" t="n">
        <v>5</v>
      </c>
      <c r="D1621" s="8" t="n">
        <v>47.5</v>
      </c>
      <c r="E1621" s="8" t="n">
        <v>0</v>
      </c>
      <c r="F1621" s="8" t="n">
        <v>0</v>
      </c>
    </row>
    <row r="1622" customFormat="false" ht="15" hidden="false" customHeight="true" outlineLevel="0" collapsed="false">
      <c r="A1622" s="8" t="s">
        <v>308</v>
      </c>
      <c r="B1622" s="8" t="s">
        <v>1229</v>
      </c>
      <c r="C1622" s="8" t="n">
        <v>1</v>
      </c>
      <c r="D1622" s="8" t="n">
        <v>8.08</v>
      </c>
      <c r="E1622" s="8" t="n">
        <v>0</v>
      </c>
      <c r="F1622" s="8" t="n">
        <v>0</v>
      </c>
    </row>
    <row r="1623" customFormat="false" ht="15" hidden="false" customHeight="true" outlineLevel="0" collapsed="false">
      <c r="A1623" s="8" t="s">
        <v>172</v>
      </c>
      <c r="B1623" s="8" t="s">
        <v>1214</v>
      </c>
      <c r="C1623" s="8" t="n">
        <v>19</v>
      </c>
      <c r="D1623" s="8" t="n">
        <v>231.42</v>
      </c>
      <c r="E1623" s="8" t="n">
        <v>6</v>
      </c>
      <c r="F1623" s="8" t="n">
        <v>73.08</v>
      </c>
    </row>
    <row r="1624" customFormat="false" ht="15" hidden="false" customHeight="true" outlineLevel="0" collapsed="false">
      <c r="A1624" s="8" t="s">
        <v>269</v>
      </c>
      <c r="B1624" s="8" t="s">
        <v>1231</v>
      </c>
      <c r="C1624" s="8" t="n">
        <v>2</v>
      </c>
      <c r="D1624" s="8" t="n">
        <v>22.66</v>
      </c>
      <c r="E1624" s="8" t="n">
        <v>3</v>
      </c>
      <c r="F1624" s="8" t="n">
        <v>33.99</v>
      </c>
    </row>
    <row r="1625" customFormat="false" ht="15" hidden="false" customHeight="true" outlineLevel="0" collapsed="false">
      <c r="A1625" s="8" t="s">
        <v>232</v>
      </c>
      <c r="B1625" s="8" t="s">
        <v>1233</v>
      </c>
      <c r="C1625" s="8" t="n">
        <v>7</v>
      </c>
      <c r="D1625" s="8" t="n">
        <v>113.4</v>
      </c>
      <c r="E1625" s="8" t="n">
        <v>0</v>
      </c>
      <c r="F1625" s="8" t="n">
        <v>0</v>
      </c>
    </row>
    <row r="1626" customFormat="false" ht="15" hidden="false" customHeight="true" outlineLevel="0" collapsed="false">
      <c r="A1626" s="8" t="s">
        <v>215</v>
      </c>
      <c r="B1626" s="8" t="s">
        <v>1233</v>
      </c>
      <c r="C1626" s="8" t="n">
        <v>2</v>
      </c>
      <c r="D1626" s="8" t="n">
        <v>35.64</v>
      </c>
      <c r="E1626" s="8" t="n">
        <v>0</v>
      </c>
      <c r="F1626" s="8" t="n">
        <v>0</v>
      </c>
    </row>
    <row r="1627" customFormat="false" ht="15" hidden="false" customHeight="true" outlineLevel="0" collapsed="false">
      <c r="A1627" s="8" t="s">
        <v>194</v>
      </c>
      <c r="B1627" s="8" t="s">
        <v>1239</v>
      </c>
      <c r="C1627" s="8" t="n">
        <v>15</v>
      </c>
      <c r="D1627" s="8" t="n">
        <v>147.3</v>
      </c>
      <c r="E1627" s="8" t="n">
        <v>0</v>
      </c>
      <c r="F1627" s="8" t="n">
        <v>0</v>
      </c>
    </row>
    <row r="1628" customFormat="false" ht="15" hidden="false" customHeight="true" outlineLevel="0" collapsed="false">
      <c r="A1628" s="8" t="s">
        <v>192</v>
      </c>
      <c r="B1628" s="8" t="s">
        <v>1240</v>
      </c>
      <c r="C1628" s="8" t="n">
        <v>3</v>
      </c>
      <c r="D1628" s="8" t="n">
        <v>125.43</v>
      </c>
      <c r="E1628" s="8" t="n">
        <v>0</v>
      </c>
      <c r="F1628" s="8" t="n">
        <v>0</v>
      </c>
    </row>
    <row r="1629" customFormat="false" ht="15" hidden="false" customHeight="true" outlineLevel="0" collapsed="false">
      <c r="A1629" s="8" t="s">
        <v>168</v>
      </c>
      <c r="B1629" s="8" t="s">
        <v>1240</v>
      </c>
      <c r="C1629" s="8" t="n">
        <v>3</v>
      </c>
      <c r="D1629" s="8" t="n">
        <v>125.43</v>
      </c>
      <c r="E1629" s="8" t="n">
        <v>0</v>
      </c>
      <c r="F1629" s="8" t="n">
        <v>0</v>
      </c>
    </row>
    <row r="1630" customFormat="false" ht="15" hidden="false" customHeight="true" outlineLevel="0" collapsed="false">
      <c r="A1630" s="8" t="s">
        <v>169</v>
      </c>
      <c r="B1630" s="8" t="s">
        <v>1240</v>
      </c>
      <c r="C1630" s="8" t="n">
        <v>5</v>
      </c>
      <c r="D1630" s="8" t="n">
        <v>209.05</v>
      </c>
      <c r="E1630" s="8" t="n">
        <v>0</v>
      </c>
      <c r="F1630" s="8" t="n">
        <v>0</v>
      </c>
    </row>
    <row r="1631" customFormat="false" ht="15" hidden="false" customHeight="true" outlineLevel="0" collapsed="false">
      <c r="A1631" s="8" t="s">
        <v>180</v>
      </c>
      <c r="B1631" s="8" t="s">
        <v>1216</v>
      </c>
      <c r="C1631" s="8" t="n">
        <v>10</v>
      </c>
      <c r="D1631" s="8" t="n">
        <v>165</v>
      </c>
      <c r="E1631" s="8" t="n">
        <v>0</v>
      </c>
      <c r="F1631" s="8" t="n">
        <v>0</v>
      </c>
    </row>
    <row r="1632" customFormat="false" ht="15" hidden="false" customHeight="true" outlineLevel="0" collapsed="false">
      <c r="A1632" s="8" t="s">
        <v>189</v>
      </c>
      <c r="B1632" s="8" t="s">
        <v>1216</v>
      </c>
      <c r="C1632" s="8" t="n">
        <v>7</v>
      </c>
      <c r="D1632" s="8" t="n">
        <v>115.5</v>
      </c>
      <c r="E1632" s="8" t="n">
        <v>0</v>
      </c>
      <c r="F1632" s="8" t="n">
        <v>0</v>
      </c>
    </row>
    <row r="1633" customFormat="false" ht="15" hidden="false" customHeight="true" outlineLevel="0" collapsed="false">
      <c r="A1633" s="8" t="s">
        <v>250</v>
      </c>
      <c r="B1633" s="8" t="s">
        <v>1216</v>
      </c>
      <c r="C1633" s="8" t="n">
        <v>2</v>
      </c>
      <c r="D1633" s="8" t="n">
        <v>33</v>
      </c>
      <c r="E1633" s="8" t="n">
        <v>2</v>
      </c>
      <c r="F1633" s="8" t="n">
        <v>33</v>
      </c>
    </row>
    <row r="1634" customFormat="false" ht="15" hidden="false" customHeight="true" outlineLevel="0" collapsed="false">
      <c r="A1634" s="8" t="s">
        <v>277</v>
      </c>
      <c r="B1634" s="8" t="s">
        <v>1285</v>
      </c>
      <c r="C1634" s="8" t="n">
        <v>1</v>
      </c>
      <c r="D1634" s="8" t="n">
        <v>136.3</v>
      </c>
      <c r="E1634" s="8" t="n">
        <v>0</v>
      </c>
      <c r="F1634" s="8" t="n">
        <v>0</v>
      </c>
    </row>
    <row r="1635" customFormat="false" ht="15" hidden="false" customHeight="true" outlineLevel="0" collapsed="false">
      <c r="A1635" s="8" t="s">
        <v>356</v>
      </c>
      <c r="B1635" s="8" t="s">
        <v>1285</v>
      </c>
      <c r="C1635" s="8" t="n">
        <v>2</v>
      </c>
      <c r="D1635" s="8" t="n">
        <v>272.6</v>
      </c>
      <c r="E1635" s="8" t="n">
        <v>0</v>
      </c>
      <c r="F1635" s="8" t="n">
        <v>0</v>
      </c>
    </row>
    <row r="1636" customFormat="false" ht="15" hidden="false" customHeight="true" outlineLevel="0" collapsed="false">
      <c r="A1636" s="8" t="s">
        <v>95</v>
      </c>
      <c r="B1636" s="8" t="s">
        <v>1247</v>
      </c>
      <c r="C1636" s="8" t="n">
        <v>1</v>
      </c>
      <c r="D1636" s="8" t="n">
        <v>25</v>
      </c>
      <c r="E1636" s="8" t="n">
        <v>0</v>
      </c>
      <c r="F1636" s="8" t="n">
        <v>0</v>
      </c>
    </row>
    <row r="1637" customFormat="false" ht="15" hidden="false" customHeight="true" outlineLevel="0" collapsed="false">
      <c r="A1637" s="8" t="s">
        <v>113</v>
      </c>
      <c r="B1637" s="8" t="s">
        <v>1247</v>
      </c>
      <c r="C1637" s="8" t="n">
        <v>9</v>
      </c>
      <c r="D1637" s="8" t="n">
        <v>225</v>
      </c>
      <c r="E1637" s="8" t="n">
        <v>0</v>
      </c>
      <c r="F1637" s="8" t="n">
        <v>0</v>
      </c>
    </row>
    <row r="1638" customFormat="false" ht="15" hidden="false" customHeight="true" outlineLevel="0" collapsed="false">
      <c r="A1638" s="8" t="s">
        <v>99</v>
      </c>
      <c r="B1638" s="8" t="s">
        <v>1247</v>
      </c>
      <c r="C1638" s="8" t="n">
        <v>6</v>
      </c>
      <c r="D1638" s="8" t="n">
        <v>150</v>
      </c>
      <c r="E1638" s="8" t="n">
        <v>0</v>
      </c>
      <c r="F1638" s="8" t="n">
        <v>0</v>
      </c>
    </row>
    <row r="1639" customFormat="false" ht="15" hidden="false" customHeight="true" outlineLevel="0" collapsed="false">
      <c r="A1639" s="8" t="s">
        <v>120</v>
      </c>
      <c r="B1639" s="8" t="s">
        <v>1247</v>
      </c>
      <c r="C1639" s="8" t="n">
        <v>1</v>
      </c>
      <c r="D1639" s="8" t="n">
        <v>25</v>
      </c>
      <c r="E1639" s="8" t="n">
        <v>5</v>
      </c>
      <c r="F1639" s="8" t="n">
        <v>125</v>
      </c>
    </row>
    <row r="1640" customFormat="false" ht="15" hidden="false" customHeight="true" outlineLevel="0" collapsed="false">
      <c r="A1640" s="8" t="s">
        <v>178</v>
      </c>
      <c r="B1640" s="8" t="s">
        <v>1236</v>
      </c>
      <c r="C1640" s="8" t="n">
        <v>2</v>
      </c>
      <c r="D1640" s="8" t="n">
        <v>70</v>
      </c>
      <c r="E1640" s="8" t="n">
        <v>2</v>
      </c>
      <c r="F1640" s="8" t="n">
        <v>70</v>
      </c>
    </row>
    <row r="1641" customFormat="false" ht="15" hidden="false" customHeight="true" outlineLevel="0" collapsed="false">
      <c r="A1641" s="8" t="s">
        <v>176</v>
      </c>
      <c r="B1641" s="8" t="s">
        <v>1236</v>
      </c>
      <c r="C1641" s="8" t="n">
        <v>2</v>
      </c>
      <c r="D1641" s="8" t="n">
        <v>70</v>
      </c>
      <c r="E1641" s="8" t="n">
        <v>2</v>
      </c>
      <c r="F1641" s="8" t="n">
        <v>70</v>
      </c>
    </row>
    <row r="1642" customFormat="false" ht="15" hidden="false" customHeight="true" outlineLevel="0" collapsed="false">
      <c r="A1642" s="8" t="s">
        <v>185</v>
      </c>
      <c r="B1642" s="8" t="s">
        <v>1218</v>
      </c>
      <c r="C1642" s="8" t="n">
        <v>3</v>
      </c>
      <c r="D1642" s="8" t="n">
        <v>379.5</v>
      </c>
      <c r="E1642" s="8" t="n">
        <v>0</v>
      </c>
      <c r="F1642" s="8" t="n">
        <v>0</v>
      </c>
    </row>
    <row r="1643" customFormat="false" ht="15" hidden="false" customHeight="true" outlineLevel="0" collapsed="false">
      <c r="A1643" s="8" t="s">
        <v>195</v>
      </c>
      <c r="B1643" s="8" t="s">
        <v>1218</v>
      </c>
      <c r="C1643" s="8" t="n">
        <v>3</v>
      </c>
      <c r="D1643" s="8" t="n">
        <v>379.5</v>
      </c>
      <c r="E1643" s="8" t="n">
        <v>4</v>
      </c>
      <c r="F1643" s="8" t="n">
        <v>506</v>
      </c>
    </row>
    <row r="1644" customFormat="false" ht="15" hidden="false" customHeight="true" outlineLevel="0" collapsed="false">
      <c r="A1644" s="8" t="s">
        <v>240</v>
      </c>
      <c r="B1644" s="8" t="s">
        <v>769</v>
      </c>
      <c r="C1644" s="8" t="n">
        <v>4</v>
      </c>
      <c r="D1644" s="8" t="n">
        <v>68</v>
      </c>
      <c r="E1644" s="8" t="n">
        <v>0</v>
      </c>
      <c r="F1644" s="8" t="n">
        <v>0</v>
      </c>
    </row>
    <row r="1645" customFormat="false" ht="15" hidden="false" customHeight="true" outlineLevel="0" collapsed="false">
      <c r="A1645" s="8" t="s">
        <v>247</v>
      </c>
      <c r="B1645" s="8" t="s">
        <v>769</v>
      </c>
      <c r="C1645" s="8" t="n">
        <v>4</v>
      </c>
      <c r="D1645" s="8" t="n">
        <v>68</v>
      </c>
      <c r="E1645" s="8" t="n">
        <v>2</v>
      </c>
      <c r="F1645" s="8" t="n">
        <v>34</v>
      </c>
    </row>
    <row r="1646" customFormat="false" ht="15" hidden="false" customHeight="true" outlineLevel="0" collapsed="false">
      <c r="A1646" s="8" t="s">
        <v>300</v>
      </c>
      <c r="B1646" s="8" t="s">
        <v>769</v>
      </c>
      <c r="C1646" s="8" t="n">
        <v>0</v>
      </c>
      <c r="D1646" s="8" t="n">
        <v>0</v>
      </c>
      <c r="E1646" s="8" t="n">
        <v>3</v>
      </c>
      <c r="F1646" s="8" t="n">
        <v>51</v>
      </c>
    </row>
    <row r="1647" customFormat="false" ht="15" hidden="false" customHeight="true" outlineLevel="0" collapsed="false">
      <c r="A1647" s="8" t="s">
        <v>182</v>
      </c>
      <c r="B1647" s="8" t="s">
        <v>799</v>
      </c>
      <c r="C1647" s="8" t="n">
        <v>10</v>
      </c>
      <c r="D1647" s="8" t="n">
        <v>200</v>
      </c>
      <c r="E1647" s="8" t="n">
        <v>0</v>
      </c>
      <c r="F1647" s="8" t="n">
        <v>0</v>
      </c>
    </row>
    <row r="1648" customFormat="false" ht="15" hidden="false" customHeight="true" outlineLevel="0" collapsed="false">
      <c r="A1648" s="8" t="s">
        <v>274</v>
      </c>
      <c r="B1648" s="8" t="s">
        <v>1219</v>
      </c>
      <c r="C1648" s="8" t="n">
        <v>6</v>
      </c>
      <c r="D1648" s="8" t="n">
        <v>52.38</v>
      </c>
      <c r="E1648" s="8" t="n">
        <v>3</v>
      </c>
      <c r="F1648" s="8" t="n">
        <v>26.19</v>
      </c>
    </row>
    <row r="1649" customFormat="false" ht="15" hidden="false" customHeight="true" outlineLevel="0" collapsed="false">
      <c r="A1649" s="8" t="s">
        <v>170</v>
      </c>
      <c r="B1649" s="8" t="s">
        <v>1220</v>
      </c>
      <c r="C1649" s="8" t="n">
        <v>12</v>
      </c>
      <c r="D1649" s="8" t="n">
        <v>177.6</v>
      </c>
      <c r="E1649" s="8" t="n">
        <v>0</v>
      </c>
      <c r="F1649" s="8" t="n">
        <v>0</v>
      </c>
    </row>
    <row r="1650" customFormat="false" ht="15" hidden="false" customHeight="true" outlineLevel="0" collapsed="false">
      <c r="A1650" s="8" t="s">
        <v>167</v>
      </c>
      <c r="B1650" s="8" t="s">
        <v>1238</v>
      </c>
      <c r="C1650" s="8" t="n">
        <v>0</v>
      </c>
      <c r="D1650" s="8" t="n">
        <v>0</v>
      </c>
      <c r="E1650" s="8" t="n">
        <v>4</v>
      </c>
      <c r="F1650" s="8" t="n">
        <v>53.6</v>
      </c>
    </row>
    <row r="1651" customFormat="false" ht="15" hidden="false" customHeight="true" outlineLevel="0" collapsed="false">
      <c r="A1651" s="8" t="s">
        <v>323</v>
      </c>
      <c r="B1651" s="8" t="s">
        <v>875</v>
      </c>
      <c r="C1651" s="8" t="n">
        <v>0</v>
      </c>
      <c r="D1651" s="8" t="n">
        <v>0</v>
      </c>
      <c r="E1651" s="8" t="n">
        <v>5</v>
      </c>
      <c r="F1651" s="8" t="n">
        <v>79.55</v>
      </c>
    </row>
    <row r="1652" customFormat="false" ht="15" hidden="false" customHeight="true" outlineLevel="0" collapsed="false">
      <c r="A1652" s="8" t="s">
        <v>252</v>
      </c>
      <c r="B1652" s="8" t="s">
        <v>1177</v>
      </c>
      <c r="C1652" s="8" t="n">
        <v>2</v>
      </c>
      <c r="D1652" s="8" t="n">
        <v>33.2</v>
      </c>
      <c r="E1652" s="8" t="n">
        <v>0</v>
      </c>
      <c r="F1652" s="8" t="n">
        <v>0</v>
      </c>
    </row>
    <row r="1653" customFormat="false" ht="15" hidden="false" customHeight="true" outlineLevel="0" collapsed="false">
      <c r="A1653" s="8" t="s">
        <v>203</v>
      </c>
      <c r="B1653" s="8" t="s">
        <v>1177</v>
      </c>
      <c r="C1653" s="8" t="n">
        <v>20</v>
      </c>
      <c r="D1653" s="8" t="n">
        <v>370</v>
      </c>
      <c r="E1653" s="8" t="n">
        <v>17</v>
      </c>
      <c r="F1653" s="8" t="n">
        <v>314.5</v>
      </c>
    </row>
    <row r="1654" customFormat="false" ht="15" hidden="false" customHeight="true" outlineLevel="0" collapsed="false">
      <c r="A1654" s="8" t="s">
        <v>211</v>
      </c>
      <c r="B1654" s="8" t="s">
        <v>1250</v>
      </c>
      <c r="C1654" s="8" t="n">
        <v>2</v>
      </c>
      <c r="D1654" s="8" t="n">
        <v>50</v>
      </c>
      <c r="E1654" s="8" t="n">
        <v>4</v>
      </c>
      <c r="F1654" s="8" t="n">
        <v>100</v>
      </c>
    </row>
    <row r="1655" customFormat="false" ht="15" hidden="false" customHeight="true" outlineLevel="0" collapsed="false">
      <c r="A1655" s="8" t="s">
        <v>248</v>
      </c>
      <c r="B1655" s="8" t="s">
        <v>1242</v>
      </c>
      <c r="C1655" s="8" t="n">
        <v>3</v>
      </c>
      <c r="D1655" s="8" t="n">
        <v>63</v>
      </c>
      <c r="E1655" s="8" t="n">
        <v>0</v>
      </c>
      <c r="F1655" s="8" t="n">
        <v>0</v>
      </c>
    </row>
    <row r="1656" customFormat="false" ht="15" hidden="false" customHeight="true" outlineLevel="0" collapsed="false">
      <c r="A1656" s="8" t="s">
        <v>196</v>
      </c>
      <c r="B1656" s="8" t="s">
        <v>1243</v>
      </c>
      <c r="C1656" s="8" t="n">
        <v>6</v>
      </c>
      <c r="D1656" s="8" t="n">
        <v>321</v>
      </c>
      <c r="E1656" s="8" t="n">
        <v>2</v>
      </c>
      <c r="F1656" s="8" t="n">
        <v>107</v>
      </c>
    </row>
    <row r="1657" customFormat="false" ht="15" hidden="false" customHeight="true" outlineLevel="0" collapsed="false">
      <c r="A1657" s="8" t="s">
        <v>212</v>
      </c>
      <c r="B1657" s="8" t="s">
        <v>1278</v>
      </c>
      <c r="C1657" s="8" t="n">
        <v>2</v>
      </c>
      <c r="D1657" s="8" t="n">
        <v>187</v>
      </c>
      <c r="E1657" s="8" t="n">
        <v>2</v>
      </c>
      <c r="F1657" s="8" t="n">
        <v>187</v>
      </c>
    </row>
    <row r="1658" customFormat="false" ht="15" hidden="false" customHeight="true" outlineLevel="0" collapsed="false">
      <c r="A1658" s="8" t="s">
        <v>226</v>
      </c>
      <c r="B1658" s="8" t="s">
        <v>566</v>
      </c>
      <c r="C1658" s="8" t="n">
        <v>7</v>
      </c>
      <c r="D1658" s="8" t="n">
        <v>145.6</v>
      </c>
      <c r="E1658" s="8" t="n">
        <v>0</v>
      </c>
      <c r="F1658" s="8" t="n">
        <v>0</v>
      </c>
    </row>
    <row r="1659" customFormat="false" ht="15" hidden="false" customHeight="true" outlineLevel="0" collapsed="false">
      <c r="A1659" s="8" t="s">
        <v>197</v>
      </c>
      <c r="B1659" s="8" t="s">
        <v>1222</v>
      </c>
      <c r="C1659" s="8" t="n">
        <v>8</v>
      </c>
      <c r="D1659" s="8" t="n">
        <v>520</v>
      </c>
      <c r="E1659" s="8" t="n">
        <v>0</v>
      </c>
      <c r="F1659" s="8" t="n">
        <v>0</v>
      </c>
    </row>
    <row r="1660" customFormat="false" ht="15" hidden="false" customHeight="true" outlineLevel="0" collapsed="false">
      <c r="A1660" s="8" t="s">
        <v>253</v>
      </c>
      <c r="B1660" s="8" t="s">
        <v>1222</v>
      </c>
      <c r="C1660" s="8" t="n">
        <v>8</v>
      </c>
      <c r="D1660" s="8" t="n">
        <v>520</v>
      </c>
      <c r="E1660" s="8" t="n">
        <v>0</v>
      </c>
      <c r="F1660" s="8" t="n">
        <v>0</v>
      </c>
    </row>
    <row r="1661" customFormat="false" ht="15" hidden="false" customHeight="true" outlineLevel="0" collapsed="false">
      <c r="A1661" s="8" t="s">
        <v>162</v>
      </c>
      <c r="B1661" s="8" t="s">
        <v>1209</v>
      </c>
      <c r="C1661" s="8" t="n">
        <v>12</v>
      </c>
      <c r="D1661" s="8" t="n">
        <v>933.6</v>
      </c>
      <c r="E1661" s="8" t="n">
        <v>14</v>
      </c>
      <c r="F1661" s="8" t="n">
        <v>1089.2</v>
      </c>
    </row>
    <row r="1662" customFormat="false" ht="15" hidden="false" customHeight="true" outlineLevel="0" collapsed="false">
      <c r="A1662" s="8" t="s">
        <v>307</v>
      </c>
      <c r="B1662" s="8" t="s">
        <v>1252</v>
      </c>
      <c r="C1662" s="8" t="n">
        <v>2</v>
      </c>
      <c r="D1662" s="8" t="n">
        <v>28.56</v>
      </c>
      <c r="E1662" s="8" t="n">
        <v>0</v>
      </c>
      <c r="F1662" s="8" t="n">
        <v>0</v>
      </c>
    </row>
    <row r="1663" customFormat="false" ht="15" hidden="false" customHeight="true" outlineLevel="0" collapsed="false">
      <c r="A1663" s="8" t="s">
        <v>206</v>
      </c>
      <c r="B1663" s="8" t="s">
        <v>1288</v>
      </c>
      <c r="C1663" s="8" t="n">
        <v>2</v>
      </c>
      <c r="D1663" s="8" t="n">
        <v>194.7</v>
      </c>
      <c r="E1663" s="8" t="n">
        <v>0</v>
      </c>
      <c r="F1663" s="8" t="n">
        <v>0</v>
      </c>
    </row>
    <row r="1664" customFormat="false" ht="15" hidden="false" customHeight="true" outlineLevel="0" collapsed="false">
      <c r="A1664" s="8" t="s">
        <v>266</v>
      </c>
      <c r="B1664" s="8" t="s">
        <v>1228</v>
      </c>
      <c r="C1664" s="8" t="n">
        <v>1</v>
      </c>
      <c r="D1664" s="8" t="n">
        <v>19.92</v>
      </c>
      <c r="E1664" s="8" t="n">
        <v>0</v>
      </c>
      <c r="F1664" s="8" t="n">
        <v>0</v>
      </c>
    </row>
    <row r="1665" customFormat="false" ht="15" hidden="false" customHeight="true" outlineLevel="0" collapsed="false">
      <c r="A1665" s="8" t="s">
        <v>246</v>
      </c>
      <c r="B1665" s="8" t="s">
        <v>1261</v>
      </c>
      <c r="C1665" s="8" t="n">
        <v>2</v>
      </c>
      <c r="D1665" s="8" t="n">
        <v>34.7</v>
      </c>
      <c r="E1665" s="8" t="n">
        <v>1</v>
      </c>
      <c r="F1665" s="8" t="n">
        <v>17.35</v>
      </c>
    </row>
    <row r="1666" customFormat="false" ht="15" hidden="false" customHeight="true" outlineLevel="0" collapsed="false">
      <c r="A1666" s="8" t="s">
        <v>202</v>
      </c>
      <c r="B1666" s="8" t="s">
        <v>1212</v>
      </c>
      <c r="C1666" s="8" t="n">
        <v>12</v>
      </c>
      <c r="D1666" s="8" t="n">
        <v>114</v>
      </c>
      <c r="E1666" s="8" t="n">
        <v>9</v>
      </c>
      <c r="F1666" s="8" t="n">
        <v>85.5</v>
      </c>
    </row>
    <row r="1667" customFormat="false" ht="15" hidden="false" customHeight="true" outlineLevel="0" collapsed="false">
      <c r="A1667" s="8" t="s">
        <v>255</v>
      </c>
      <c r="B1667" s="8" t="s">
        <v>1273</v>
      </c>
      <c r="C1667" s="8" t="n">
        <v>10</v>
      </c>
      <c r="D1667" s="8" t="n">
        <v>82</v>
      </c>
      <c r="E1667" s="8" t="n">
        <v>3</v>
      </c>
      <c r="F1667" s="8" t="n">
        <v>24.6</v>
      </c>
    </row>
    <row r="1668" customFormat="false" ht="15" hidden="false" customHeight="true" outlineLevel="0" collapsed="false">
      <c r="A1668" s="8" t="s">
        <v>194</v>
      </c>
      <c r="B1668" s="8" t="s">
        <v>1239</v>
      </c>
      <c r="C1668" s="8" t="n">
        <v>4</v>
      </c>
      <c r="D1668" s="8" t="n">
        <v>39.28</v>
      </c>
      <c r="E1668" s="8" t="n">
        <v>4</v>
      </c>
      <c r="F1668" s="8" t="n">
        <v>39.28</v>
      </c>
    </row>
    <row r="1669" customFormat="false" ht="15" hidden="false" customHeight="true" outlineLevel="0" collapsed="false">
      <c r="A1669" s="8" t="s">
        <v>180</v>
      </c>
      <c r="B1669" s="8" t="s">
        <v>1216</v>
      </c>
      <c r="C1669" s="8" t="n">
        <v>9</v>
      </c>
      <c r="D1669" s="8" t="n">
        <v>148.5</v>
      </c>
      <c r="E1669" s="8" t="n">
        <v>0</v>
      </c>
      <c r="F1669" s="8" t="n">
        <v>0</v>
      </c>
    </row>
    <row r="1670" customFormat="false" ht="15" hidden="false" customHeight="true" outlineLevel="0" collapsed="false">
      <c r="A1670" s="8" t="s">
        <v>189</v>
      </c>
      <c r="B1670" s="8" t="s">
        <v>1216</v>
      </c>
      <c r="C1670" s="8" t="n">
        <v>8</v>
      </c>
      <c r="D1670" s="8" t="n">
        <v>132</v>
      </c>
      <c r="E1670" s="8" t="n">
        <v>2</v>
      </c>
      <c r="F1670" s="8" t="n">
        <v>33</v>
      </c>
    </row>
    <row r="1671" customFormat="false" ht="15" hidden="false" customHeight="true" outlineLevel="0" collapsed="false">
      <c r="A1671" s="8" t="s">
        <v>95</v>
      </c>
      <c r="B1671" s="8" t="s">
        <v>1247</v>
      </c>
      <c r="C1671" s="8" t="n">
        <v>13</v>
      </c>
      <c r="D1671" s="8" t="n">
        <v>325</v>
      </c>
      <c r="E1671" s="8" t="n">
        <v>0</v>
      </c>
      <c r="F1671" s="8" t="n">
        <v>0</v>
      </c>
    </row>
    <row r="1672" customFormat="false" ht="15" hidden="false" customHeight="true" outlineLevel="0" collapsed="false">
      <c r="A1672" s="8" t="s">
        <v>257</v>
      </c>
      <c r="B1672" s="8" t="s">
        <v>1284</v>
      </c>
      <c r="C1672" s="8" t="n">
        <v>8</v>
      </c>
      <c r="D1672" s="8" t="n">
        <v>259.44</v>
      </c>
      <c r="E1672" s="8" t="n">
        <v>0</v>
      </c>
      <c r="F1672" s="8" t="n">
        <v>0</v>
      </c>
    </row>
    <row r="1673" customFormat="false" ht="15" hidden="false" customHeight="true" outlineLevel="0" collapsed="false">
      <c r="A1673" s="8" t="s">
        <v>178</v>
      </c>
      <c r="B1673" s="8" t="s">
        <v>1236</v>
      </c>
      <c r="C1673" s="8" t="n">
        <v>8</v>
      </c>
      <c r="D1673" s="8" t="n">
        <v>280</v>
      </c>
      <c r="E1673" s="8" t="n">
        <v>2</v>
      </c>
      <c r="F1673" s="8" t="n">
        <v>70</v>
      </c>
    </row>
    <row r="1674" customFormat="false" ht="15" hidden="false" customHeight="true" outlineLevel="0" collapsed="false">
      <c r="A1674" s="8" t="s">
        <v>176</v>
      </c>
      <c r="B1674" s="8" t="s">
        <v>1236</v>
      </c>
      <c r="C1674" s="8" t="n">
        <v>1</v>
      </c>
      <c r="D1674" s="8" t="n">
        <v>35</v>
      </c>
      <c r="E1674" s="8" t="n">
        <v>0</v>
      </c>
      <c r="F1674" s="8" t="n">
        <v>0</v>
      </c>
    </row>
    <row r="1675" customFormat="false" ht="15" hidden="false" customHeight="true" outlineLevel="0" collapsed="false">
      <c r="A1675" s="8" t="s">
        <v>235</v>
      </c>
      <c r="B1675" s="8" t="s">
        <v>1236</v>
      </c>
      <c r="C1675" s="8" t="n">
        <v>7</v>
      </c>
      <c r="D1675" s="8" t="n">
        <v>245</v>
      </c>
      <c r="E1675" s="8" t="n">
        <v>0</v>
      </c>
      <c r="F1675" s="8" t="n">
        <v>0</v>
      </c>
    </row>
    <row r="1676" customFormat="false" ht="15" hidden="false" customHeight="true" outlineLevel="0" collapsed="false">
      <c r="A1676" s="8" t="s">
        <v>182</v>
      </c>
      <c r="B1676" s="8" t="s">
        <v>799</v>
      </c>
      <c r="C1676" s="8" t="n">
        <v>8</v>
      </c>
      <c r="D1676" s="8" t="n">
        <v>160</v>
      </c>
      <c r="E1676" s="8" t="n">
        <v>0</v>
      </c>
      <c r="F1676" s="8" t="n">
        <v>0</v>
      </c>
    </row>
    <row r="1677" customFormat="false" ht="15" hidden="false" customHeight="true" outlineLevel="0" collapsed="false">
      <c r="A1677" s="8" t="s">
        <v>274</v>
      </c>
      <c r="B1677" s="8" t="s">
        <v>1219</v>
      </c>
      <c r="C1677" s="8" t="n">
        <v>2</v>
      </c>
      <c r="D1677" s="8" t="n">
        <v>17.46</v>
      </c>
      <c r="E1677" s="8" t="n">
        <v>0</v>
      </c>
      <c r="F1677" s="8" t="n">
        <v>0</v>
      </c>
    </row>
    <row r="1678" customFormat="false" ht="15" hidden="false" customHeight="true" outlineLevel="0" collapsed="false">
      <c r="A1678" s="8" t="s">
        <v>170</v>
      </c>
      <c r="B1678" s="8" t="s">
        <v>1220</v>
      </c>
      <c r="C1678" s="8" t="n">
        <v>6</v>
      </c>
      <c r="D1678" s="8" t="n">
        <v>88.8</v>
      </c>
      <c r="E1678" s="8" t="n">
        <v>0</v>
      </c>
      <c r="F1678" s="8" t="n">
        <v>0</v>
      </c>
    </row>
    <row r="1679" customFormat="false" ht="15" hidden="false" customHeight="true" outlineLevel="0" collapsed="false">
      <c r="A1679" s="8" t="s">
        <v>167</v>
      </c>
      <c r="B1679" s="8" t="s">
        <v>1238</v>
      </c>
      <c r="C1679" s="8" t="n">
        <v>10</v>
      </c>
      <c r="D1679" s="8" t="n">
        <v>134</v>
      </c>
      <c r="E1679" s="8" t="n">
        <v>3</v>
      </c>
      <c r="F1679" s="8" t="n">
        <v>40.2</v>
      </c>
    </row>
    <row r="1680" customFormat="false" ht="15" hidden="false" customHeight="true" outlineLevel="0" collapsed="false">
      <c r="A1680" s="8" t="s">
        <v>220</v>
      </c>
      <c r="B1680" s="8" t="s">
        <v>1248</v>
      </c>
      <c r="C1680" s="8" t="n">
        <v>13</v>
      </c>
      <c r="D1680" s="8" t="n">
        <v>135.2</v>
      </c>
      <c r="E1680" s="8" t="n">
        <v>7</v>
      </c>
      <c r="F1680" s="8" t="n">
        <v>72.8</v>
      </c>
    </row>
    <row r="1681" customFormat="false" ht="15" hidden="false" customHeight="true" outlineLevel="0" collapsed="false">
      <c r="A1681" s="8" t="s">
        <v>275</v>
      </c>
      <c r="B1681" s="8" t="s">
        <v>1257</v>
      </c>
      <c r="C1681" s="8" t="n">
        <v>5</v>
      </c>
      <c r="D1681" s="8" t="n">
        <v>108</v>
      </c>
      <c r="E1681" s="8" t="n">
        <v>2</v>
      </c>
      <c r="F1681" s="8" t="n">
        <v>43.2</v>
      </c>
    </row>
    <row r="1682" customFormat="false" ht="15" hidden="false" customHeight="true" outlineLevel="0" collapsed="false">
      <c r="A1682" s="8" t="s">
        <v>233</v>
      </c>
      <c r="B1682" s="8" t="s">
        <v>1249</v>
      </c>
      <c r="C1682" s="8" t="n">
        <v>9</v>
      </c>
      <c r="D1682" s="8" t="n">
        <v>161.55</v>
      </c>
      <c r="E1682" s="8" t="n">
        <v>0</v>
      </c>
      <c r="F1682" s="8" t="n">
        <v>0</v>
      </c>
    </row>
    <row r="1683" customFormat="false" ht="15" hidden="false" customHeight="true" outlineLevel="0" collapsed="false">
      <c r="A1683" s="8" t="s">
        <v>264</v>
      </c>
      <c r="B1683" s="8" t="s">
        <v>1221</v>
      </c>
      <c r="C1683" s="8" t="n">
        <v>12</v>
      </c>
      <c r="D1683" s="8" t="n">
        <v>69.72</v>
      </c>
      <c r="E1683" s="8" t="n">
        <v>2</v>
      </c>
      <c r="F1683" s="8" t="n">
        <v>11.62</v>
      </c>
    </row>
    <row r="1684" customFormat="false" ht="15" hidden="false" customHeight="true" outlineLevel="0" collapsed="false">
      <c r="A1684" s="8" t="s">
        <v>348</v>
      </c>
      <c r="B1684" s="8" t="s">
        <v>1277</v>
      </c>
      <c r="C1684" s="8" t="n">
        <v>2</v>
      </c>
      <c r="D1684" s="8" t="n">
        <v>13.6</v>
      </c>
      <c r="E1684" s="8" t="n">
        <v>1</v>
      </c>
      <c r="F1684" s="8" t="n">
        <v>6.8</v>
      </c>
    </row>
    <row r="1685" customFormat="false" ht="15" hidden="false" customHeight="true" outlineLevel="0" collapsed="false">
      <c r="A1685" s="8" t="s">
        <v>252</v>
      </c>
      <c r="B1685" s="8" t="s">
        <v>1177</v>
      </c>
      <c r="C1685" s="8" t="n">
        <v>2</v>
      </c>
      <c r="D1685" s="8" t="n">
        <v>33.2</v>
      </c>
      <c r="E1685" s="8" t="n">
        <v>0</v>
      </c>
      <c r="F1685" s="8" t="n">
        <v>0</v>
      </c>
    </row>
    <row r="1686" customFormat="false" ht="15" hidden="false" customHeight="true" outlineLevel="0" collapsed="false">
      <c r="A1686" s="8" t="s">
        <v>203</v>
      </c>
      <c r="B1686" s="8" t="s">
        <v>1177</v>
      </c>
      <c r="C1686" s="8" t="n">
        <v>20</v>
      </c>
      <c r="D1686" s="8" t="n">
        <v>370</v>
      </c>
      <c r="E1686" s="8" t="n">
        <v>11</v>
      </c>
      <c r="F1686" s="8" t="n">
        <v>203.5</v>
      </c>
    </row>
    <row r="1687" customFormat="false" ht="15" hidden="false" customHeight="true" outlineLevel="0" collapsed="false">
      <c r="A1687" s="8" t="s">
        <v>211</v>
      </c>
      <c r="B1687" s="8" t="s">
        <v>1250</v>
      </c>
      <c r="C1687" s="8" t="n">
        <v>10</v>
      </c>
      <c r="D1687" s="8" t="n">
        <v>250</v>
      </c>
      <c r="E1687" s="8" t="n">
        <v>4</v>
      </c>
      <c r="F1687" s="8" t="n">
        <v>100</v>
      </c>
    </row>
    <row r="1688" customFormat="false" ht="15" hidden="false" customHeight="true" outlineLevel="0" collapsed="false">
      <c r="A1688" s="8" t="s">
        <v>248</v>
      </c>
      <c r="B1688" s="8" t="s">
        <v>1242</v>
      </c>
      <c r="C1688" s="8" t="n">
        <v>28</v>
      </c>
      <c r="D1688" s="8" t="n">
        <v>588</v>
      </c>
      <c r="E1688" s="8" t="n">
        <v>9</v>
      </c>
      <c r="F1688" s="8" t="n">
        <v>189</v>
      </c>
    </row>
    <row r="1689" customFormat="false" ht="15" hidden="false" customHeight="true" outlineLevel="0" collapsed="false">
      <c r="A1689" s="8" t="s">
        <v>226</v>
      </c>
      <c r="B1689" s="8" t="s">
        <v>566</v>
      </c>
      <c r="C1689" s="8" t="n">
        <v>8</v>
      </c>
      <c r="D1689" s="8" t="n">
        <v>166.4</v>
      </c>
      <c r="E1689" s="8" t="n">
        <v>6</v>
      </c>
      <c r="F1689" s="8" t="n">
        <v>124.8</v>
      </c>
    </row>
    <row r="1690" customFormat="false" ht="15" hidden="false" customHeight="true" outlineLevel="0" collapsed="false">
      <c r="A1690" s="8" t="s">
        <v>197</v>
      </c>
      <c r="B1690" s="8" t="s">
        <v>1222</v>
      </c>
      <c r="C1690" s="8" t="n">
        <v>59</v>
      </c>
      <c r="D1690" s="8" t="n">
        <v>3835</v>
      </c>
      <c r="E1690" s="8" t="n">
        <v>32</v>
      </c>
      <c r="F1690" s="8" t="n">
        <v>2080</v>
      </c>
    </row>
    <row r="1691" customFormat="false" ht="15" hidden="false" customHeight="true" outlineLevel="0" collapsed="false">
      <c r="A1691" s="8" t="s">
        <v>253</v>
      </c>
      <c r="B1691" s="8" t="s">
        <v>1222</v>
      </c>
      <c r="C1691" s="8" t="n">
        <v>23</v>
      </c>
      <c r="D1691" s="8" t="n">
        <v>1495</v>
      </c>
      <c r="E1691" s="8" t="n">
        <v>10</v>
      </c>
      <c r="F1691" s="8" t="n">
        <v>650</v>
      </c>
    </row>
    <row r="1692" customFormat="false" ht="15" hidden="false" customHeight="true" outlineLevel="0" collapsed="false">
      <c r="A1692" s="8" t="s">
        <v>207</v>
      </c>
      <c r="B1692" s="8" t="s">
        <v>1222</v>
      </c>
      <c r="C1692" s="8" t="n">
        <v>45</v>
      </c>
      <c r="D1692" s="8" t="n">
        <v>2925</v>
      </c>
      <c r="E1692" s="8" t="n">
        <v>16</v>
      </c>
      <c r="F1692" s="8" t="n">
        <v>1040</v>
      </c>
    </row>
    <row r="1693" customFormat="false" ht="15" hidden="false" customHeight="true" outlineLevel="0" collapsed="false">
      <c r="A1693" s="8" t="s">
        <v>163</v>
      </c>
      <c r="B1693" s="8" t="s">
        <v>897</v>
      </c>
      <c r="C1693" s="8" t="n">
        <v>6</v>
      </c>
      <c r="D1693" s="8" t="n">
        <v>390</v>
      </c>
      <c r="E1693" s="8" t="n">
        <v>0</v>
      </c>
      <c r="F1693" s="8" t="n">
        <v>0</v>
      </c>
    </row>
    <row r="1694" customFormat="false" ht="15" hidden="false" customHeight="true" outlineLevel="0" collapsed="false">
      <c r="A1694" s="8" t="s">
        <v>184</v>
      </c>
      <c r="B1694" s="8" t="s">
        <v>897</v>
      </c>
      <c r="C1694" s="8" t="n">
        <v>18</v>
      </c>
      <c r="D1694" s="8" t="n">
        <v>1170</v>
      </c>
      <c r="E1694" s="8" t="n">
        <v>6</v>
      </c>
      <c r="F1694" s="8" t="n">
        <v>390</v>
      </c>
    </row>
    <row r="1695" customFormat="false" ht="15" hidden="false" customHeight="true" outlineLevel="0" collapsed="false">
      <c r="A1695" s="8" t="s">
        <v>177</v>
      </c>
      <c r="B1695" s="8" t="s">
        <v>1244</v>
      </c>
      <c r="C1695" s="8" t="n">
        <v>0</v>
      </c>
      <c r="D1695" s="8" t="n">
        <v>0</v>
      </c>
      <c r="E1695" s="8" t="n">
        <v>1</v>
      </c>
      <c r="F1695" s="8" t="n">
        <v>175.5</v>
      </c>
    </row>
    <row r="1696" customFormat="false" ht="15" hidden="false" customHeight="true" outlineLevel="0" collapsed="false">
      <c r="A1696" s="8" t="s">
        <v>208</v>
      </c>
      <c r="B1696" s="8" t="s">
        <v>1179</v>
      </c>
      <c r="C1696" s="8" t="n">
        <v>3</v>
      </c>
      <c r="D1696" s="8" t="n">
        <v>217.02</v>
      </c>
      <c r="E1696" s="8" t="n">
        <v>2</v>
      </c>
      <c r="F1696" s="8" t="n">
        <v>144.68</v>
      </c>
    </row>
    <row r="1697" customFormat="false" ht="15" hidden="false" customHeight="true" outlineLevel="0" collapsed="false">
      <c r="A1697" s="8" t="s">
        <v>221</v>
      </c>
      <c r="B1697" s="8" t="s">
        <v>1179</v>
      </c>
      <c r="C1697" s="8" t="n">
        <v>6</v>
      </c>
      <c r="D1697" s="8" t="n">
        <v>434.04</v>
      </c>
      <c r="E1697" s="8" t="n">
        <v>2</v>
      </c>
      <c r="F1697" s="8" t="n">
        <v>144.68</v>
      </c>
    </row>
    <row r="1698" customFormat="false" ht="15" hidden="false" customHeight="true" outlineLevel="0" collapsed="false">
      <c r="A1698" s="8" t="s">
        <v>245</v>
      </c>
      <c r="B1698" s="8" t="s">
        <v>1179</v>
      </c>
      <c r="C1698" s="8" t="n">
        <v>4</v>
      </c>
      <c r="D1698" s="8" t="n">
        <v>289.36</v>
      </c>
      <c r="E1698" s="8" t="n">
        <v>1</v>
      </c>
      <c r="F1698" s="8" t="n">
        <v>72.34</v>
      </c>
    </row>
    <row r="1699" customFormat="false" ht="15" hidden="false" customHeight="true" outlineLevel="0" collapsed="false">
      <c r="A1699" s="8" t="s">
        <v>191</v>
      </c>
      <c r="B1699" s="8" t="s">
        <v>1179</v>
      </c>
      <c r="C1699" s="8" t="n">
        <v>9</v>
      </c>
      <c r="D1699" s="8" t="n">
        <v>651.06</v>
      </c>
      <c r="E1699" s="8" t="n">
        <v>3</v>
      </c>
      <c r="F1699" s="8" t="n">
        <v>217.02</v>
      </c>
    </row>
    <row r="1700" customFormat="false" ht="15" hidden="false" customHeight="true" outlineLevel="0" collapsed="false">
      <c r="A1700" s="8" t="s">
        <v>204</v>
      </c>
      <c r="B1700" s="8" t="s">
        <v>1179</v>
      </c>
      <c r="C1700" s="8" t="n">
        <v>17</v>
      </c>
      <c r="D1700" s="8" t="n">
        <v>1229.78</v>
      </c>
      <c r="E1700" s="8" t="n">
        <v>6</v>
      </c>
      <c r="F1700" s="8" t="n">
        <v>434.04</v>
      </c>
    </row>
    <row r="1701" customFormat="false" ht="15" hidden="false" customHeight="true" outlineLevel="0" collapsed="false">
      <c r="A1701" s="8" t="s">
        <v>319</v>
      </c>
      <c r="B1701" s="8" t="s">
        <v>1268</v>
      </c>
      <c r="C1701" s="8" t="n">
        <v>0</v>
      </c>
      <c r="D1701" s="8" t="n">
        <v>0</v>
      </c>
      <c r="E1701" s="8" t="n">
        <v>1</v>
      </c>
      <c r="F1701" s="8" t="n">
        <v>113.58</v>
      </c>
    </row>
    <row r="1702" customFormat="false" ht="15" hidden="false" customHeight="true" outlineLevel="0" collapsed="false">
      <c r="A1702" s="8" t="s">
        <v>305</v>
      </c>
      <c r="B1702" s="8" t="s">
        <v>1268</v>
      </c>
      <c r="C1702" s="8" t="n">
        <v>1</v>
      </c>
      <c r="D1702" s="8" t="n">
        <v>113.58</v>
      </c>
      <c r="E1702" s="8" t="n">
        <v>0</v>
      </c>
      <c r="F1702" s="8" t="n">
        <v>0</v>
      </c>
    </row>
    <row r="1703" customFormat="false" ht="15" hidden="false" customHeight="true" outlineLevel="0" collapsed="false">
      <c r="A1703" s="8" t="s">
        <v>304</v>
      </c>
      <c r="B1703" s="8" t="s">
        <v>1268</v>
      </c>
      <c r="C1703" s="8" t="n">
        <v>4</v>
      </c>
      <c r="D1703" s="8" t="n">
        <v>454.32</v>
      </c>
      <c r="E1703" s="8" t="n">
        <v>0</v>
      </c>
      <c r="F1703" s="8" t="n">
        <v>0</v>
      </c>
    </row>
    <row r="1704" customFormat="false" ht="15" hidden="false" customHeight="true" outlineLevel="0" collapsed="false">
      <c r="A1704" s="8" t="s">
        <v>327</v>
      </c>
      <c r="B1704" s="8" t="s">
        <v>1282</v>
      </c>
      <c r="C1704" s="8" t="n">
        <v>-4</v>
      </c>
      <c r="D1704" s="8" t="n">
        <v>-428.36</v>
      </c>
      <c r="E1704" s="8" t="n">
        <v>0</v>
      </c>
      <c r="F1704" s="8" t="n">
        <v>0</v>
      </c>
    </row>
    <row r="1705" customFormat="false" ht="15" hidden="false" customHeight="true" outlineLevel="0" collapsed="false">
      <c r="A1705" s="8" t="s">
        <v>293</v>
      </c>
      <c r="B1705" s="8" t="s">
        <v>1292</v>
      </c>
      <c r="C1705" s="8" t="n">
        <v>1</v>
      </c>
      <c r="D1705" s="8" t="n">
        <v>107.09</v>
      </c>
      <c r="E1705" s="8" t="n">
        <v>0</v>
      </c>
      <c r="F1705" s="8" t="n">
        <v>0</v>
      </c>
    </row>
    <row r="1706" customFormat="false" ht="15" hidden="false" customHeight="true" outlineLevel="0" collapsed="false">
      <c r="A1706" s="8" t="s">
        <v>283</v>
      </c>
      <c r="B1706" s="8" t="s">
        <v>1223</v>
      </c>
      <c r="C1706" s="8" t="n">
        <v>5</v>
      </c>
      <c r="D1706" s="8" t="n">
        <v>389</v>
      </c>
      <c r="E1706" s="8" t="n">
        <v>3</v>
      </c>
      <c r="F1706" s="8" t="n">
        <v>233.4</v>
      </c>
    </row>
    <row r="1707" customFormat="false" ht="15" hidden="false" customHeight="true" outlineLevel="0" collapsed="false">
      <c r="A1707" s="8" t="s">
        <v>216</v>
      </c>
      <c r="B1707" s="8" t="s">
        <v>1223</v>
      </c>
      <c r="C1707" s="8" t="n">
        <v>15</v>
      </c>
      <c r="D1707" s="8" t="n">
        <v>1167</v>
      </c>
      <c r="E1707" s="8" t="n">
        <v>7</v>
      </c>
      <c r="F1707" s="8" t="n">
        <v>544.6</v>
      </c>
    </row>
    <row r="1708" customFormat="false" ht="15" hidden="false" customHeight="true" outlineLevel="0" collapsed="false">
      <c r="A1708" s="8" t="s">
        <v>236</v>
      </c>
      <c r="B1708" s="8" t="s">
        <v>1223</v>
      </c>
      <c r="C1708" s="8" t="n">
        <v>9</v>
      </c>
      <c r="D1708" s="8" t="n">
        <v>700.2</v>
      </c>
      <c r="E1708" s="8" t="n">
        <v>2</v>
      </c>
      <c r="F1708" s="8" t="n">
        <v>155.6</v>
      </c>
    </row>
    <row r="1709" customFormat="false" ht="15" hidden="false" customHeight="true" outlineLevel="0" collapsed="false">
      <c r="A1709" s="8" t="s">
        <v>190</v>
      </c>
      <c r="B1709" s="8" t="s">
        <v>1224</v>
      </c>
      <c r="C1709" s="8" t="n">
        <v>16</v>
      </c>
      <c r="D1709" s="8" t="n">
        <v>390.88</v>
      </c>
      <c r="E1709" s="8" t="n">
        <v>3</v>
      </c>
      <c r="F1709" s="8" t="n">
        <v>73.29</v>
      </c>
    </row>
    <row r="1710" customFormat="false" ht="15" hidden="false" customHeight="true" outlineLevel="0" collapsed="false">
      <c r="A1710" s="8" t="s">
        <v>183</v>
      </c>
      <c r="B1710" s="8" t="s">
        <v>1224</v>
      </c>
      <c r="C1710" s="8" t="n">
        <v>19</v>
      </c>
      <c r="D1710" s="8" t="n">
        <v>464.17</v>
      </c>
      <c r="E1710" s="8" t="n">
        <v>4</v>
      </c>
      <c r="F1710" s="8" t="n">
        <v>97.72</v>
      </c>
    </row>
    <row r="1711" customFormat="false" ht="15" hidden="false" customHeight="true" outlineLevel="0" collapsed="false">
      <c r="A1711" s="8" t="s">
        <v>218</v>
      </c>
      <c r="B1711" s="8" t="s">
        <v>1224</v>
      </c>
      <c r="C1711" s="8" t="n">
        <v>2</v>
      </c>
      <c r="D1711" s="8" t="n">
        <v>48.86</v>
      </c>
      <c r="E1711" s="8" t="n">
        <v>0</v>
      </c>
      <c r="F1711" s="8" t="n">
        <v>0</v>
      </c>
    </row>
    <row r="1712" customFormat="false" ht="15" hidden="false" customHeight="true" outlineLevel="0" collapsed="false">
      <c r="A1712" s="8" t="s">
        <v>231</v>
      </c>
      <c r="B1712" s="8" t="s">
        <v>1224</v>
      </c>
      <c r="C1712" s="8" t="n">
        <v>2</v>
      </c>
      <c r="D1712" s="8" t="n">
        <v>48.86</v>
      </c>
      <c r="E1712" s="8" t="n">
        <v>0</v>
      </c>
      <c r="F1712" s="8" t="n">
        <v>0</v>
      </c>
    </row>
    <row r="1713" customFormat="false" ht="15" hidden="false" customHeight="true" outlineLevel="0" collapsed="false">
      <c r="A1713" s="8" t="s">
        <v>286</v>
      </c>
      <c r="B1713" s="8" t="s">
        <v>1269</v>
      </c>
      <c r="C1713" s="8" t="n">
        <v>6</v>
      </c>
      <c r="D1713" s="8" t="n">
        <v>66</v>
      </c>
      <c r="E1713" s="8" t="n">
        <v>0</v>
      </c>
      <c r="F1713" s="8" t="n">
        <v>0</v>
      </c>
    </row>
    <row r="1714" customFormat="false" ht="15" hidden="false" customHeight="true" outlineLevel="0" collapsed="false">
      <c r="A1714" s="8" t="s">
        <v>289</v>
      </c>
      <c r="B1714" s="8" t="s">
        <v>1270</v>
      </c>
      <c r="C1714" s="8" t="n">
        <v>6</v>
      </c>
      <c r="D1714" s="8" t="n">
        <v>66</v>
      </c>
      <c r="E1714" s="8" t="n">
        <v>0</v>
      </c>
      <c r="F1714" s="8" t="n">
        <v>0</v>
      </c>
    </row>
    <row r="1715" customFormat="false" ht="15" hidden="false" customHeight="true" outlineLevel="0" collapsed="false">
      <c r="A1715" s="8" t="s">
        <v>161</v>
      </c>
      <c r="B1715" s="8" t="s">
        <v>1208</v>
      </c>
      <c r="C1715" s="8" t="n">
        <v>313</v>
      </c>
      <c r="D1715" s="8" t="n">
        <v>14241.5</v>
      </c>
      <c r="E1715" s="8" t="n">
        <v>120</v>
      </c>
      <c r="F1715" s="8" t="n">
        <v>5460</v>
      </c>
    </row>
    <row r="1716" customFormat="false" ht="15" hidden="false" customHeight="true" outlineLevel="0" collapsed="false">
      <c r="A1716" s="8" t="s">
        <v>162</v>
      </c>
      <c r="B1716" s="8" t="s">
        <v>1209</v>
      </c>
      <c r="C1716" s="8" t="n">
        <v>180</v>
      </c>
      <c r="D1716" s="8" t="n">
        <v>14004</v>
      </c>
      <c r="E1716" s="8" t="n">
        <v>58</v>
      </c>
      <c r="F1716" s="8" t="n">
        <v>4512.4</v>
      </c>
    </row>
    <row r="1717" customFormat="false" ht="15" hidden="false" customHeight="true" outlineLevel="0" collapsed="false">
      <c r="A1717" s="8" t="s">
        <v>171</v>
      </c>
      <c r="B1717" s="8" t="s">
        <v>1210</v>
      </c>
      <c r="C1717" s="8" t="n">
        <v>13</v>
      </c>
      <c r="D1717" s="8" t="n">
        <v>613.99</v>
      </c>
      <c r="E1717" s="8" t="n">
        <v>0</v>
      </c>
      <c r="F1717" s="8" t="n">
        <v>0</v>
      </c>
    </row>
    <row r="1718" customFormat="false" ht="15" hidden="false" customHeight="true" outlineLevel="0" collapsed="false">
      <c r="A1718" s="8" t="s">
        <v>174</v>
      </c>
      <c r="B1718" s="8" t="s">
        <v>1210</v>
      </c>
      <c r="C1718" s="8" t="n">
        <v>10</v>
      </c>
      <c r="D1718" s="8" t="n">
        <v>472.3</v>
      </c>
      <c r="E1718" s="8" t="n">
        <v>0</v>
      </c>
      <c r="F1718" s="8" t="n">
        <v>0</v>
      </c>
    </row>
    <row r="1719" customFormat="false" ht="15" hidden="false" customHeight="true" outlineLevel="0" collapsed="false">
      <c r="A1719" s="8" t="s">
        <v>166</v>
      </c>
      <c r="B1719" s="8" t="s">
        <v>1211</v>
      </c>
      <c r="C1719" s="8" t="n">
        <v>27</v>
      </c>
      <c r="D1719" s="8" t="n">
        <v>1708.29</v>
      </c>
      <c r="E1719" s="8" t="n">
        <v>4</v>
      </c>
      <c r="F1719" s="8" t="n">
        <v>253.08</v>
      </c>
    </row>
    <row r="1720" customFormat="false" ht="15" hidden="false" customHeight="true" outlineLevel="0" collapsed="false">
      <c r="A1720" s="8" t="s">
        <v>164</v>
      </c>
      <c r="B1720" s="8" t="s">
        <v>1211</v>
      </c>
      <c r="C1720" s="8" t="n">
        <v>29</v>
      </c>
      <c r="D1720" s="8" t="n">
        <v>1834.83</v>
      </c>
      <c r="E1720" s="8" t="n">
        <v>0</v>
      </c>
      <c r="F1720" s="8" t="n">
        <v>0</v>
      </c>
    </row>
    <row r="1721" customFormat="false" ht="15" hidden="false" customHeight="true" outlineLevel="0" collapsed="false">
      <c r="A1721" s="8" t="s">
        <v>222</v>
      </c>
      <c r="B1721" s="8" t="s">
        <v>1211</v>
      </c>
      <c r="C1721" s="8" t="n">
        <v>3</v>
      </c>
      <c r="D1721" s="8" t="n">
        <v>189.81</v>
      </c>
      <c r="E1721" s="8" t="n">
        <v>0</v>
      </c>
      <c r="F1721" s="8" t="n">
        <v>0</v>
      </c>
    </row>
    <row r="1722" customFormat="false" ht="15" hidden="false" customHeight="true" outlineLevel="0" collapsed="false">
      <c r="A1722" s="8" t="s">
        <v>187</v>
      </c>
      <c r="B1722" s="8" t="s">
        <v>1211</v>
      </c>
      <c r="C1722" s="8" t="n">
        <v>12</v>
      </c>
      <c r="D1722" s="8" t="n">
        <v>759.24</v>
      </c>
      <c r="E1722" s="8" t="n">
        <v>0</v>
      </c>
      <c r="F1722" s="8" t="n">
        <v>0</v>
      </c>
    </row>
    <row r="1723" customFormat="false" ht="15" hidden="false" customHeight="true" outlineLevel="0" collapsed="false">
      <c r="A1723" s="8" t="s">
        <v>188</v>
      </c>
      <c r="B1723" s="8" t="s">
        <v>1225</v>
      </c>
      <c r="C1723" s="8" t="n">
        <v>28</v>
      </c>
      <c r="D1723" s="8" t="n">
        <v>810.04</v>
      </c>
      <c r="E1723" s="8" t="n">
        <v>12</v>
      </c>
      <c r="F1723" s="8" t="n">
        <v>347.16</v>
      </c>
    </row>
    <row r="1724" customFormat="false" ht="15" hidden="false" customHeight="true" outlineLevel="0" collapsed="false">
      <c r="A1724" s="8" t="s">
        <v>186</v>
      </c>
      <c r="B1724" s="8" t="s">
        <v>1225</v>
      </c>
      <c r="C1724" s="8" t="n">
        <v>33</v>
      </c>
      <c r="D1724" s="8" t="n">
        <v>954.69</v>
      </c>
      <c r="E1724" s="8" t="n">
        <v>15</v>
      </c>
      <c r="F1724" s="8" t="n">
        <v>433.95</v>
      </c>
    </row>
    <row r="1725" customFormat="false" ht="15" hidden="false" customHeight="true" outlineLevel="0" collapsed="false">
      <c r="A1725" s="8" t="s">
        <v>239</v>
      </c>
      <c r="B1725" s="8" t="s">
        <v>1225</v>
      </c>
      <c r="C1725" s="8" t="n">
        <v>3</v>
      </c>
      <c r="D1725" s="8" t="n">
        <v>86.79</v>
      </c>
      <c r="E1725" s="8" t="n">
        <v>0</v>
      </c>
      <c r="F1725" s="8" t="n">
        <v>0</v>
      </c>
    </row>
    <row r="1726" customFormat="false" ht="15" hidden="false" customHeight="true" outlineLevel="0" collapsed="false">
      <c r="A1726" s="8" t="s">
        <v>210</v>
      </c>
      <c r="B1726" s="8" t="s">
        <v>1225</v>
      </c>
      <c r="C1726" s="8" t="n">
        <v>12</v>
      </c>
      <c r="D1726" s="8" t="n">
        <v>347.16</v>
      </c>
      <c r="E1726" s="8" t="n">
        <v>11</v>
      </c>
      <c r="F1726" s="8" t="n">
        <v>318.23</v>
      </c>
    </row>
    <row r="1727" customFormat="false" ht="15" hidden="false" customHeight="true" outlineLevel="0" collapsed="false">
      <c r="A1727" s="8" t="s">
        <v>320</v>
      </c>
      <c r="B1727" s="8" t="s">
        <v>1225</v>
      </c>
      <c r="C1727" s="8" t="n">
        <v>3</v>
      </c>
      <c r="D1727" s="8" t="n">
        <v>86.79</v>
      </c>
      <c r="E1727" s="8" t="n">
        <v>0</v>
      </c>
      <c r="F1727" s="8" t="n">
        <v>0</v>
      </c>
    </row>
    <row r="1728" customFormat="false" ht="15" hidden="false" customHeight="true" outlineLevel="0" collapsed="false">
      <c r="A1728" s="8" t="s">
        <v>278</v>
      </c>
      <c r="B1728" s="8" t="s">
        <v>1225</v>
      </c>
      <c r="C1728" s="8" t="n">
        <v>6</v>
      </c>
      <c r="D1728" s="8" t="n">
        <v>173.58</v>
      </c>
      <c r="E1728" s="8" t="n">
        <v>0</v>
      </c>
      <c r="F1728" s="8" t="n">
        <v>0</v>
      </c>
    </row>
    <row r="1729" customFormat="false" ht="15" hidden="false" customHeight="true" outlineLevel="0" collapsed="false">
      <c r="A1729" s="8" t="s">
        <v>292</v>
      </c>
      <c r="B1729" s="8" t="s">
        <v>1227</v>
      </c>
      <c r="C1729" s="8" t="n">
        <v>2</v>
      </c>
      <c r="D1729" s="8" t="n">
        <v>34</v>
      </c>
      <c r="E1729" s="8" t="n">
        <v>1</v>
      </c>
      <c r="F1729" s="8" t="n">
        <v>17</v>
      </c>
    </row>
    <row r="1730" customFormat="false" ht="15" hidden="false" customHeight="true" outlineLevel="0" collapsed="false">
      <c r="A1730" s="8" t="s">
        <v>229</v>
      </c>
      <c r="B1730" s="8" t="s">
        <v>881</v>
      </c>
      <c r="C1730" s="8" t="n">
        <v>14</v>
      </c>
      <c r="D1730" s="8" t="n">
        <v>576.8</v>
      </c>
      <c r="E1730" s="8" t="n">
        <v>4</v>
      </c>
      <c r="F1730" s="8" t="n">
        <v>164.8</v>
      </c>
    </row>
    <row r="1731" customFormat="false" ht="15" hidden="false" customHeight="true" outlineLevel="0" collapsed="false">
      <c r="A1731" s="8" t="s">
        <v>237</v>
      </c>
      <c r="B1731" s="8" t="s">
        <v>1259</v>
      </c>
      <c r="C1731" s="8" t="n">
        <v>2</v>
      </c>
      <c r="D1731" s="8" t="n">
        <v>36.9</v>
      </c>
      <c r="E1731" s="8" t="n">
        <v>1</v>
      </c>
      <c r="F1731" s="8" t="n">
        <v>18.45</v>
      </c>
    </row>
    <row r="1732" customFormat="false" ht="15" hidden="false" customHeight="true" outlineLevel="0" collapsed="false">
      <c r="A1732" s="8" t="s">
        <v>266</v>
      </c>
      <c r="B1732" s="8" t="s">
        <v>1228</v>
      </c>
      <c r="C1732" s="8" t="n">
        <v>9</v>
      </c>
      <c r="D1732" s="8" t="n">
        <v>179.28</v>
      </c>
      <c r="E1732" s="8" t="n">
        <v>11</v>
      </c>
      <c r="F1732" s="8" t="n">
        <v>219.12</v>
      </c>
    </row>
    <row r="1733" customFormat="false" ht="15" hidden="false" customHeight="true" outlineLevel="0" collapsed="false">
      <c r="A1733" s="8" t="s">
        <v>246</v>
      </c>
      <c r="B1733" s="8" t="s">
        <v>1261</v>
      </c>
      <c r="C1733" s="8" t="n">
        <v>22</v>
      </c>
      <c r="D1733" s="8" t="n">
        <v>381.7</v>
      </c>
      <c r="E1733" s="8" t="n">
        <v>3</v>
      </c>
      <c r="F1733" s="8" t="n">
        <v>52.05</v>
      </c>
    </row>
    <row r="1734" customFormat="false" ht="15" hidden="false" customHeight="true" outlineLevel="0" collapsed="false">
      <c r="A1734" s="8" t="s">
        <v>202</v>
      </c>
      <c r="B1734" s="8" t="s">
        <v>1212</v>
      </c>
      <c r="C1734" s="8" t="n">
        <v>4</v>
      </c>
      <c r="D1734" s="8" t="n">
        <v>38</v>
      </c>
      <c r="E1734" s="8" t="n">
        <v>4</v>
      </c>
      <c r="F1734" s="8" t="n">
        <v>38</v>
      </c>
    </row>
    <row r="1735" customFormat="false" ht="15" hidden="false" customHeight="true" outlineLevel="0" collapsed="false">
      <c r="A1735" s="8" t="s">
        <v>244</v>
      </c>
      <c r="B1735" s="8" t="s">
        <v>1213</v>
      </c>
      <c r="C1735" s="8" t="n">
        <v>5</v>
      </c>
      <c r="D1735" s="8" t="n">
        <v>47.5</v>
      </c>
      <c r="E1735" s="8" t="n">
        <v>2</v>
      </c>
      <c r="F1735" s="8" t="n">
        <v>19</v>
      </c>
    </row>
    <row r="1736" customFormat="false" ht="15" hidden="false" customHeight="true" outlineLevel="0" collapsed="false">
      <c r="A1736" s="8" t="s">
        <v>243</v>
      </c>
      <c r="B1736" s="8" t="s">
        <v>1253</v>
      </c>
      <c r="C1736" s="8" t="n">
        <v>30</v>
      </c>
      <c r="D1736" s="8" t="n">
        <v>388.5</v>
      </c>
      <c r="E1736" s="8" t="n">
        <v>10</v>
      </c>
      <c r="F1736" s="8" t="n">
        <v>129.5</v>
      </c>
    </row>
    <row r="1737" customFormat="false" ht="15" hidden="false" customHeight="true" outlineLevel="0" collapsed="false">
      <c r="A1737" s="8" t="s">
        <v>172</v>
      </c>
      <c r="B1737" s="8" t="s">
        <v>1214</v>
      </c>
      <c r="C1737" s="8" t="n">
        <v>69</v>
      </c>
      <c r="D1737" s="8" t="n">
        <v>840.42</v>
      </c>
      <c r="E1737" s="8" t="n">
        <v>25</v>
      </c>
      <c r="F1737" s="8" t="n">
        <v>304.5</v>
      </c>
    </row>
    <row r="1738" customFormat="false" ht="15" hidden="false" customHeight="true" outlineLevel="0" collapsed="false">
      <c r="A1738" s="8" t="s">
        <v>261</v>
      </c>
      <c r="B1738" s="8" t="s">
        <v>1215</v>
      </c>
      <c r="C1738" s="8" t="n">
        <v>6</v>
      </c>
      <c r="D1738" s="8" t="n">
        <v>127.26</v>
      </c>
      <c r="E1738" s="8" t="n">
        <v>0</v>
      </c>
      <c r="F1738" s="8" t="n">
        <v>0</v>
      </c>
    </row>
    <row r="1739" customFormat="false" ht="15" hidden="false" customHeight="true" outlineLevel="0" collapsed="false">
      <c r="A1739" s="8" t="s">
        <v>213</v>
      </c>
      <c r="B1739" s="8" t="s">
        <v>1232</v>
      </c>
      <c r="C1739" s="8" t="n">
        <v>2</v>
      </c>
      <c r="D1739" s="8" t="n">
        <v>55.1</v>
      </c>
      <c r="E1739" s="8" t="n">
        <v>2</v>
      </c>
      <c r="F1739" s="8" t="n">
        <v>55.1</v>
      </c>
    </row>
    <row r="1740" customFormat="false" ht="15" hidden="false" customHeight="true" outlineLevel="0" collapsed="false">
      <c r="A1740" s="8" t="s">
        <v>288</v>
      </c>
      <c r="B1740" s="8" t="s">
        <v>939</v>
      </c>
      <c r="C1740" s="8" t="n">
        <v>7</v>
      </c>
      <c r="D1740" s="8" t="n">
        <v>141.68</v>
      </c>
      <c r="E1740" s="8" t="n">
        <v>2</v>
      </c>
      <c r="F1740" s="8" t="n">
        <v>40.48</v>
      </c>
    </row>
    <row r="1741" customFormat="false" ht="15" hidden="false" customHeight="true" outlineLevel="0" collapsed="false">
      <c r="A1741" s="8" t="s">
        <v>232</v>
      </c>
      <c r="B1741" s="8" t="s">
        <v>1233</v>
      </c>
      <c r="C1741" s="8" t="n">
        <v>4</v>
      </c>
      <c r="D1741" s="8" t="n">
        <v>64.8</v>
      </c>
      <c r="E1741" s="8" t="n">
        <v>3</v>
      </c>
      <c r="F1741" s="8" t="n">
        <v>48.6</v>
      </c>
    </row>
    <row r="1742" customFormat="false" ht="15" hidden="false" customHeight="true" outlineLevel="0" collapsed="false">
      <c r="A1742" s="8" t="s">
        <v>215</v>
      </c>
      <c r="B1742" s="8" t="s">
        <v>1233</v>
      </c>
      <c r="C1742" s="8" t="n">
        <v>7</v>
      </c>
      <c r="D1742" s="8" t="n">
        <v>124.74</v>
      </c>
      <c r="E1742" s="8" t="n">
        <v>5</v>
      </c>
      <c r="F1742" s="8" t="n">
        <v>89.1</v>
      </c>
    </row>
    <row r="1743" customFormat="false" ht="15" hidden="false" customHeight="true" outlineLevel="0" collapsed="false">
      <c r="A1743" s="8" t="s">
        <v>265</v>
      </c>
      <c r="B1743" s="8" t="s">
        <v>621</v>
      </c>
      <c r="C1743" s="8" t="n">
        <v>2</v>
      </c>
      <c r="D1743" s="8" t="n">
        <v>84</v>
      </c>
      <c r="E1743" s="8" t="n">
        <v>0</v>
      </c>
      <c r="F1743" s="8" t="n">
        <v>0</v>
      </c>
    </row>
    <row r="1744" customFormat="false" ht="15" hidden="false" customHeight="true" outlineLevel="0" collapsed="false">
      <c r="A1744" s="8" t="s">
        <v>276</v>
      </c>
      <c r="B1744" s="8" t="s">
        <v>621</v>
      </c>
      <c r="C1744" s="8" t="n">
        <v>2</v>
      </c>
      <c r="D1744" s="8" t="n">
        <v>84</v>
      </c>
      <c r="E1744" s="8" t="n">
        <v>0</v>
      </c>
      <c r="F1744" s="8" t="n">
        <v>0</v>
      </c>
    </row>
    <row r="1745" customFormat="false" ht="15" hidden="false" customHeight="true" outlineLevel="0" collapsed="false">
      <c r="A1745" s="8" t="s">
        <v>192</v>
      </c>
      <c r="B1745" s="8" t="s">
        <v>1240</v>
      </c>
      <c r="C1745" s="8" t="n">
        <v>6</v>
      </c>
      <c r="D1745" s="8" t="n">
        <v>250.86</v>
      </c>
      <c r="E1745" s="8" t="n">
        <v>0</v>
      </c>
      <c r="F1745" s="8" t="n">
        <v>0</v>
      </c>
    </row>
    <row r="1746" customFormat="false" ht="15" hidden="false" customHeight="true" outlineLevel="0" collapsed="false">
      <c r="A1746" s="8" t="s">
        <v>168</v>
      </c>
      <c r="B1746" s="8" t="s">
        <v>1240</v>
      </c>
      <c r="C1746" s="8" t="n">
        <v>44</v>
      </c>
      <c r="D1746" s="8" t="n">
        <v>1839.64</v>
      </c>
      <c r="E1746" s="8" t="n">
        <v>0</v>
      </c>
      <c r="F1746" s="8" t="n">
        <v>0</v>
      </c>
    </row>
    <row r="1747" customFormat="false" ht="15" hidden="false" customHeight="true" outlineLevel="0" collapsed="false">
      <c r="A1747" s="8" t="s">
        <v>169</v>
      </c>
      <c r="B1747" s="8" t="s">
        <v>1240</v>
      </c>
      <c r="C1747" s="8" t="n">
        <v>62</v>
      </c>
      <c r="D1747" s="8" t="n">
        <v>2592.22</v>
      </c>
      <c r="E1747" s="8" t="n">
        <v>0</v>
      </c>
      <c r="F1747" s="8" t="n">
        <v>0</v>
      </c>
    </row>
    <row r="1748" customFormat="false" ht="15" hidden="false" customHeight="true" outlineLevel="0" collapsed="false">
      <c r="A1748" s="8" t="s">
        <v>209</v>
      </c>
      <c r="B1748" s="8" t="s">
        <v>1245</v>
      </c>
      <c r="C1748" s="8" t="n">
        <v>4</v>
      </c>
      <c r="D1748" s="8" t="n">
        <v>259.56</v>
      </c>
      <c r="E1748" s="8" t="n">
        <v>2</v>
      </c>
      <c r="F1748" s="8" t="n">
        <v>129.78</v>
      </c>
    </row>
    <row r="1749" customFormat="false" ht="15" hidden="false" customHeight="true" outlineLevel="0" collapsed="false">
      <c r="A1749" s="8" t="s">
        <v>180</v>
      </c>
      <c r="B1749" s="8" t="s">
        <v>1216</v>
      </c>
      <c r="C1749" s="8" t="n">
        <v>20</v>
      </c>
      <c r="D1749" s="8" t="n">
        <v>330</v>
      </c>
      <c r="E1749" s="8" t="n">
        <v>12</v>
      </c>
      <c r="F1749" s="8" t="n">
        <v>198</v>
      </c>
    </row>
    <row r="1750" customFormat="false" ht="15" hidden="false" customHeight="true" outlineLevel="0" collapsed="false">
      <c r="A1750" s="8" t="s">
        <v>189</v>
      </c>
      <c r="B1750" s="8" t="s">
        <v>1216</v>
      </c>
      <c r="C1750" s="8" t="n">
        <v>17</v>
      </c>
      <c r="D1750" s="8" t="n">
        <v>280.5</v>
      </c>
      <c r="E1750" s="8" t="n">
        <v>9</v>
      </c>
      <c r="F1750" s="8" t="n">
        <v>148.5</v>
      </c>
    </row>
    <row r="1751" customFormat="false" ht="15" hidden="false" customHeight="true" outlineLevel="0" collapsed="false">
      <c r="A1751" s="8" t="s">
        <v>267</v>
      </c>
      <c r="B1751" s="8" t="s">
        <v>1216</v>
      </c>
      <c r="C1751" s="8" t="n">
        <v>6</v>
      </c>
      <c r="D1751" s="8" t="n">
        <v>99</v>
      </c>
      <c r="E1751" s="8" t="n">
        <v>0</v>
      </c>
      <c r="F1751" s="8" t="n">
        <v>0</v>
      </c>
    </row>
    <row r="1752" customFormat="false" ht="15" hidden="false" customHeight="true" outlineLevel="0" collapsed="false">
      <c r="A1752" s="8" t="s">
        <v>199</v>
      </c>
      <c r="B1752" s="8" t="s">
        <v>1216</v>
      </c>
      <c r="C1752" s="8" t="n">
        <v>9</v>
      </c>
      <c r="D1752" s="8" t="n">
        <v>148.5</v>
      </c>
      <c r="E1752" s="8" t="n">
        <v>0</v>
      </c>
      <c r="F1752" s="8" t="n">
        <v>0</v>
      </c>
    </row>
    <row r="1753" customFormat="false" ht="15" hidden="false" customHeight="true" outlineLevel="0" collapsed="false">
      <c r="A1753" s="8" t="s">
        <v>250</v>
      </c>
      <c r="B1753" s="8" t="s">
        <v>1216</v>
      </c>
      <c r="C1753" s="8" t="n">
        <v>6</v>
      </c>
      <c r="D1753" s="8" t="n">
        <v>99</v>
      </c>
      <c r="E1753" s="8" t="n">
        <v>2</v>
      </c>
      <c r="F1753" s="8" t="n">
        <v>33</v>
      </c>
    </row>
    <row r="1754" customFormat="false" ht="15" hidden="false" customHeight="true" outlineLevel="0" collapsed="false">
      <c r="A1754" s="8" t="s">
        <v>198</v>
      </c>
      <c r="B1754" s="8" t="s">
        <v>1217</v>
      </c>
      <c r="C1754" s="8" t="n">
        <v>68</v>
      </c>
      <c r="D1754" s="8" t="n">
        <v>1394</v>
      </c>
      <c r="E1754" s="8" t="n">
        <v>36</v>
      </c>
      <c r="F1754" s="8" t="n">
        <v>738</v>
      </c>
    </row>
    <row r="1755" customFormat="false" ht="15" hidden="false" customHeight="true" outlineLevel="0" collapsed="false">
      <c r="A1755" s="8" t="s">
        <v>193</v>
      </c>
      <c r="B1755" s="8" t="s">
        <v>1217</v>
      </c>
      <c r="C1755" s="8" t="n">
        <v>78</v>
      </c>
      <c r="D1755" s="8" t="n">
        <v>1599</v>
      </c>
      <c r="E1755" s="8" t="n">
        <v>21</v>
      </c>
      <c r="F1755" s="8" t="n">
        <v>430.5</v>
      </c>
    </row>
    <row r="1756" customFormat="false" ht="15" hidden="false" customHeight="true" outlineLevel="0" collapsed="false">
      <c r="A1756" s="8" t="s">
        <v>302</v>
      </c>
      <c r="B1756" s="8" t="s">
        <v>1217</v>
      </c>
      <c r="C1756" s="8" t="n">
        <v>16</v>
      </c>
      <c r="D1756" s="8" t="n">
        <v>328</v>
      </c>
      <c r="E1756" s="8" t="n">
        <v>12</v>
      </c>
      <c r="F1756" s="8" t="n">
        <v>246</v>
      </c>
    </row>
    <row r="1757" customFormat="false" ht="15" hidden="false" customHeight="true" outlineLevel="0" collapsed="false">
      <c r="A1757" s="8" t="s">
        <v>205</v>
      </c>
      <c r="B1757" s="8" t="s">
        <v>1217</v>
      </c>
      <c r="C1757" s="8" t="n">
        <v>41</v>
      </c>
      <c r="D1757" s="8" t="n">
        <v>840.5</v>
      </c>
      <c r="E1757" s="8" t="n">
        <v>20</v>
      </c>
      <c r="F1757" s="8" t="n">
        <v>410</v>
      </c>
    </row>
    <row r="1758" customFormat="false" ht="15" hidden="false" customHeight="true" outlineLevel="0" collapsed="false">
      <c r="A1758" s="8" t="s">
        <v>256</v>
      </c>
      <c r="B1758" s="8" t="s">
        <v>1217</v>
      </c>
      <c r="C1758" s="8" t="n">
        <v>32</v>
      </c>
      <c r="D1758" s="8" t="n">
        <v>656</v>
      </c>
      <c r="E1758" s="8" t="n">
        <v>11</v>
      </c>
      <c r="F1758" s="8" t="n">
        <v>225.5</v>
      </c>
    </row>
    <row r="1759" customFormat="false" ht="15" hidden="false" customHeight="true" outlineLevel="0" collapsed="false">
      <c r="A1759" s="8" t="s">
        <v>369</v>
      </c>
      <c r="B1759" s="8" t="s">
        <v>767</v>
      </c>
      <c r="C1759" s="8" t="n">
        <v>0</v>
      </c>
      <c r="D1759" s="8" t="n">
        <v>0</v>
      </c>
      <c r="E1759" s="8" t="n">
        <v>2</v>
      </c>
      <c r="F1759" s="8" t="n">
        <v>42</v>
      </c>
    </row>
    <row r="1760" customFormat="false" ht="15" hidden="false" customHeight="true" outlineLevel="0" collapsed="false">
      <c r="A1760" s="8" t="s">
        <v>282</v>
      </c>
      <c r="B1760" s="8" t="s">
        <v>1283</v>
      </c>
      <c r="C1760" s="8" t="n">
        <v>2</v>
      </c>
      <c r="D1760" s="8" t="n">
        <v>391.46</v>
      </c>
      <c r="E1760" s="8" t="n">
        <v>0</v>
      </c>
      <c r="F1760" s="8" t="n">
        <v>0</v>
      </c>
    </row>
    <row r="1761" customFormat="false" ht="15" hidden="false" customHeight="true" outlineLevel="0" collapsed="false">
      <c r="A1761" s="8" t="s">
        <v>306</v>
      </c>
      <c r="B1761" s="8" t="s">
        <v>1283</v>
      </c>
      <c r="C1761" s="8" t="n">
        <v>1</v>
      </c>
      <c r="D1761" s="8" t="n">
        <v>195.73</v>
      </c>
      <c r="E1761" s="8" t="n">
        <v>1</v>
      </c>
      <c r="F1761" s="8" t="n">
        <v>195.73</v>
      </c>
    </row>
    <row r="1762" customFormat="false" ht="15" hidden="false" customHeight="true" outlineLevel="0" collapsed="false">
      <c r="A1762" s="8" t="s">
        <v>353</v>
      </c>
      <c r="B1762" s="8" t="s">
        <v>1283</v>
      </c>
      <c r="C1762" s="8" t="n">
        <v>0</v>
      </c>
      <c r="D1762" s="8" t="n">
        <v>0</v>
      </c>
      <c r="E1762" s="8" t="n">
        <v>1</v>
      </c>
      <c r="F1762" s="8" t="n">
        <v>195.73</v>
      </c>
    </row>
    <row r="1763" customFormat="false" ht="15" hidden="false" customHeight="true" outlineLevel="0" collapsed="false">
      <c r="A1763" s="8" t="s">
        <v>352</v>
      </c>
      <c r="B1763" s="8" t="s">
        <v>1283</v>
      </c>
      <c r="C1763" s="8" t="n">
        <v>0</v>
      </c>
      <c r="D1763" s="8" t="n">
        <v>0</v>
      </c>
      <c r="E1763" s="8" t="n">
        <v>2</v>
      </c>
      <c r="F1763" s="8" t="n">
        <v>391.46</v>
      </c>
    </row>
    <row r="1764" customFormat="false" ht="15" hidden="false" customHeight="true" outlineLevel="0" collapsed="false">
      <c r="A1764" s="8" t="s">
        <v>332</v>
      </c>
      <c r="B1764" s="8" t="s">
        <v>1246</v>
      </c>
      <c r="C1764" s="8" t="n">
        <v>3</v>
      </c>
      <c r="D1764" s="8" t="n">
        <v>379.71</v>
      </c>
      <c r="E1764" s="8" t="n">
        <v>0</v>
      </c>
      <c r="F1764" s="8" t="n">
        <v>0</v>
      </c>
    </row>
    <row r="1765" customFormat="false" ht="15" hidden="false" customHeight="true" outlineLevel="0" collapsed="false">
      <c r="A1765" s="8" t="s">
        <v>272</v>
      </c>
      <c r="B1765" s="8" t="s">
        <v>1246</v>
      </c>
      <c r="C1765" s="8" t="n">
        <v>5</v>
      </c>
      <c r="D1765" s="8" t="n">
        <v>632.85</v>
      </c>
      <c r="E1765" s="8" t="n">
        <v>4</v>
      </c>
      <c r="F1765" s="8" t="n">
        <v>506.28</v>
      </c>
    </row>
    <row r="1766" customFormat="false" ht="15" hidden="false" customHeight="true" outlineLevel="0" collapsed="false">
      <c r="A1766" s="8" t="s">
        <v>259</v>
      </c>
      <c r="B1766" s="8" t="s">
        <v>1265</v>
      </c>
      <c r="C1766" s="8" t="n">
        <v>6</v>
      </c>
      <c r="D1766" s="8" t="n">
        <v>759.42</v>
      </c>
      <c r="E1766" s="8" t="n">
        <v>2</v>
      </c>
      <c r="F1766" s="8" t="n">
        <v>253.14</v>
      </c>
    </row>
    <row r="1767" customFormat="false" ht="15" hidden="false" customHeight="true" outlineLevel="0" collapsed="false">
      <c r="A1767" s="8" t="s">
        <v>254</v>
      </c>
      <c r="B1767" s="8" t="s">
        <v>1265</v>
      </c>
      <c r="C1767" s="8" t="n">
        <v>9</v>
      </c>
      <c r="D1767" s="8" t="n">
        <v>1139.13</v>
      </c>
      <c r="E1767" s="8" t="n">
        <v>0</v>
      </c>
      <c r="F1767" s="8" t="n">
        <v>0</v>
      </c>
    </row>
    <row r="1768" customFormat="false" ht="15" hidden="false" customHeight="true" outlineLevel="0" collapsed="false">
      <c r="A1768" s="8" t="s">
        <v>297</v>
      </c>
      <c r="B1768" s="8" t="s">
        <v>1265</v>
      </c>
      <c r="C1768" s="8" t="n">
        <v>1</v>
      </c>
      <c r="D1768" s="8" t="n">
        <v>126.57</v>
      </c>
      <c r="E1768" s="8" t="n">
        <v>0</v>
      </c>
      <c r="F1768" s="8" t="n">
        <v>0</v>
      </c>
    </row>
    <row r="1769" customFormat="false" ht="15" hidden="false" customHeight="true" outlineLevel="0" collapsed="false">
      <c r="A1769" s="8" t="s">
        <v>277</v>
      </c>
      <c r="B1769" s="8" t="s">
        <v>1285</v>
      </c>
      <c r="C1769" s="8" t="n">
        <v>1</v>
      </c>
      <c r="D1769" s="8" t="n">
        <v>136.3</v>
      </c>
      <c r="E1769" s="8" t="n">
        <v>0</v>
      </c>
      <c r="F1769" s="8" t="n">
        <v>0</v>
      </c>
    </row>
    <row r="1770" customFormat="false" ht="15" hidden="false" customHeight="true" outlineLevel="0" collapsed="false">
      <c r="A1770" s="8" t="s">
        <v>95</v>
      </c>
      <c r="B1770" s="8" t="s">
        <v>1247</v>
      </c>
      <c r="C1770" s="8" t="n">
        <v>7</v>
      </c>
      <c r="D1770" s="8" t="n">
        <v>175</v>
      </c>
      <c r="E1770" s="8" t="n">
        <v>0</v>
      </c>
      <c r="F1770" s="8" t="n">
        <v>0</v>
      </c>
    </row>
    <row r="1771" customFormat="false" ht="15" hidden="false" customHeight="true" outlineLevel="0" collapsed="false">
      <c r="A1771" s="8" t="s">
        <v>113</v>
      </c>
      <c r="B1771" s="8" t="s">
        <v>1247</v>
      </c>
      <c r="C1771" s="8" t="n">
        <v>13</v>
      </c>
      <c r="D1771" s="8" t="n">
        <v>325</v>
      </c>
      <c r="E1771" s="8" t="n">
        <v>0</v>
      </c>
      <c r="F1771" s="8" t="n">
        <v>0</v>
      </c>
    </row>
    <row r="1772" customFormat="false" ht="15" hidden="false" customHeight="true" outlineLevel="0" collapsed="false">
      <c r="A1772" s="8" t="s">
        <v>99</v>
      </c>
      <c r="B1772" s="8" t="s">
        <v>1247</v>
      </c>
      <c r="C1772" s="8" t="n">
        <v>7</v>
      </c>
      <c r="D1772" s="8" t="n">
        <v>175</v>
      </c>
      <c r="E1772" s="8" t="n">
        <v>0</v>
      </c>
      <c r="F1772" s="8" t="n">
        <v>0</v>
      </c>
    </row>
    <row r="1773" customFormat="false" ht="15" hidden="false" customHeight="true" outlineLevel="0" collapsed="false">
      <c r="A1773" s="8" t="s">
        <v>120</v>
      </c>
      <c r="B1773" s="8" t="s">
        <v>1247</v>
      </c>
      <c r="C1773" s="8" t="n">
        <v>7</v>
      </c>
      <c r="D1773" s="8" t="n">
        <v>175</v>
      </c>
      <c r="E1773" s="8" t="n">
        <v>0</v>
      </c>
      <c r="F1773" s="8" t="n">
        <v>0</v>
      </c>
    </row>
    <row r="1774" customFormat="false" ht="15" hidden="false" customHeight="true" outlineLevel="0" collapsed="false">
      <c r="A1774" s="8" t="s">
        <v>257</v>
      </c>
      <c r="B1774" s="8" t="s">
        <v>1284</v>
      </c>
      <c r="C1774" s="8" t="n">
        <v>11</v>
      </c>
      <c r="D1774" s="8" t="n">
        <v>356.73</v>
      </c>
      <c r="E1774" s="8" t="n">
        <v>0</v>
      </c>
      <c r="F1774" s="8" t="n">
        <v>0</v>
      </c>
    </row>
    <row r="1775" customFormat="false" ht="15" hidden="false" customHeight="true" outlineLevel="0" collapsed="false">
      <c r="A1775" s="8" t="s">
        <v>178</v>
      </c>
      <c r="B1775" s="8" t="s">
        <v>1236</v>
      </c>
      <c r="C1775" s="8" t="n">
        <v>70</v>
      </c>
      <c r="D1775" s="8" t="n">
        <v>2450</v>
      </c>
      <c r="E1775" s="8" t="n">
        <v>36</v>
      </c>
      <c r="F1775" s="8" t="n">
        <v>1260</v>
      </c>
    </row>
    <row r="1776" customFormat="false" ht="15" hidden="false" customHeight="true" outlineLevel="0" collapsed="false">
      <c r="A1776" s="8" t="s">
        <v>176</v>
      </c>
      <c r="B1776" s="8" t="s">
        <v>1236</v>
      </c>
      <c r="C1776" s="8" t="n">
        <v>78</v>
      </c>
      <c r="D1776" s="8" t="n">
        <v>2730</v>
      </c>
      <c r="E1776" s="8" t="n">
        <v>12</v>
      </c>
      <c r="F1776" s="8" t="n">
        <v>420</v>
      </c>
    </row>
    <row r="1777" customFormat="false" ht="15" hidden="false" customHeight="true" outlineLevel="0" collapsed="false">
      <c r="A1777" s="8" t="s">
        <v>235</v>
      </c>
      <c r="B1777" s="8" t="s">
        <v>1236</v>
      </c>
      <c r="C1777" s="8" t="n">
        <v>24</v>
      </c>
      <c r="D1777" s="8" t="n">
        <v>840</v>
      </c>
      <c r="E1777" s="8" t="n">
        <v>22</v>
      </c>
      <c r="F1777" s="8" t="n">
        <v>770</v>
      </c>
    </row>
    <row r="1778" customFormat="false" ht="15" hidden="false" customHeight="true" outlineLevel="0" collapsed="false">
      <c r="A1778" s="8" t="s">
        <v>224</v>
      </c>
      <c r="B1778" s="8" t="s">
        <v>1236</v>
      </c>
      <c r="C1778" s="8" t="n">
        <v>28</v>
      </c>
      <c r="D1778" s="8" t="n">
        <v>980</v>
      </c>
      <c r="E1778" s="8" t="n">
        <v>3</v>
      </c>
      <c r="F1778" s="8" t="n">
        <v>105</v>
      </c>
    </row>
    <row r="1779" customFormat="false" ht="15" hidden="false" customHeight="true" outlineLevel="0" collapsed="false">
      <c r="A1779" s="8" t="s">
        <v>179</v>
      </c>
      <c r="B1779" s="8" t="s">
        <v>1218</v>
      </c>
      <c r="C1779" s="8" t="n">
        <v>32</v>
      </c>
      <c r="D1779" s="8" t="n">
        <v>4048</v>
      </c>
      <c r="E1779" s="8" t="n">
        <v>8</v>
      </c>
      <c r="F1779" s="8" t="n">
        <v>1012</v>
      </c>
    </row>
    <row r="1780" customFormat="false" ht="15" hidden="false" customHeight="true" outlineLevel="0" collapsed="false">
      <c r="A1780" s="8" t="s">
        <v>185</v>
      </c>
      <c r="B1780" s="8" t="s">
        <v>1218</v>
      </c>
      <c r="C1780" s="8" t="n">
        <v>25</v>
      </c>
      <c r="D1780" s="8" t="n">
        <v>3162.5</v>
      </c>
      <c r="E1780" s="8" t="n">
        <v>6</v>
      </c>
      <c r="F1780" s="8" t="n">
        <v>759</v>
      </c>
    </row>
    <row r="1781" customFormat="false" ht="15" hidden="false" customHeight="true" outlineLevel="0" collapsed="false">
      <c r="A1781" s="8" t="s">
        <v>360</v>
      </c>
      <c r="B1781" s="8" t="s">
        <v>1218</v>
      </c>
      <c r="C1781" s="8" t="n">
        <v>0</v>
      </c>
      <c r="D1781" s="8" t="n">
        <v>0</v>
      </c>
      <c r="E1781" s="8" t="n">
        <v>1</v>
      </c>
      <c r="F1781" s="8" t="n">
        <v>126.5</v>
      </c>
    </row>
    <row r="1782" customFormat="false" ht="15" hidden="false" customHeight="true" outlineLevel="0" collapsed="false">
      <c r="A1782" s="8" t="s">
        <v>195</v>
      </c>
      <c r="B1782" s="8" t="s">
        <v>1218</v>
      </c>
      <c r="C1782" s="8" t="n">
        <v>18</v>
      </c>
      <c r="D1782" s="8" t="n">
        <v>2277</v>
      </c>
      <c r="E1782" s="8" t="n">
        <v>7</v>
      </c>
      <c r="F1782" s="8" t="n">
        <v>885.5</v>
      </c>
    </row>
    <row r="1783" customFormat="false" ht="15" hidden="false" customHeight="true" outlineLevel="0" collapsed="false">
      <c r="A1783" s="8" t="s">
        <v>273</v>
      </c>
      <c r="B1783" s="8" t="s">
        <v>1218</v>
      </c>
      <c r="C1783" s="8" t="n">
        <v>7</v>
      </c>
      <c r="D1783" s="8" t="n">
        <v>885.5</v>
      </c>
      <c r="E1783" s="8" t="n">
        <v>5</v>
      </c>
      <c r="F1783" s="8" t="n">
        <v>632.5</v>
      </c>
    </row>
    <row r="1784" customFormat="false" ht="15" hidden="false" customHeight="true" outlineLevel="0" collapsed="false">
      <c r="A1784" s="8" t="s">
        <v>240</v>
      </c>
      <c r="B1784" s="8" t="s">
        <v>769</v>
      </c>
      <c r="C1784" s="8" t="n">
        <v>12</v>
      </c>
      <c r="D1784" s="8" t="n">
        <v>204</v>
      </c>
      <c r="E1784" s="8" t="n">
        <v>0</v>
      </c>
      <c r="F1784" s="8" t="n">
        <v>0</v>
      </c>
    </row>
    <row r="1785" customFormat="false" ht="15" hidden="false" customHeight="true" outlineLevel="0" collapsed="false">
      <c r="A1785" s="8" t="s">
        <v>234</v>
      </c>
      <c r="B1785" s="8" t="s">
        <v>769</v>
      </c>
      <c r="C1785" s="8" t="n">
        <v>16</v>
      </c>
      <c r="D1785" s="8" t="n">
        <v>272</v>
      </c>
      <c r="E1785" s="8" t="n">
        <v>2</v>
      </c>
      <c r="F1785" s="8" t="n">
        <v>34</v>
      </c>
    </row>
    <row r="1786" customFormat="false" ht="15" hidden="false" customHeight="true" outlineLevel="0" collapsed="false">
      <c r="A1786" s="8" t="s">
        <v>247</v>
      </c>
      <c r="B1786" s="8" t="s">
        <v>769</v>
      </c>
      <c r="C1786" s="8" t="n">
        <v>19</v>
      </c>
      <c r="D1786" s="8" t="n">
        <v>323</v>
      </c>
      <c r="E1786" s="8" t="n">
        <v>4</v>
      </c>
      <c r="F1786" s="8" t="n">
        <v>68</v>
      </c>
    </row>
    <row r="1787" customFormat="false" ht="15" hidden="false" customHeight="true" outlineLevel="0" collapsed="false">
      <c r="A1787" s="8" t="s">
        <v>300</v>
      </c>
      <c r="B1787" s="8" t="s">
        <v>769</v>
      </c>
      <c r="C1787" s="8" t="n">
        <v>4</v>
      </c>
      <c r="D1787" s="8" t="n">
        <v>68</v>
      </c>
      <c r="E1787" s="8" t="n">
        <v>3</v>
      </c>
      <c r="F1787" s="8" t="n">
        <v>51</v>
      </c>
    </row>
    <row r="1788" customFormat="false" ht="15" hidden="false" customHeight="true" outlineLevel="0" collapsed="false">
      <c r="A1788" s="8" t="s">
        <v>328</v>
      </c>
      <c r="B1788" s="8" t="s">
        <v>769</v>
      </c>
      <c r="C1788" s="8" t="n">
        <v>12</v>
      </c>
      <c r="D1788" s="8" t="n">
        <v>204</v>
      </c>
      <c r="E1788" s="8" t="n">
        <v>0</v>
      </c>
      <c r="F1788" s="8" t="n">
        <v>0</v>
      </c>
    </row>
    <row r="1789" customFormat="false" ht="15" hidden="false" customHeight="true" outlineLevel="0" collapsed="false">
      <c r="A1789" s="8" t="s">
        <v>367</v>
      </c>
      <c r="B1789" s="8" t="s">
        <v>769</v>
      </c>
      <c r="C1789" s="8" t="n">
        <v>0</v>
      </c>
      <c r="D1789" s="8" t="n">
        <v>0</v>
      </c>
      <c r="E1789" s="8" t="n">
        <v>1</v>
      </c>
      <c r="F1789" s="8" t="n">
        <v>17</v>
      </c>
    </row>
    <row r="1790" customFormat="false" ht="15" hidden="false" customHeight="true" outlineLevel="0" collapsed="false">
      <c r="A1790" s="8" t="s">
        <v>182</v>
      </c>
      <c r="B1790" s="8" t="s">
        <v>799</v>
      </c>
      <c r="C1790" s="8" t="n">
        <v>57</v>
      </c>
      <c r="D1790" s="8" t="n">
        <v>1140</v>
      </c>
      <c r="E1790" s="8" t="n">
        <v>10</v>
      </c>
      <c r="F1790" s="8" t="n">
        <v>200</v>
      </c>
    </row>
    <row r="1791" customFormat="false" ht="15" hidden="false" customHeight="true" outlineLevel="0" collapsed="false">
      <c r="A1791" s="8" t="s">
        <v>274</v>
      </c>
      <c r="B1791" s="8" t="s">
        <v>1219</v>
      </c>
      <c r="C1791" s="8" t="n">
        <v>34</v>
      </c>
      <c r="D1791" s="8" t="n">
        <v>296.82</v>
      </c>
      <c r="E1791" s="8" t="n">
        <v>18</v>
      </c>
      <c r="F1791" s="8" t="n">
        <v>157.14</v>
      </c>
    </row>
    <row r="1792" customFormat="false" ht="15" hidden="false" customHeight="true" outlineLevel="0" collapsed="false">
      <c r="A1792" s="8" t="s">
        <v>170</v>
      </c>
      <c r="B1792" s="8" t="s">
        <v>1220</v>
      </c>
      <c r="C1792" s="8" t="n">
        <v>48</v>
      </c>
      <c r="D1792" s="8" t="n">
        <v>710.4</v>
      </c>
      <c r="E1792" s="8" t="n">
        <v>24</v>
      </c>
      <c r="F1792" s="8" t="n">
        <v>355.2</v>
      </c>
    </row>
    <row r="1793" customFormat="false" ht="15" hidden="false" customHeight="true" outlineLevel="0" collapsed="false">
      <c r="A1793" s="8" t="s">
        <v>167</v>
      </c>
      <c r="B1793" s="8" t="s">
        <v>1238</v>
      </c>
      <c r="C1793" s="8" t="n">
        <v>102</v>
      </c>
      <c r="D1793" s="8" t="n">
        <v>1366.8</v>
      </c>
      <c r="E1793" s="8" t="n">
        <v>30</v>
      </c>
      <c r="F1793" s="8" t="n">
        <v>402</v>
      </c>
    </row>
    <row r="1794" customFormat="false" ht="15" hidden="false" customHeight="true" outlineLevel="0" collapsed="false">
      <c r="A1794" s="8" t="s">
        <v>220</v>
      </c>
      <c r="B1794" s="8" t="s">
        <v>1248</v>
      </c>
      <c r="C1794" s="8" t="n">
        <v>6</v>
      </c>
      <c r="D1794" s="8" t="n">
        <v>62.4</v>
      </c>
      <c r="E1794" s="8" t="n">
        <v>0</v>
      </c>
      <c r="F1794" s="8" t="n">
        <v>0</v>
      </c>
    </row>
    <row r="1795" customFormat="false" ht="15" hidden="false" customHeight="true" outlineLevel="0" collapsed="false">
      <c r="A1795" s="8" t="s">
        <v>275</v>
      </c>
      <c r="B1795" s="8" t="s">
        <v>1257</v>
      </c>
      <c r="C1795" s="8" t="n">
        <v>16</v>
      </c>
      <c r="D1795" s="8" t="n">
        <v>345.6</v>
      </c>
      <c r="E1795" s="8" t="n">
        <v>0</v>
      </c>
      <c r="F1795" s="8" t="n">
        <v>0</v>
      </c>
    </row>
    <row r="1796" customFormat="false" ht="15" hidden="false" customHeight="true" outlineLevel="0" collapsed="false">
      <c r="A1796" s="8" t="s">
        <v>264</v>
      </c>
      <c r="B1796" s="8" t="s">
        <v>1221</v>
      </c>
      <c r="C1796" s="8" t="n">
        <v>5</v>
      </c>
      <c r="D1796" s="8" t="n">
        <v>29.05</v>
      </c>
      <c r="E1796" s="8" t="n">
        <v>0</v>
      </c>
      <c r="F1796" s="8" t="n">
        <v>0</v>
      </c>
    </row>
    <row r="1797" customFormat="false" ht="15" hidden="false" customHeight="true" outlineLevel="0" collapsed="false">
      <c r="A1797" s="8" t="s">
        <v>258</v>
      </c>
      <c r="B1797" s="8" t="s">
        <v>562</v>
      </c>
      <c r="C1797" s="8" t="n">
        <v>3</v>
      </c>
      <c r="D1797" s="8" t="n">
        <v>108</v>
      </c>
      <c r="E1797" s="8" t="n">
        <v>0</v>
      </c>
      <c r="F1797" s="8" t="n">
        <v>0</v>
      </c>
    </row>
    <row r="1798" customFormat="false" ht="15" hidden="false" customHeight="true" outlineLevel="0" collapsed="false">
      <c r="A1798" s="8" t="s">
        <v>252</v>
      </c>
      <c r="B1798" s="8" t="s">
        <v>1177</v>
      </c>
      <c r="C1798" s="8" t="n">
        <v>17</v>
      </c>
      <c r="D1798" s="8" t="n">
        <v>282.2</v>
      </c>
      <c r="E1798" s="8" t="n">
        <v>3</v>
      </c>
      <c r="F1798" s="8" t="n">
        <v>49.8</v>
      </c>
    </row>
    <row r="1799" customFormat="false" ht="15" hidden="false" customHeight="true" outlineLevel="0" collapsed="false">
      <c r="A1799" s="8" t="s">
        <v>203</v>
      </c>
      <c r="B1799" s="8" t="s">
        <v>1177</v>
      </c>
      <c r="C1799" s="8" t="n">
        <v>51</v>
      </c>
      <c r="D1799" s="8" t="n">
        <v>943.5</v>
      </c>
      <c r="E1799" s="8" t="n">
        <v>27</v>
      </c>
      <c r="F1799" s="8" t="n">
        <v>499.5</v>
      </c>
    </row>
    <row r="1800" customFormat="false" ht="15" hidden="false" customHeight="true" outlineLevel="0" collapsed="false">
      <c r="A1800" s="8" t="s">
        <v>211</v>
      </c>
      <c r="B1800" s="8" t="s">
        <v>1250</v>
      </c>
      <c r="C1800" s="8" t="n">
        <v>41</v>
      </c>
      <c r="D1800" s="8" t="n">
        <v>1025</v>
      </c>
      <c r="E1800" s="8" t="n">
        <v>24</v>
      </c>
      <c r="F1800" s="8" t="n">
        <v>600</v>
      </c>
    </row>
    <row r="1801" customFormat="false" ht="15" hidden="false" customHeight="true" outlineLevel="0" collapsed="false">
      <c r="A1801" s="8" t="s">
        <v>196</v>
      </c>
      <c r="B1801" s="8" t="s">
        <v>1243</v>
      </c>
      <c r="C1801" s="8" t="n">
        <v>13</v>
      </c>
      <c r="D1801" s="8" t="n">
        <v>695.5</v>
      </c>
      <c r="E1801" s="8" t="n">
        <v>0</v>
      </c>
      <c r="F1801" s="8" t="n">
        <v>0</v>
      </c>
    </row>
    <row r="1802" customFormat="false" ht="15" hidden="false" customHeight="true" outlineLevel="0" collapsed="false">
      <c r="A1802" s="8" t="s">
        <v>212</v>
      </c>
      <c r="B1802" s="8" t="s">
        <v>1278</v>
      </c>
      <c r="C1802" s="8" t="n">
        <v>14</v>
      </c>
      <c r="D1802" s="8" t="n">
        <v>1309</v>
      </c>
      <c r="E1802" s="8" t="n">
        <v>0</v>
      </c>
      <c r="F1802" s="8" t="n">
        <v>0</v>
      </c>
    </row>
    <row r="1803" customFormat="false" ht="15" hidden="false" customHeight="true" outlineLevel="0" collapsed="false">
      <c r="A1803" s="8" t="s">
        <v>226</v>
      </c>
      <c r="B1803" s="8" t="s">
        <v>566</v>
      </c>
      <c r="C1803" s="8" t="n">
        <v>40</v>
      </c>
      <c r="D1803" s="8" t="n">
        <v>832</v>
      </c>
      <c r="E1803" s="8" t="n">
        <v>8</v>
      </c>
      <c r="F1803" s="8" t="n">
        <v>166.4</v>
      </c>
    </row>
    <row r="1804" customFormat="false" ht="15" hidden="false" customHeight="true" outlineLevel="0" collapsed="false">
      <c r="A1804" s="8" t="s">
        <v>262</v>
      </c>
      <c r="B1804" s="8" t="s">
        <v>1267</v>
      </c>
      <c r="C1804" s="8" t="n">
        <v>2</v>
      </c>
      <c r="D1804" s="8" t="n">
        <v>257.42</v>
      </c>
      <c r="E1804" s="8" t="n">
        <v>0</v>
      </c>
      <c r="F1804" s="8" t="n">
        <v>0</v>
      </c>
    </row>
    <row r="1805" customFormat="false" ht="15" hidden="false" customHeight="true" outlineLevel="0" collapsed="false">
      <c r="A1805" s="8" t="s">
        <v>183</v>
      </c>
      <c r="B1805" s="8" t="s">
        <v>1224</v>
      </c>
      <c r="C1805" s="8" t="n">
        <v>5</v>
      </c>
      <c r="D1805" s="8" t="n">
        <v>122.15</v>
      </c>
      <c r="E1805" s="8" t="n">
        <v>2</v>
      </c>
      <c r="F1805" s="8" t="n">
        <v>48.86</v>
      </c>
    </row>
    <row r="1806" customFormat="false" ht="15" hidden="false" customHeight="true" outlineLevel="0" collapsed="false">
      <c r="A1806" s="8" t="s">
        <v>231</v>
      </c>
      <c r="B1806" s="8" t="s">
        <v>1224</v>
      </c>
      <c r="C1806" s="8" t="n">
        <v>2</v>
      </c>
      <c r="D1806" s="8" t="n">
        <v>48.86</v>
      </c>
      <c r="E1806" s="8" t="n">
        <v>0</v>
      </c>
      <c r="F1806" s="8" t="n">
        <v>0</v>
      </c>
    </row>
    <row r="1807" customFormat="false" ht="15" hidden="false" customHeight="true" outlineLevel="0" collapsed="false">
      <c r="A1807" s="8" t="s">
        <v>161</v>
      </c>
      <c r="B1807" s="8" t="s">
        <v>1208</v>
      </c>
      <c r="C1807" s="8" t="n">
        <v>15</v>
      </c>
      <c r="D1807" s="8" t="n">
        <v>682.5</v>
      </c>
      <c r="E1807" s="8" t="n">
        <v>2</v>
      </c>
      <c r="F1807" s="8" t="n">
        <v>91</v>
      </c>
    </row>
    <row r="1808" customFormat="false" ht="15" hidden="false" customHeight="true" outlineLevel="0" collapsed="false">
      <c r="A1808" s="8" t="s">
        <v>166</v>
      </c>
      <c r="B1808" s="8" t="s">
        <v>1211</v>
      </c>
      <c r="C1808" s="8" t="n">
        <v>1</v>
      </c>
      <c r="D1808" s="8" t="n">
        <v>63.27</v>
      </c>
      <c r="E1808" s="8" t="n">
        <v>0</v>
      </c>
      <c r="F1808" s="8" t="n">
        <v>0</v>
      </c>
    </row>
    <row r="1809" customFormat="false" ht="15" hidden="false" customHeight="true" outlineLevel="0" collapsed="false">
      <c r="A1809" s="8" t="s">
        <v>164</v>
      </c>
      <c r="B1809" s="8" t="s">
        <v>1211</v>
      </c>
      <c r="C1809" s="8" t="n">
        <v>2</v>
      </c>
      <c r="D1809" s="8" t="n">
        <v>126.54</v>
      </c>
      <c r="E1809" s="8" t="n">
        <v>0</v>
      </c>
      <c r="F1809" s="8" t="n">
        <v>0</v>
      </c>
    </row>
    <row r="1810" customFormat="false" ht="15" hidden="false" customHeight="true" outlineLevel="0" collapsed="false">
      <c r="A1810" s="8" t="s">
        <v>188</v>
      </c>
      <c r="B1810" s="8" t="s">
        <v>1225</v>
      </c>
      <c r="C1810" s="8" t="n">
        <v>0</v>
      </c>
      <c r="D1810" s="8" t="n">
        <v>0</v>
      </c>
      <c r="E1810" s="8" t="n">
        <v>1</v>
      </c>
      <c r="F1810" s="8" t="n">
        <v>28.93</v>
      </c>
    </row>
    <row r="1811" customFormat="false" ht="15" hidden="false" customHeight="true" outlineLevel="0" collapsed="false">
      <c r="A1811" s="8" t="s">
        <v>219</v>
      </c>
      <c r="B1811" s="8" t="s">
        <v>1227</v>
      </c>
      <c r="C1811" s="8" t="n">
        <v>7</v>
      </c>
      <c r="D1811" s="8" t="n">
        <v>119</v>
      </c>
      <c r="E1811" s="8" t="n">
        <v>0</v>
      </c>
      <c r="F1811" s="8" t="n">
        <v>0</v>
      </c>
    </row>
    <row r="1812" customFormat="false" ht="15" hidden="false" customHeight="true" outlineLevel="0" collapsed="false">
      <c r="A1812" s="8" t="s">
        <v>223</v>
      </c>
      <c r="B1812" s="8" t="s">
        <v>1227</v>
      </c>
      <c r="C1812" s="8" t="n">
        <v>2</v>
      </c>
      <c r="D1812" s="8" t="n">
        <v>34</v>
      </c>
      <c r="E1812" s="8" t="n">
        <v>0</v>
      </c>
      <c r="F1812" s="8" t="n">
        <v>0</v>
      </c>
    </row>
    <row r="1813" customFormat="false" ht="15" hidden="false" customHeight="true" outlineLevel="0" collapsed="false">
      <c r="A1813" s="8" t="s">
        <v>368</v>
      </c>
      <c r="B1813" s="8" t="s">
        <v>1227</v>
      </c>
      <c r="C1813" s="8" t="n">
        <v>0</v>
      </c>
      <c r="D1813" s="8" t="n">
        <v>0</v>
      </c>
      <c r="E1813" s="8" t="n">
        <v>1</v>
      </c>
      <c r="F1813" s="8" t="n">
        <v>17</v>
      </c>
    </row>
    <row r="1814" customFormat="false" ht="15" hidden="false" customHeight="true" outlineLevel="0" collapsed="false">
      <c r="A1814" s="8" t="s">
        <v>243</v>
      </c>
      <c r="B1814" s="8" t="s">
        <v>1253</v>
      </c>
      <c r="C1814" s="8" t="n">
        <v>2</v>
      </c>
      <c r="D1814" s="8" t="n">
        <v>25.9</v>
      </c>
      <c r="E1814" s="8" t="n">
        <v>1</v>
      </c>
      <c r="F1814" s="8" t="n">
        <v>12.95</v>
      </c>
    </row>
    <row r="1815" customFormat="false" ht="15" hidden="false" customHeight="true" outlineLevel="0" collapsed="false">
      <c r="A1815" s="8" t="s">
        <v>261</v>
      </c>
      <c r="B1815" s="8" t="s">
        <v>1215</v>
      </c>
      <c r="C1815" s="8" t="n">
        <v>2</v>
      </c>
      <c r="D1815" s="8" t="n">
        <v>42.42</v>
      </c>
      <c r="E1815" s="8" t="n">
        <v>0</v>
      </c>
      <c r="F1815" s="8" t="n">
        <v>0</v>
      </c>
    </row>
    <row r="1816" customFormat="false" ht="15" hidden="false" customHeight="true" outlineLevel="0" collapsed="false">
      <c r="A1816" s="8" t="s">
        <v>189</v>
      </c>
      <c r="B1816" s="8" t="s">
        <v>1216</v>
      </c>
      <c r="C1816" s="8" t="n">
        <v>4</v>
      </c>
      <c r="D1816" s="8" t="n">
        <v>66</v>
      </c>
      <c r="E1816" s="8" t="n">
        <v>0</v>
      </c>
      <c r="F1816" s="8" t="n">
        <v>0</v>
      </c>
    </row>
    <row r="1817" customFormat="false" ht="15" hidden="false" customHeight="true" outlineLevel="0" collapsed="false">
      <c r="A1817" s="8" t="s">
        <v>267</v>
      </c>
      <c r="B1817" s="8" t="s">
        <v>1216</v>
      </c>
      <c r="C1817" s="8" t="n">
        <v>3</v>
      </c>
      <c r="D1817" s="8" t="n">
        <v>49.5</v>
      </c>
      <c r="E1817" s="8" t="n">
        <v>0</v>
      </c>
      <c r="F1817" s="8" t="n">
        <v>0</v>
      </c>
    </row>
    <row r="1818" customFormat="false" ht="15" hidden="false" customHeight="true" outlineLevel="0" collapsed="false">
      <c r="A1818" s="8" t="s">
        <v>199</v>
      </c>
      <c r="B1818" s="8" t="s">
        <v>1216</v>
      </c>
      <c r="C1818" s="8" t="n">
        <v>0</v>
      </c>
      <c r="D1818" s="8" t="n">
        <v>0</v>
      </c>
      <c r="E1818" s="8" t="n">
        <v>2</v>
      </c>
      <c r="F1818" s="8" t="n">
        <v>33</v>
      </c>
    </row>
    <row r="1819" customFormat="false" ht="15" hidden="false" customHeight="true" outlineLevel="0" collapsed="false">
      <c r="A1819" s="8" t="s">
        <v>300</v>
      </c>
      <c r="B1819" s="8" t="s">
        <v>769</v>
      </c>
      <c r="C1819" s="8" t="n">
        <v>4</v>
      </c>
      <c r="D1819" s="8" t="n">
        <v>68</v>
      </c>
      <c r="E1819" s="8" t="n">
        <v>0</v>
      </c>
      <c r="F1819" s="8" t="n">
        <v>0</v>
      </c>
    </row>
    <row r="1820" customFormat="false" ht="15" hidden="false" customHeight="true" outlineLevel="0" collapsed="false">
      <c r="A1820" s="8" t="s">
        <v>203</v>
      </c>
      <c r="B1820" s="8" t="s">
        <v>1177</v>
      </c>
      <c r="C1820" s="8" t="n">
        <v>10</v>
      </c>
      <c r="D1820" s="8" t="n">
        <v>185</v>
      </c>
      <c r="E1820" s="8" t="n">
        <v>0</v>
      </c>
      <c r="F1820" s="8" t="n">
        <v>0</v>
      </c>
    </row>
    <row r="1821" customFormat="false" ht="15" hidden="false" customHeight="true" outlineLevel="0" collapsed="false">
      <c r="A1821" s="8" t="s">
        <v>211</v>
      </c>
      <c r="B1821" s="8" t="s">
        <v>1250</v>
      </c>
      <c r="C1821" s="8" t="n">
        <v>3</v>
      </c>
      <c r="D1821" s="8" t="n">
        <v>75</v>
      </c>
      <c r="E1821" s="8" t="n">
        <v>0</v>
      </c>
      <c r="F1821" s="8" t="n">
        <v>0</v>
      </c>
    </row>
    <row r="1822" customFormat="false" ht="15" hidden="false" customHeight="true" outlineLevel="0" collapsed="false">
      <c r="A1822" s="8" t="s">
        <v>196</v>
      </c>
      <c r="B1822" s="8" t="s">
        <v>1243</v>
      </c>
      <c r="C1822" s="8" t="n">
        <v>8</v>
      </c>
      <c r="D1822" s="8" t="n">
        <v>428</v>
      </c>
      <c r="E1822" s="8" t="n">
        <v>2</v>
      </c>
      <c r="F1822" s="8" t="n">
        <v>107</v>
      </c>
    </row>
    <row r="1823" customFormat="false" ht="15" hidden="false" customHeight="true" outlineLevel="0" collapsed="false">
      <c r="A1823" s="8" t="s">
        <v>226</v>
      </c>
      <c r="B1823" s="8" t="s">
        <v>566</v>
      </c>
      <c r="C1823" s="8" t="n">
        <v>8</v>
      </c>
      <c r="D1823" s="8" t="n">
        <v>166.4</v>
      </c>
      <c r="E1823" s="8" t="n">
        <v>0</v>
      </c>
      <c r="F1823" s="8" t="n">
        <v>0</v>
      </c>
    </row>
    <row r="1824" customFormat="false" ht="15" hidden="false" customHeight="true" outlineLevel="0" collapsed="false">
      <c r="A1824" s="8" t="s">
        <v>387</v>
      </c>
      <c r="B1824" s="8" t="s">
        <v>1267</v>
      </c>
      <c r="C1824" s="8" t="n">
        <v>0</v>
      </c>
      <c r="D1824" s="8" t="n">
        <v>0</v>
      </c>
      <c r="E1824" s="8" t="n">
        <v>2</v>
      </c>
      <c r="F1824" s="8" t="n">
        <v>257.42</v>
      </c>
    </row>
    <row r="1825" customFormat="false" ht="15" hidden="false" customHeight="true" outlineLevel="0" collapsed="false">
      <c r="A1825" s="8" t="s">
        <v>197</v>
      </c>
      <c r="B1825" s="8" t="s">
        <v>1222</v>
      </c>
      <c r="C1825" s="8" t="n">
        <v>0</v>
      </c>
      <c r="D1825" s="8" t="n">
        <v>0</v>
      </c>
      <c r="E1825" s="8" t="n">
        <v>2</v>
      </c>
      <c r="F1825" s="8" t="n">
        <v>130</v>
      </c>
    </row>
    <row r="1826" customFormat="false" ht="15" hidden="false" customHeight="true" outlineLevel="0" collapsed="false">
      <c r="A1826" s="8" t="s">
        <v>253</v>
      </c>
      <c r="B1826" s="8" t="s">
        <v>1222</v>
      </c>
      <c r="C1826" s="8" t="n">
        <v>0</v>
      </c>
      <c r="D1826" s="8" t="n">
        <v>0</v>
      </c>
      <c r="E1826" s="8" t="n">
        <v>1</v>
      </c>
      <c r="F1826" s="8" t="n">
        <v>65</v>
      </c>
    </row>
    <row r="1827" customFormat="false" ht="15" hidden="false" customHeight="true" outlineLevel="0" collapsed="false">
      <c r="A1827" s="8" t="s">
        <v>207</v>
      </c>
      <c r="B1827" s="8" t="s">
        <v>1222</v>
      </c>
      <c r="C1827" s="8" t="n">
        <v>3</v>
      </c>
      <c r="D1827" s="8" t="n">
        <v>195</v>
      </c>
      <c r="E1827" s="8" t="n">
        <v>1</v>
      </c>
      <c r="F1827" s="8" t="n">
        <v>65</v>
      </c>
    </row>
    <row r="1828" customFormat="false" ht="15" hidden="false" customHeight="true" outlineLevel="0" collapsed="false">
      <c r="A1828" s="8" t="s">
        <v>163</v>
      </c>
      <c r="B1828" s="8" t="s">
        <v>897</v>
      </c>
      <c r="C1828" s="8" t="n">
        <v>2</v>
      </c>
      <c r="D1828" s="8" t="n">
        <v>130</v>
      </c>
      <c r="E1828" s="8" t="n">
        <v>1</v>
      </c>
      <c r="F1828" s="8" t="n">
        <v>65</v>
      </c>
    </row>
    <row r="1829" customFormat="false" ht="15" hidden="false" customHeight="true" outlineLevel="0" collapsed="false">
      <c r="A1829" s="8" t="s">
        <v>181</v>
      </c>
      <c r="B1829" s="8" t="s">
        <v>897</v>
      </c>
      <c r="C1829" s="8" t="n">
        <v>2</v>
      </c>
      <c r="D1829" s="8" t="n">
        <v>130</v>
      </c>
      <c r="E1829" s="8" t="n">
        <v>0</v>
      </c>
      <c r="F1829" s="8" t="n">
        <v>0</v>
      </c>
    </row>
    <row r="1830" customFormat="false" ht="15" hidden="false" customHeight="true" outlineLevel="0" collapsed="false">
      <c r="A1830" s="8" t="s">
        <v>165</v>
      </c>
      <c r="B1830" s="8" t="s">
        <v>897</v>
      </c>
      <c r="C1830" s="8" t="n">
        <v>2</v>
      </c>
      <c r="D1830" s="8" t="n">
        <v>130</v>
      </c>
      <c r="E1830" s="8" t="n">
        <v>1</v>
      </c>
      <c r="F1830" s="8" t="n">
        <v>65</v>
      </c>
    </row>
    <row r="1831" customFormat="false" ht="15" hidden="false" customHeight="true" outlineLevel="0" collapsed="false">
      <c r="A1831" s="8" t="s">
        <v>184</v>
      </c>
      <c r="B1831" s="8" t="s">
        <v>897</v>
      </c>
      <c r="C1831" s="8" t="n">
        <v>1</v>
      </c>
      <c r="D1831" s="8" t="n">
        <v>65</v>
      </c>
      <c r="E1831" s="8" t="n">
        <v>2</v>
      </c>
      <c r="F1831" s="8" t="n">
        <v>130</v>
      </c>
    </row>
    <row r="1832" customFormat="false" ht="15" hidden="false" customHeight="true" outlineLevel="0" collapsed="false">
      <c r="A1832" s="8" t="s">
        <v>208</v>
      </c>
      <c r="B1832" s="8" t="s">
        <v>1179</v>
      </c>
      <c r="C1832" s="8" t="n">
        <v>3</v>
      </c>
      <c r="D1832" s="8" t="n">
        <v>217.02</v>
      </c>
      <c r="E1832" s="8" t="n">
        <v>1</v>
      </c>
      <c r="F1832" s="8" t="n">
        <v>72.34</v>
      </c>
    </row>
    <row r="1833" customFormat="false" ht="15" hidden="false" customHeight="true" outlineLevel="0" collapsed="false">
      <c r="A1833" s="8" t="s">
        <v>221</v>
      </c>
      <c r="B1833" s="8" t="s">
        <v>1179</v>
      </c>
      <c r="C1833" s="8" t="n">
        <v>0</v>
      </c>
      <c r="D1833" s="8" t="n">
        <v>0</v>
      </c>
      <c r="E1833" s="8" t="n">
        <v>1</v>
      </c>
      <c r="F1833" s="8" t="n">
        <v>72.34</v>
      </c>
    </row>
    <row r="1834" customFormat="false" ht="15" hidden="false" customHeight="true" outlineLevel="0" collapsed="false">
      <c r="A1834" s="8" t="s">
        <v>245</v>
      </c>
      <c r="B1834" s="8" t="s">
        <v>1179</v>
      </c>
      <c r="C1834" s="8" t="n">
        <v>4</v>
      </c>
      <c r="D1834" s="8" t="n">
        <v>289.36</v>
      </c>
      <c r="E1834" s="8" t="n">
        <v>0</v>
      </c>
      <c r="F1834" s="8" t="n">
        <v>0</v>
      </c>
    </row>
    <row r="1835" customFormat="false" ht="15" hidden="false" customHeight="true" outlineLevel="0" collapsed="false">
      <c r="A1835" s="8" t="s">
        <v>191</v>
      </c>
      <c r="B1835" s="8" t="s">
        <v>1179</v>
      </c>
      <c r="C1835" s="8" t="n">
        <v>0</v>
      </c>
      <c r="D1835" s="8" t="n">
        <v>0</v>
      </c>
      <c r="E1835" s="8" t="n">
        <v>3</v>
      </c>
      <c r="F1835" s="8" t="n">
        <v>217.02</v>
      </c>
    </row>
    <row r="1836" customFormat="false" ht="15" hidden="false" customHeight="true" outlineLevel="0" collapsed="false">
      <c r="A1836" s="8" t="s">
        <v>204</v>
      </c>
      <c r="B1836" s="8" t="s">
        <v>1179</v>
      </c>
      <c r="C1836" s="8" t="n">
        <v>0</v>
      </c>
      <c r="D1836" s="8" t="n">
        <v>0</v>
      </c>
      <c r="E1836" s="8" t="n">
        <v>1</v>
      </c>
      <c r="F1836" s="8" t="n">
        <v>72.34</v>
      </c>
    </row>
    <row r="1837" customFormat="false" ht="15" hidden="false" customHeight="true" outlineLevel="0" collapsed="false">
      <c r="A1837" s="8" t="s">
        <v>319</v>
      </c>
      <c r="B1837" s="8" t="s">
        <v>1268</v>
      </c>
      <c r="C1837" s="8" t="n">
        <v>0</v>
      </c>
      <c r="D1837" s="8" t="n">
        <v>0</v>
      </c>
      <c r="E1837" s="8" t="n">
        <v>1</v>
      </c>
      <c r="F1837" s="8" t="n">
        <v>113.58</v>
      </c>
    </row>
    <row r="1838" customFormat="false" ht="15" hidden="false" customHeight="true" outlineLevel="0" collapsed="false">
      <c r="A1838" s="8" t="s">
        <v>283</v>
      </c>
      <c r="B1838" s="8" t="s">
        <v>1223</v>
      </c>
      <c r="C1838" s="8" t="n">
        <v>2</v>
      </c>
      <c r="D1838" s="8" t="n">
        <v>155.6</v>
      </c>
      <c r="E1838" s="8" t="n">
        <v>3</v>
      </c>
      <c r="F1838" s="8" t="n">
        <v>233.4</v>
      </c>
    </row>
    <row r="1839" customFormat="false" ht="15" hidden="false" customHeight="true" outlineLevel="0" collapsed="false">
      <c r="A1839" s="8" t="s">
        <v>216</v>
      </c>
      <c r="B1839" s="8" t="s">
        <v>1223</v>
      </c>
      <c r="C1839" s="8" t="n">
        <v>1</v>
      </c>
      <c r="D1839" s="8" t="n">
        <v>77.8</v>
      </c>
      <c r="E1839" s="8" t="n">
        <v>1</v>
      </c>
      <c r="F1839" s="8" t="n">
        <v>77.8</v>
      </c>
    </row>
    <row r="1840" customFormat="false" ht="15" hidden="false" customHeight="true" outlineLevel="0" collapsed="false">
      <c r="A1840" s="8" t="s">
        <v>236</v>
      </c>
      <c r="B1840" s="8" t="s">
        <v>1223</v>
      </c>
      <c r="C1840" s="8" t="n">
        <v>2</v>
      </c>
      <c r="D1840" s="8" t="n">
        <v>155.6</v>
      </c>
      <c r="E1840" s="8" t="n">
        <v>0</v>
      </c>
      <c r="F1840" s="8" t="n">
        <v>0</v>
      </c>
    </row>
    <row r="1841" customFormat="false" ht="15" hidden="false" customHeight="true" outlineLevel="0" collapsed="false">
      <c r="A1841" s="8" t="s">
        <v>190</v>
      </c>
      <c r="B1841" s="8" t="s">
        <v>1224</v>
      </c>
      <c r="C1841" s="8" t="n">
        <v>2</v>
      </c>
      <c r="D1841" s="8" t="n">
        <v>48.86</v>
      </c>
      <c r="E1841" s="8" t="n">
        <v>2</v>
      </c>
      <c r="F1841" s="8" t="n">
        <v>48.86</v>
      </c>
    </row>
    <row r="1842" customFormat="false" ht="15" hidden="false" customHeight="true" outlineLevel="0" collapsed="false">
      <c r="A1842" s="8" t="s">
        <v>183</v>
      </c>
      <c r="B1842" s="8" t="s">
        <v>1224</v>
      </c>
      <c r="C1842" s="8" t="n">
        <v>7</v>
      </c>
      <c r="D1842" s="8" t="n">
        <v>171.01</v>
      </c>
      <c r="E1842" s="8" t="n">
        <v>0</v>
      </c>
      <c r="F1842" s="8" t="n">
        <v>0</v>
      </c>
    </row>
    <row r="1843" customFormat="false" ht="15" hidden="false" customHeight="true" outlineLevel="0" collapsed="false">
      <c r="A1843" s="8" t="s">
        <v>218</v>
      </c>
      <c r="B1843" s="8" t="s">
        <v>1224</v>
      </c>
      <c r="C1843" s="8" t="n">
        <v>5</v>
      </c>
      <c r="D1843" s="8" t="n">
        <v>122.15</v>
      </c>
      <c r="E1843" s="8" t="n">
        <v>0</v>
      </c>
      <c r="F1843" s="8" t="n">
        <v>0</v>
      </c>
    </row>
    <row r="1844" customFormat="false" ht="15" hidden="false" customHeight="true" outlineLevel="0" collapsed="false">
      <c r="A1844" s="8" t="s">
        <v>231</v>
      </c>
      <c r="B1844" s="8" t="s">
        <v>1224</v>
      </c>
      <c r="C1844" s="8" t="n">
        <v>2</v>
      </c>
      <c r="D1844" s="8" t="n">
        <v>48.86</v>
      </c>
      <c r="E1844" s="8" t="n">
        <v>0</v>
      </c>
      <c r="F1844" s="8" t="n">
        <v>0</v>
      </c>
    </row>
    <row r="1845" customFormat="false" ht="15" hidden="false" customHeight="true" outlineLevel="0" collapsed="false">
      <c r="A1845" s="8" t="s">
        <v>286</v>
      </c>
      <c r="B1845" s="8" t="s">
        <v>1269</v>
      </c>
      <c r="C1845" s="8" t="n">
        <v>12</v>
      </c>
      <c r="D1845" s="8" t="n">
        <v>132</v>
      </c>
      <c r="E1845" s="8" t="n">
        <v>0</v>
      </c>
      <c r="F1845" s="8" t="n">
        <v>0</v>
      </c>
    </row>
    <row r="1846" customFormat="false" ht="15" hidden="false" customHeight="true" outlineLevel="0" collapsed="false">
      <c r="A1846" s="8" t="s">
        <v>289</v>
      </c>
      <c r="B1846" s="8" t="s">
        <v>1270</v>
      </c>
      <c r="C1846" s="8" t="n">
        <v>12</v>
      </c>
      <c r="D1846" s="8" t="n">
        <v>132</v>
      </c>
      <c r="E1846" s="8" t="n">
        <v>0</v>
      </c>
      <c r="F1846" s="8" t="n">
        <v>0</v>
      </c>
    </row>
    <row r="1847" customFormat="false" ht="15" hidden="false" customHeight="true" outlineLevel="0" collapsed="false">
      <c r="A1847" s="8" t="s">
        <v>324</v>
      </c>
      <c r="B1847" s="8" t="s">
        <v>1271</v>
      </c>
      <c r="C1847" s="8" t="n">
        <v>6</v>
      </c>
      <c r="D1847" s="8" t="n">
        <v>66</v>
      </c>
      <c r="E1847" s="8" t="n">
        <v>0</v>
      </c>
      <c r="F1847" s="8" t="n">
        <v>0</v>
      </c>
    </row>
    <row r="1848" customFormat="false" ht="15" hidden="false" customHeight="true" outlineLevel="0" collapsed="false">
      <c r="A1848" s="8" t="s">
        <v>337</v>
      </c>
      <c r="B1848" s="8" t="s">
        <v>1272</v>
      </c>
      <c r="C1848" s="8" t="n">
        <v>6</v>
      </c>
      <c r="D1848" s="8" t="n">
        <v>66</v>
      </c>
      <c r="E1848" s="8" t="n">
        <v>0</v>
      </c>
      <c r="F1848" s="8" t="n">
        <v>0</v>
      </c>
    </row>
    <row r="1849" customFormat="false" ht="15" hidden="false" customHeight="true" outlineLevel="0" collapsed="false">
      <c r="A1849" s="8" t="s">
        <v>161</v>
      </c>
      <c r="B1849" s="8" t="s">
        <v>1208</v>
      </c>
      <c r="C1849" s="8" t="n">
        <v>18</v>
      </c>
      <c r="D1849" s="8" t="n">
        <v>819</v>
      </c>
      <c r="E1849" s="8" t="n">
        <v>7</v>
      </c>
      <c r="F1849" s="8" t="n">
        <v>318.5</v>
      </c>
    </row>
    <row r="1850" customFormat="false" ht="15" hidden="false" customHeight="true" outlineLevel="0" collapsed="false">
      <c r="A1850" s="8" t="s">
        <v>162</v>
      </c>
      <c r="B1850" s="8" t="s">
        <v>1209</v>
      </c>
      <c r="C1850" s="8" t="n">
        <v>3</v>
      </c>
      <c r="D1850" s="8" t="n">
        <v>233.4</v>
      </c>
      <c r="E1850" s="8" t="n">
        <v>2</v>
      </c>
      <c r="F1850" s="8" t="n">
        <v>155.6</v>
      </c>
    </row>
    <row r="1851" customFormat="false" ht="15" hidden="false" customHeight="true" outlineLevel="0" collapsed="false">
      <c r="A1851" s="8" t="s">
        <v>171</v>
      </c>
      <c r="B1851" s="8" t="s">
        <v>1210</v>
      </c>
      <c r="C1851" s="8" t="n">
        <v>11</v>
      </c>
      <c r="D1851" s="8" t="n">
        <v>519.53</v>
      </c>
      <c r="E1851" s="8" t="n">
        <v>10</v>
      </c>
      <c r="F1851" s="8" t="n">
        <v>472.3</v>
      </c>
    </row>
    <row r="1852" customFormat="false" ht="15" hidden="false" customHeight="true" outlineLevel="0" collapsed="false">
      <c r="A1852" s="8" t="s">
        <v>174</v>
      </c>
      <c r="B1852" s="8" t="s">
        <v>1210</v>
      </c>
      <c r="C1852" s="8" t="n">
        <v>10</v>
      </c>
      <c r="D1852" s="8" t="n">
        <v>472.3</v>
      </c>
      <c r="E1852" s="8" t="n">
        <v>6</v>
      </c>
      <c r="F1852" s="8" t="n">
        <v>283.38</v>
      </c>
    </row>
    <row r="1853" customFormat="false" ht="15" hidden="false" customHeight="true" outlineLevel="0" collapsed="false">
      <c r="A1853" s="8" t="s">
        <v>166</v>
      </c>
      <c r="B1853" s="8" t="s">
        <v>1211</v>
      </c>
      <c r="C1853" s="8" t="n">
        <v>6</v>
      </c>
      <c r="D1853" s="8" t="n">
        <v>379.62</v>
      </c>
      <c r="E1853" s="8" t="n">
        <v>2</v>
      </c>
      <c r="F1853" s="8" t="n">
        <v>126.54</v>
      </c>
    </row>
    <row r="1854" customFormat="false" ht="15" hidden="false" customHeight="true" outlineLevel="0" collapsed="false">
      <c r="A1854" s="8" t="s">
        <v>164</v>
      </c>
      <c r="B1854" s="8" t="s">
        <v>1211</v>
      </c>
      <c r="C1854" s="8" t="n">
        <v>2</v>
      </c>
      <c r="D1854" s="8" t="n">
        <v>126.54</v>
      </c>
      <c r="E1854" s="8" t="n">
        <v>2</v>
      </c>
      <c r="F1854" s="8" t="n">
        <v>126.54</v>
      </c>
    </row>
    <row r="1855" customFormat="false" ht="15" hidden="false" customHeight="true" outlineLevel="0" collapsed="false">
      <c r="A1855" s="8" t="s">
        <v>222</v>
      </c>
      <c r="B1855" s="8" t="s">
        <v>1211</v>
      </c>
      <c r="C1855" s="8" t="n">
        <v>2</v>
      </c>
      <c r="D1855" s="8" t="n">
        <v>126.54</v>
      </c>
      <c r="E1855" s="8" t="n">
        <v>2</v>
      </c>
      <c r="F1855" s="8" t="n">
        <v>126.54</v>
      </c>
    </row>
    <row r="1856" customFormat="false" ht="15" hidden="false" customHeight="true" outlineLevel="0" collapsed="false">
      <c r="A1856" s="8" t="s">
        <v>187</v>
      </c>
      <c r="B1856" s="8" t="s">
        <v>1211</v>
      </c>
      <c r="C1856" s="8" t="n">
        <v>2</v>
      </c>
      <c r="D1856" s="8" t="n">
        <v>126.54</v>
      </c>
      <c r="E1856" s="8" t="n">
        <v>2</v>
      </c>
      <c r="F1856" s="8" t="n">
        <v>126.54</v>
      </c>
    </row>
    <row r="1857" customFormat="false" ht="15" hidden="false" customHeight="true" outlineLevel="0" collapsed="false">
      <c r="A1857" s="8" t="s">
        <v>270</v>
      </c>
      <c r="B1857" s="8" t="s">
        <v>1251</v>
      </c>
      <c r="C1857" s="8" t="n">
        <v>9</v>
      </c>
      <c r="D1857" s="8" t="n">
        <v>88.38</v>
      </c>
      <c r="E1857" s="8" t="n">
        <v>13</v>
      </c>
      <c r="F1857" s="8" t="n">
        <v>127.66</v>
      </c>
    </row>
    <row r="1858" customFormat="false" ht="15" hidden="false" customHeight="true" outlineLevel="0" collapsed="false">
      <c r="A1858" s="8" t="s">
        <v>307</v>
      </c>
      <c r="B1858" s="8" t="s">
        <v>1252</v>
      </c>
      <c r="C1858" s="8" t="n">
        <v>0</v>
      </c>
      <c r="D1858" s="8" t="n">
        <v>0</v>
      </c>
      <c r="E1858" s="8" t="n">
        <v>4</v>
      </c>
      <c r="F1858" s="8" t="n">
        <v>57.12</v>
      </c>
    </row>
    <row r="1859" customFormat="false" ht="15" hidden="false" customHeight="true" outlineLevel="0" collapsed="false">
      <c r="A1859" s="8" t="s">
        <v>263</v>
      </c>
      <c r="B1859" s="8" t="s">
        <v>407</v>
      </c>
      <c r="C1859" s="8" t="n">
        <v>8</v>
      </c>
      <c r="D1859" s="8" t="n">
        <v>102.56</v>
      </c>
      <c r="E1859" s="8" t="n">
        <v>5</v>
      </c>
      <c r="F1859" s="8" t="n">
        <v>64.1</v>
      </c>
    </row>
    <row r="1860" customFormat="false" ht="15" hidden="false" customHeight="true" outlineLevel="0" collapsed="false">
      <c r="A1860" s="8" t="s">
        <v>186</v>
      </c>
      <c r="B1860" s="8" t="s">
        <v>1225</v>
      </c>
      <c r="C1860" s="8" t="n">
        <v>7</v>
      </c>
      <c r="D1860" s="8" t="n">
        <v>202.51</v>
      </c>
      <c r="E1860" s="8" t="n">
        <v>0</v>
      </c>
      <c r="F1860" s="8" t="n">
        <v>0</v>
      </c>
    </row>
    <row r="1861" customFormat="false" ht="15" hidden="false" customHeight="true" outlineLevel="0" collapsed="false">
      <c r="A1861" s="8" t="s">
        <v>239</v>
      </c>
      <c r="B1861" s="8" t="s">
        <v>1225</v>
      </c>
      <c r="C1861" s="8" t="n">
        <v>2</v>
      </c>
      <c r="D1861" s="8" t="n">
        <v>57.86</v>
      </c>
      <c r="E1861" s="8" t="n">
        <v>4</v>
      </c>
      <c r="F1861" s="8" t="n">
        <v>115.72</v>
      </c>
    </row>
    <row r="1862" customFormat="false" ht="15" hidden="false" customHeight="true" outlineLevel="0" collapsed="false">
      <c r="A1862" s="8" t="s">
        <v>201</v>
      </c>
      <c r="B1862" s="8" t="s">
        <v>1226</v>
      </c>
      <c r="C1862" s="8" t="n">
        <v>1</v>
      </c>
      <c r="D1862" s="8" t="n">
        <v>42.17</v>
      </c>
      <c r="E1862" s="8" t="n">
        <v>0</v>
      </c>
      <c r="F1862" s="8" t="n">
        <v>0</v>
      </c>
    </row>
    <row r="1863" customFormat="false" ht="15" hidden="false" customHeight="true" outlineLevel="0" collapsed="false">
      <c r="A1863" s="8" t="s">
        <v>314</v>
      </c>
      <c r="B1863" s="8" t="s">
        <v>1226</v>
      </c>
      <c r="C1863" s="8" t="n">
        <v>0</v>
      </c>
      <c r="D1863" s="8" t="n">
        <v>0</v>
      </c>
      <c r="E1863" s="8" t="n">
        <v>3</v>
      </c>
      <c r="F1863" s="8" t="n">
        <v>126.51</v>
      </c>
    </row>
    <row r="1864" customFormat="false" ht="15" hidden="false" customHeight="true" outlineLevel="0" collapsed="false">
      <c r="A1864" s="8" t="s">
        <v>214</v>
      </c>
      <c r="B1864" s="8" t="s">
        <v>1226</v>
      </c>
      <c r="C1864" s="8" t="n">
        <v>4</v>
      </c>
      <c r="D1864" s="8" t="n">
        <v>168.68</v>
      </c>
      <c r="E1864" s="8" t="n">
        <v>0</v>
      </c>
      <c r="F1864" s="8" t="n">
        <v>0</v>
      </c>
    </row>
    <row r="1865" customFormat="false" ht="15" hidden="false" customHeight="true" outlineLevel="0" collapsed="false">
      <c r="A1865" s="8" t="s">
        <v>241</v>
      </c>
      <c r="B1865" s="8" t="s">
        <v>1227</v>
      </c>
      <c r="C1865" s="8" t="n">
        <v>8</v>
      </c>
      <c r="D1865" s="8" t="n">
        <v>136</v>
      </c>
      <c r="E1865" s="8" t="n">
        <v>2</v>
      </c>
      <c r="F1865" s="8" t="n">
        <v>34</v>
      </c>
    </row>
    <row r="1866" customFormat="false" ht="15" hidden="false" customHeight="true" outlineLevel="0" collapsed="false">
      <c r="A1866" s="8" t="s">
        <v>219</v>
      </c>
      <c r="B1866" s="8" t="s">
        <v>1227</v>
      </c>
      <c r="C1866" s="8" t="n">
        <v>5</v>
      </c>
      <c r="D1866" s="8" t="n">
        <v>85</v>
      </c>
      <c r="E1866" s="8" t="n">
        <v>3</v>
      </c>
      <c r="F1866" s="8" t="n">
        <v>51</v>
      </c>
    </row>
    <row r="1867" customFormat="false" ht="15" hidden="false" customHeight="true" outlineLevel="0" collapsed="false">
      <c r="A1867" s="8" t="s">
        <v>292</v>
      </c>
      <c r="B1867" s="8" t="s">
        <v>1227</v>
      </c>
      <c r="C1867" s="8" t="n">
        <v>0</v>
      </c>
      <c r="D1867" s="8" t="n">
        <v>0</v>
      </c>
      <c r="E1867" s="8" t="n">
        <v>2</v>
      </c>
      <c r="F1867" s="8" t="n">
        <v>34</v>
      </c>
    </row>
    <row r="1868" customFormat="false" ht="15" hidden="false" customHeight="true" outlineLevel="0" collapsed="false">
      <c r="A1868" s="8" t="s">
        <v>223</v>
      </c>
      <c r="B1868" s="8" t="s">
        <v>1227</v>
      </c>
      <c r="C1868" s="8" t="n">
        <v>9</v>
      </c>
      <c r="D1868" s="8" t="n">
        <v>153</v>
      </c>
      <c r="E1868" s="8" t="n">
        <v>2</v>
      </c>
      <c r="F1868" s="8" t="n">
        <v>34</v>
      </c>
    </row>
    <row r="1869" customFormat="false" ht="15" hidden="false" customHeight="true" outlineLevel="0" collapsed="false">
      <c r="A1869" s="8" t="s">
        <v>287</v>
      </c>
      <c r="B1869" s="8" t="s">
        <v>1227</v>
      </c>
      <c r="C1869" s="8" t="n">
        <v>1</v>
      </c>
      <c r="D1869" s="8" t="n">
        <v>17</v>
      </c>
      <c r="E1869" s="8" t="n">
        <v>0</v>
      </c>
      <c r="F1869" s="8" t="n">
        <v>0</v>
      </c>
    </row>
    <row r="1870" customFormat="false" ht="15" hidden="false" customHeight="true" outlineLevel="0" collapsed="false">
      <c r="A1870" s="8" t="s">
        <v>229</v>
      </c>
      <c r="B1870" s="8" t="s">
        <v>881</v>
      </c>
      <c r="C1870" s="8" t="n">
        <v>3</v>
      </c>
      <c r="D1870" s="8" t="n">
        <v>123.6</v>
      </c>
      <c r="E1870" s="8" t="n">
        <v>7</v>
      </c>
      <c r="F1870" s="8" t="n">
        <v>288.4</v>
      </c>
    </row>
    <row r="1871" customFormat="false" ht="15" hidden="false" customHeight="true" outlineLevel="0" collapsed="false">
      <c r="A1871" s="8" t="s">
        <v>237</v>
      </c>
      <c r="B1871" s="8" t="s">
        <v>1259</v>
      </c>
      <c r="C1871" s="8" t="n">
        <v>9</v>
      </c>
      <c r="D1871" s="8" t="n">
        <v>166.05</v>
      </c>
      <c r="E1871" s="8" t="n">
        <v>0</v>
      </c>
      <c r="F1871" s="8" t="n">
        <v>0</v>
      </c>
    </row>
    <row r="1872" customFormat="false" ht="15" hidden="false" customHeight="true" outlineLevel="0" collapsed="false">
      <c r="A1872" s="8" t="s">
        <v>271</v>
      </c>
      <c r="B1872" s="8" t="s">
        <v>1260</v>
      </c>
      <c r="C1872" s="8" t="n">
        <v>5</v>
      </c>
      <c r="D1872" s="8" t="n">
        <v>117</v>
      </c>
      <c r="E1872" s="8" t="n">
        <v>0</v>
      </c>
      <c r="F1872" s="8" t="n">
        <v>0</v>
      </c>
    </row>
    <row r="1873" customFormat="false" ht="15" hidden="false" customHeight="true" outlineLevel="0" collapsed="false">
      <c r="A1873" s="8" t="s">
        <v>266</v>
      </c>
      <c r="B1873" s="8" t="s">
        <v>1228</v>
      </c>
      <c r="C1873" s="8" t="n">
        <v>6</v>
      </c>
      <c r="D1873" s="8" t="n">
        <v>119.52</v>
      </c>
      <c r="E1873" s="8" t="n">
        <v>8</v>
      </c>
      <c r="F1873" s="8" t="n">
        <v>159.36</v>
      </c>
    </row>
    <row r="1874" customFormat="false" ht="15" hidden="false" customHeight="true" outlineLevel="0" collapsed="false">
      <c r="A1874" s="8" t="s">
        <v>246</v>
      </c>
      <c r="B1874" s="8" t="s">
        <v>1261</v>
      </c>
      <c r="C1874" s="8" t="n">
        <v>14</v>
      </c>
      <c r="D1874" s="8" t="n">
        <v>242.9</v>
      </c>
      <c r="E1874" s="8" t="n">
        <v>0</v>
      </c>
      <c r="F1874" s="8" t="n">
        <v>0</v>
      </c>
    </row>
    <row r="1875" customFormat="false" ht="15" hidden="false" customHeight="true" outlineLevel="0" collapsed="false">
      <c r="A1875" s="8" t="s">
        <v>202</v>
      </c>
      <c r="B1875" s="8" t="s">
        <v>1212</v>
      </c>
      <c r="C1875" s="8" t="n">
        <v>27</v>
      </c>
      <c r="D1875" s="8" t="n">
        <v>256.5</v>
      </c>
      <c r="E1875" s="8" t="n">
        <v>6</v>
      </c>
      <c r="F1875" s="8" t="n">
        <v>57</v>
      </c>
    </row>
    <row r="1876" customFormat="false" ht="15" hidden="false" customHeight="true" outlineLevel="0" collapsed="false">
      <c r="A1876" s="8" t="s">
        <v>244</v>
      </c>
      <c r="B1876" s="8" t="s">
        <v>1213</v>
      </c>
      <c r="C1876" s="8" t="n">
        <v>8</v>
      </c>
      <c r="D1876" s="8" t="n">
        <v>76</v>
      </c>
      <c r="E1876" s="8" t="n">
        <v>4</v>
      </c>
      <c r="F1876" s="8" t="n">
        <v>38</v>
      </c>
    </row>
    <row r="1877" customFormat="false" ht="15" hidden="false" customHeight="true" outlineLevel="0" collapsed="false">
      <c r="A1877" s="8" t="s">
        <v>243</v>
      </c>
      <c r="B1877" s="8" t="s">
        <v>1253</v>
      </c>
      <c r="C1877" s="8" t="n">
        <v>7</v>
      </c>
      <c r="D1877" s="8" t="n">
        <v>90.65</v>
      </c>
      <c r="E1877" s="8" t="n">
        <v>0</v>
      </c>
      <c r="F1877" s="8" t="n">
        <v>0</v>
      </c>
    </row>
    <row r="1878" customFormat="false" ht="15" hidden="false" customHeight="true" outlineLevel="0" collapsed="false">
      <c r="A1878" s="8" t="s">
        <v>251</v>
      </c>
      <c r="B1878" s="8" t="s">
        <v>1262</v>
      </c>
      <c r="C1878" s="8" t="n">
        <v>14</v>
      </c>
      <c r="D1878" s="8" t="n">
        <v>135.94</v>
      </c>
      <c r="E1878" s="8" t="n">
        <v>5</v>
      </c>
      <c r="F1878" s="8" t="n">
        <v>48.55</v>
      </c>
    </row>
    <row r="1879" customFormat="false" ht="15" hidden="false" customHeight="true" outlineLevel="0" collapsed="false">
      <c r="A1879" s="8" t="s">
        <v>308</v>
      </c>
      <c r="B1879" s="8" t="s">
        <v>1229</v>
      </c>
      <c r="C1879" s="8" t="n">
        <v>0</v>
      </c>
      <c r="D1879" s="8" t="n">
        <v>0</v>
      </c>
      <c r="E1879" s="8" t="n">
        <v>4</v>
      </c>
      <c r="F1879" s="8" t="n">
        <v>32.32</v>
      </c>
    </row>
    <row r="1880" customFormat="false" ht="15" hidden="false" customHeight="true" outlineLevel="0" collapsed="false">
      <c r="A1880" s="8" t="s">
        <v>172</v>
      </c>
      <c r="B1880" s="8" t="s">
        <v>1214</v>
      </c>
      <c r="C1880" s="8" t="n">
        <v>28</v>
      </c>
      <c r="D1880" s="8" t="n">
        <v>341.04</v>
      </c>
      <c r="E1880" s="8" t="n">
        <v>11</v>
      </c>
      <c r="F1880" s="8" t="n">
        <v>133.98</v>
      </c>
    </row>
    <row r="1881" customFormat="false" ht="15" hidden="false" customHeight="true" outlineLevel="0" collapsed="false">
      <c r="A1881" s="8" t="s">
        <v>242</v>
      </c>
      <c r="B1881" s="8" t="s">
        <v>1230</v>
      </c>
      <c r="C1881" s="8" t="n">
        <v>6</v>
      </c>
      <c r="D1881" s="8" t="n">
        <v>232.2</v>
      </c>
      <c r="E1881" s="8" t="n">
        <v>0</v>
      </c>
      <c r="F1881" s="8" t="n">
        <v>0</v>
      </c>
    </row>
    <row r="1882" customFormat="false" ht="15" hidden="false" customHeight="true" outlineLevel="0" collapsed="false">
      <c r="A1882" s="8" t="s">
        <v>261</v>
      </c>
      <c r="B1882" s="8" t="s">
        <v>1215</v>
      </c>
      <c r="C1882" s="8" t="n">
        <v>4</v>
      </c>
      <c r="D1882" s="8" t="n">
        <v>84.84</v>
      </c>
      <c r="E1882" s="8" t="n">
        <v>2</v>
      </c>
      <c r="F1882" s="8" t="n">
        <v>42.42</v>
      </c>
    </row>
    <row r="1883" customFormat="false" ht="15" hidden="false" customHeight="true" outlineLevel="0" collapsed="false">
      <c r="A1883" s="8" t="s">
        <v>269</v>
      </c>
      <c r="B1883" s="8" t="s">
        <v>1231</v>
      </c>
      <c r="C1883" s="8" t="n">
        <v>14</v>
      </c>
      <c r="D1883" s="8" t="n">
        <v>158.62</v>
      </c>
      <c r="E1883" s="8" t="n">
        <v>0</v>
      </c>
      <c r="F1883" s="8" t="n">
        <v>0</v>
      </c>
    </row>
    <row r="1884" customFormat="false" ht="15" hidden="false" customHeight="true" outlineLevel="0" collapsed="false">
      <c r="A1884" s="8" t="s">
        <v>213</v>
      </c>
      <c r="B1884" s="8" t="s">
        <v>1232</v>
      </c>
      <c r="C1884" s="8" t="n">
        <v>0</v>
      </c>
      <c r="D1884" s="8" t="n">
        <v>0</v>
      </c>
      <c r="E1884" s="8" t="n">
        <v>6</v>
      </c>
      <c r="F1884" s="8" t="n">
        <v>165.3</v>
      </c>
    </row>
    <row r="1885" customFormat="false" ht="15" hidden="false" customHeight="true" outlineLevel="0" collapsed="false">
      <c r="A1885" s="8" t="s">
        <v>288</v>
      </c>
      <c r="B1885" s="8" t="s">
        <v>939</v>
      </c>
      <c r="C1885" s="8" t="n">
        <v>9</v>
      </c>
      <c r="D1885" s="8" t="n">
        <v>182.16</v>
      </c>
      <c r="E1885" s="8" t="n">
        <v>6</v>
      </c>
      <c r="F1885" s="8" t="n">
        <v>121.44</v>
      </c>
    </row>
    <row r="1886" customFormat="false" ht="15" hidden="false" customHeight="true" outlineLevel="0" collapsed="false">
      <c r="A1886" s="8" t="s">
        <v>281</v>
      </c>
      <c r="B1886" s="8" t="s">
        <v>1254</v>
      </c>
      <c r="C1886" s="8" t="n">
        <v>0</v>
      </c>
      <c r="D1886" s="8" t="n">
        <v>0</v>
      </c>
      <c r="E1886" s="8" t="n">
        <v>6</v>
      </c>
      <c r="F1886" s="8" t="n">
        <v>83.04</v>
      </c>
    </row>
    <row r="1887" customFormat="false" ht="15" hidden="false" customHeight="true" outlineLevel="0" collapsed="false">
      <c r="A1887" s="8" t="s">
        <v>232</v>
      </c>
      <c r="B1887" s="8" t="s">
        <v>1233</v>
      </c>
      <c r="C1887" s="8" t="n">
        <v>19</v>
      </c>
      <c r="D1887" s="8" t="n">
        <v>307.8</v>
      </c>
      <c r="E1887" s="8" t="n">
        <v>5</v>
      </c>
      <c r="F1887" s="8" t="n">
        <v>81</v>
      </c>
    </row>
    <row r="1888" customFormat="false" ht="15" hidden="false" customHeight="true" outlineLevel="0" collapsed="false">
      <c r="A1888" s="8" t="s">
        <v>215</v>
      </c>
      <c r="B1888" s="8" t="s">
        <v>1233</v>
      </c>
      <c r="C1888" s="8" t="n">
        <v>10</v>
      </c>
      <c r="D1888" s="8" t="n">
        <v>178.2</v>
      </c>
      <c r="E1888" s="8" t="n">
        <v>0</v>
      </c>
      <c r="F1888" s="8" t="n">
        <v>0</v>
      </c>
    </row>
    <row r="1889" customFormat="false" ht="15" hidden="false" customHeight="true" outlineLevel="0" collapsed="false">
      <c r="A1889" s="8" t="s">
        <v>255</v>
      </c>
      <c r="B1889" s="8" t="s">
        <v>1273</v>
      </c>
      <c r="C1889" s="8" t="n">
        <v>9</v>
      </c>
      <c r="D1889" s="8" t="n">
        <v>73.8</v>
      </c>
      <c r="E1889" s="8" t="n">
        <v>20</v>
      </c>
      <c r="F1889" s="8" t="n">
        <v>164</v>
      </c>
    </row>
    <row r="1890" customFormat="false" ht="15" hidden="false" customHeight="true" outlineLevel="0" collapsed="false">
      <c r="A1890" s="8" t="s">
        <v>194</v>
      </c>
      <c r="B1890" s="8" t="s">
        <v>1239</v>
      </c>
      <c r="C1890" s="8" t="n">
        <v>24</v>
      </c>
      <c r="D1890" s="8" t="n">
        <v>235.68</v>
      </c>
      <c r="E1890" s="8" t="n">
        <v>16</v>
      </c>
      <c r="F1890" s="8" t="n">
        <v>157.12</v>
      </c>
    </row>
    <row r="1891" customFormat="false" ht="15" hidden="false" customHeight="true" outlineLevel="0" collapsed="false">
      <c r="A1891" s="8" t="s">
        <v>279</v>
      </c>
      <c r="B1891" s="8" t="s">
        <v>1274</v>
      </c>
      <c r="C1891" s="8" t="n">
        <v>6</v>
      </c>
      <c r="D1891" s="8" t="n">
        <v>58.92</v>
      </c>
      <c r="E1891" s="8" t="n">
        <v>0</v>
      </c>
      <c r="F1891" s="8" t="n">
        <v>0</v>
      </c>
    </row>
    <row r="1892" customFormat="false" ht="15" hidden="false" customHeight="true" outlineLevel="0" collapsed="false">
      <c r="A1892" s="8" t="s">
        <v>299</v>
      </c>
      <c r="B1892" s="8" t="s">
        <v>1263</v>
      </c>
      <c r="C1892" s="8" t="n">
        <v>3</v>
      </c>
      <c r="D1892" s="8" t="n">
        <v>160.59</v>
      </c>
      <c r="E1892" s="8" t="n">
        <v>0</v>
      </c>
      <c r="F1892" s="8" t="n">
        <v>0</v>
      </c>
    </row>
    <row r="1893" customFormat="false" ht="15" hidden="false" customHeight="true" outlineLevel="0" collapsed="false">
      <c r="A1893" s="8" t="s">
        <v>265</v>
      </c>
      <c r="B1893" s="8" t="s">
        <v>621</v>
      </c>
      <c r="C1893" s="8" t="n">
        <v>7</v>
      </c>
      <c r="D1893" s="8" t="n">
        <v>294</v>
      </c>
      <c r="E1893" s="8" t="n">
        <v>0</v>
      </c>
      <c r="F1893" s="8" t="n">
        <v>0</v>
      </c>
    </row>
    <row r="1894" customFormat="false" ht="15" hidden="false" customHeight="true" outlineLevel="0" collapsed="false">
      <c r="A1894" s="8" t="s">
        <v>276</v>
      </c>
      <c r="B1894" s="8" t="s">
        <v>621</v>
      </c>
      <c r="C1894" s="8" t="n">
        <v>7</v>
      </c>
      <c r="D1894" s="8" t="n">
        <v>294</v>
      </c>
      <c r="E1894" s="8" t="n">
        <v>0</v>
      </c>
      <c r="F1894" s="8" t="n">
        <v>0</v>
      </c>
    </row>
    <row r="1895" customFormat="false" ht="15" hidden="false" customHeight="true" outlineLevel="0" collapsed="false">
      <c r="A1895" s="8" t="s">
        <v>326</v>
      </c>
      <c r="B1895" s="8" t="s">
        <v>1281</v>
      </c>
      <c r="C1895" s="8" t="n">
        <v>3</v>
      </c>
      <c r="D1895" s="8" t="n">
        <v>70.8</v>
      </c>
      <c r="E1895" s="8" t="n">
        <v>0</v>
      </c>
      <c r="F1895" s="8" t="n">
        <v>0</v>
      </c>
    </row>
    <row r="1896" customFormat="false" ht="15" hidden="false" customHeight="true" outlineLevel="0" collapsed="false">
      <c r="A1896" s="8" t="s">
        <v>331</v>
      </c>
      <c r="B1896" s="8" t="s">
        <v>1255</v>
      </c>
      <c r="C1896" s="8" t="n">
        <v>3</v>
      </c>
      <c r="D1896" s="8" t="n">
        <v>70.8</v>
      </c>
      <c r="E1896" s="8" t="n">
        <v>0</v>
      </c>
      <c r="F1896" s="8" t="n">
        <v>0</v>
      </c>
    </row>
    <row r="1897" customFormat="false" ht="15" hidden="false" customHeight="true" outlineLevel="0" collapsed="false">
      <c r="A1897" s="8" t="s">
        <v>285</v>
      </c>
      <c r="B1897" s="8" t="s">
        <v>1237</v>
      </c>
      <c r="C1897" s="8" t="n">
        <v>2</v>
      </c>
      <c r="D1897" s="8" t="n">
        <v>36.8</v>
      </c>
      <c r="E1897" s="8" t="n">
        <v>0</v>
      </c>
      <c r="F1897" s="8" t="n">
        <v>0</v>
      </c>
    </row>
    <row r="1898" customFormat="false" ht="15" hidden="false" customHeight="true" outlineLevel="0" collapsed="false">
      <c r="A1898" s="8" t="s">
        <v>225</v>
      </c>
      <c r="B1898" s="8" t="s">
        <v>1237</v>
      </c>
      <c r="C1898" s="8" t="n">
        <v>3</v>
      </c>
      <c r="D1898" s="8" t="n">
        <v>55.2</v>
      </c>
      <c r="E1898" s="8" t="n">
        <v>0</v>
      </c>
      <c r="F1898" s="8" t="n">
        <v>0</v>
      </c>
    </row>
    <row r="1899" customFormat="false" ht="15" hidden="false" customHeight="true" outlineLevel="0" collapsed="false">
      <c r="A1899" s="8" t="s">
        <v>217</v>
      </c>
      <c r="B1899" s="8" t="s">
        <v>1237</v>
      </c>
      <c r="C1899" s="8" t="n">
        <v>0</v>
      </c>
      <c r="D1899" s="8" t="n">
        <v>0</v>
      </c>
      <c r="E1899" s="8" t="n">
        <v>3</v>
      </c>
      <c r="F1899" s="8" t="n">
        <v>55.2</v>
      </c>
    </row>
    <row r="1900" customFormat="false" ht="15" hidden="false" customHeight="true" outlineLevel="0" collapsed="false">
      <c r="A1900" s="8" t="s">
        <v>322</v>
      </c>
      <c r="B1900" s="8" t="s">
        <v>1264</v>
      </c>
      <c r="C1900" s="8" t="n">
        <v>0</v>
      </c>
      <c r="D1900" s="8" t="n">
        <v>0</v>
      </c>
      <c r="E1900" s="8" t="n">
        <v>3</v>
      </c>
      <c r="F1900" s="8" t="n">
        <v>55.2</v>
      </c>
    </row>
    <row r="1901" customFormat="false" ht="15" hidden="false" customHeight="true" outlineLevel="0" collapsed="false">
      <c r="A1901" s="8" t="s">
        <v>168</v>
      </c>
      <c r="B1901" s="8" t="s">
        <v>1240</v>
      </c>
      <c r="C1901" s="8" t="n">
        <v>3</v>
      </c>
      <c r="D1901" s="8" t="n">
        <v>125.43</v>
      </c>
      <c r="E1901" s="8" t="n">
        <v>0</v>
      </c>
      <c r="F1901" s="8" t="n">
        <v>0</v>
      </c>
    </row>
    <row r="1902" customFormat="false" ht="15" hidden="false" customHeight="true" outlineLevel="0" collapsed="false">
      <c r="A1902" s="8" t="s">
        <v>169</v>
      </c>
      <c r="B1902" s="8" t="s">
        <v>1240</v>
      </c>
      <c r="C1902" s="8" t="n">
        <v>6</v>
      </c>
      <c r="D1902" s="8" t="n">
        <v>250.86</v>
      </c>
      <c r="E1902" s="8" t="n">
        <v>0</v>
      </c>
      <c r="F1902" s="8" t="n">
        <v>0</v>
      </c>
    </row>
    <row r="1903" customFormat="false" ht="15" hidden="false" customHeight="true" outlineLevel="0" collapsed="false">
      <c r="A1903" s="8" t="s">
        <v>180</v>
      </c>
      <c r="B1903" s="8" t="s">
        <v>1216</v>
      </c>
      <c r="C1903" s="8" t="n">
        <v>14</v>
      </c>
      <c r="D1903" s="8" t="n">
        <v>231</v>
      </c>
      <c r="E1903" s="8" t="n">
        <v>10</v>
      </c>
      <c r="F1903" s="8" t="n">
        <v>165</v>
      </c>
    </row>
    <row r="1904" customFormat="false" ht="15" hidden="false" customHeight="true" outlineLevel="0" collapsed="false">
      <c r="A1904" s="8" t="s">
        <v>189</v>
      </c>
      <c r="B1904" s="8" t="s">
        <v>1216</v>
      </c>
      <c r="C1904" s="8" t="n">
        <v>6</v>
      </c>
      <c r="D1904" s="8" t="n">
        <v>99</v>
      </c>
      <c r="E1904" s="8" t="n">
        <v>5</v>
      </c>
      <c r="F1904" s="8" t="n">
        <v>82.5</v>
      </c>
    </row>
    <row r="1905" customFormat="false" ht="15" hidden="false" customHeight="true" outlineLevel="0" collapsed="false">
      <c r="A1905" s="8" t="s">
        <v>267</v>
      </c>
      <c r="B1905" s="8" t="s">
        <v>1216</v>
      </c>
      <c r="C1905" s="8" t="n">
        <v>0</v>
      </c>
      <c r="D1905" s="8" t="n">
        <v>0</v>
      </c>
      <c r="E1905" s="8" t="n">
        <v>4</v>
      </c>
      <c r="F1905" s="8" t="n">
        <v>66</v>
      </c>
    </row>
    <row r="1906" customFormat="false" ht="15" hidden="false" customHeight="true" outlineLevel="0" collapsed="false">
      <c r="A1906" s="8" t="s">
        <v>199</v>
      </c>
      <c r="B1906" s="8" t="s">
        <v>1216</v>
      </c>
      <c r="C1906" s="8" t="n">
        <v>10</v>
      </c>
      <c r="D1906" s="8" t="n">
        <v>165</v>
      </c>
      <c r="E1906" s="8" t="n">
        <v>4</v>
      </c>
      <c r="F1906" s="8" t="n">
        <v>66</v>
      </c>
    </row>
    <row r="1907" customFormat="false" ht="15" hidden="false" customHeight="true" outlineLevel="0" collapsed="false">
      <c r="A1907" s="8" t="s">
        <v>250</v>
      </c>
      <c r="B1907" s="8" t="s">
        <v>1216</v>
      </c>
      <c r="C1907" s="8" t="n">
        <v>1</v>
      </c>
      <c r="D1907" s="8" t="n">
        <v>16.5</v>
      </c>
      <c r="E1907" s="8" t="n">
        <v>1</v>
      </c>
      <c r="F1907" s="8" t="n">
        <v>16.5</v>
      </c>
    </row>
    <row r="1908" customFormat="false" ht="15" hidden="false" customHeight="true" outlineLevel="0" collapsed="false">
      <c r="A1908" s="8" t="s">
        <v>198</v>
      </c>
      <c r="B1908" s="8" t="s">
        <v>1217</v>
      </c>
      <c r="C1908" s="8" t="n">
        <v>5</v>
      </c>
      <c r="D1908" s="8" t="n">
        <v>102.5</v>
      </c>
      <c r="E1908" s="8" t="n">
        <v>5</v>
      </c>
      <c r="F1908" s="8" t="n">
        <v>102.5</v>
      </c>
    </row>
    <row r="1909" customFormat="false" ht="15" hidden="false" customHeight="true" outlineLevel="0" collapsed="false">
      <c r="A1909" s="8" t="s">
        <v>193</v>
      </c>
      <c r="B1909" s="8" t="s">
        <v>1217</v>
      </c>
      <c r="C1909" s="8" t="n">
        <v>2</v>
      </c>
      <c r="D1909" s="8" t="n">
        <v>41</v>
      </c>
      <c r="E1909" s="8" t="n">
        <v>5</v>
      </c>
      <c r="F1909" s="8" t="n">
        <v>102.5</v>
      </c>
    </row>
    <row r="1910" customFormat="false" ht="15" hidden="false" customHeight="true" outlineLevel="0" collapsed="false">
      <c r="A1910" s="8" t="s">
        <v>302</v>
      </c>
      <c r="B1910" s="8" t="s">
        <v>1217</v>
      </c>
      <c r="C1910" s="8" t="n">
        <v>1</v>
      </c>
      <c r="D1910" s="8" t="n">
        <v>20.5</v>
      </c>
      <c r="E1910" s="8" t="n">
        <v>1</v>
      </c>
      <c r="F1910" s="8" t="n">
        <v>20.5</v>
      </c>
    </row>
    <row r="1911" customFormat="false" ht="15" hidden="false" customHeight="true" outlineLevel="0" collapsed="false">
      <c r="A1911" s="8" t="s">
        <v>205</v>
      </c>
      <c r="B1911" s="8" t="s">
        <v>1217</v>
      </c>
      <c r="C1911" s="8" t="n">
        <v>10</v>
      </c>
      <c r="D1911" s="8" t="n">
        <v>205</v>
      </c>
      <c r="E1911" s="8" t="n">
        <v>4</v>
      </c>
      <c r="F1911" s="8" t="n">
        <v>82</v>
      </c>
    </row>
    <row r="1912" customFormat="false" ht="15" hidden="false" customHeight="true" outlineLevel="0" collapsed="false">
      <c r="A1912" s="8" t="s">
        <v>256</v>
      </c>
      <c r="B1912" s="8" t="s">
        <v>1217</v>
      </c>
      <c r="C1912" s="8" t="n">
        <v>5</v>
      </c>
      <c r="D1912" s="8" t="n">
        <v>102.5</v>
      </c>
      <c r="E1912" s="8" t="n">
        <v>6</v>
      </c>
      <c r="F1912" s="8" t="n">
        <v>123</v>
      </c>
    </row>
    <row r="1913" customFormat="false" ht="15" hidden="false" customHeight="true" outlineLevel="0" collapsed="false">
      <c r="A1913" s="8" t="s">
        <v>228</v>
      </c>
      <c r="B1913" s="8" t="s">
        <v>1275</v>
      </c>
      <c r="C1913" s="8" t="n">
        <v>5</v>
      </c>
      <c r="D1913" s="8" t="n">
        <v>71.25</v>
      </c>
      <c r="E1913" s="8" t="n">
        <v>0</v>
      </c>
      <c r="F1913" s="8" t="n">
        <v>0</v>
      </c>
    </row>
    <row r="1914" customFormat="false" ht="15" hidden="false" customHeight="true" outlineLevel="0" collapsed="false">
      <c r="A1914" s="8" t="s">
        <v>95</v>
      </c>
      <c r="B1914" s="8" t="s">
        <v>1247</v>
      </c>
      <c r="C1914" s="8" t="n">
        <v>6</v>
      </c>
      <c r="D1914" s="8" t="n">
        <v>150</v>
      </c>
      <c r="E1914" s="8" t="n">
        <v>0</v>
      </c>
      <c r="F1914" s="8" t="n">
        <v>0</v>
      </c>
    </row>
    <row r="1915" customFormat="false" ht="15" hidden="false" customHeight="true" outlineLevel="0" collapsed="false">
      <c r="A1915" s="8" t="s">
        <v>99</v>
      </c>
      <c r="B1915" s="8" t="s">
        <v>1247</v>
      </c>
      <c r="C1915" s="8" t="n">
        <v>3</v>
      </c>
      <c r="D1915" s="8" t="n">
        <v>75</v>
      </c>
      <c r="E1915" s="8" t="n">
        <v>7</v>
      </c>
      <c r="F1915" s="8" t="n">
        <v>175</v>
      </c>
    </row>
    <row r="1916" customFormat="false" ht="15" hidden="false" customHeight="true" outlineLevel="0" collapsed="false">
      <c r="A1916" s="8" t="s">
        <v>120</v>
      </c>
      <c r="B1916" s="8" t="s">
        <v>1247</v>
      </c>
      <c r="C1916" s="8" t="n">
        <v>3</v>
      </c>
      <c r="D1916" s="8" t="n">
        <v>75</v>
      </c>
      <c r="E1916" s="8" t="n">
        <v>0</v>
      </c>
      <c r="F1916" s="8" t="n">
        <v>0</v>
      </c>
    </row>
    <row r="1917" customFormat="false" ht="15" hidden="false" customHeight="true" outlineLevel="0" collapsed="false">
      <c r="A1917" s="8" t="s">
        <v>361</v>
      </c>
      <c r="B1917" s="8" t="s">
        <v>1247</v>
      </c>
      <c r="C1917" s="8" t="n">
        <v>0</v>
      </c>
      <c r="D1917" s="8" t="n">
        <v>0</v>
      </c>
      <c r="E1917" s="8" t="n">
        <v>3</v>
      </c>
      <c r="F1917" s="8" t="n">
        <v>188.91</v>
      </c>
    </row>
    <row r="1918" customFormat="false" ht="15" hidden="false" customHeight="true" outlineLevel="0" collapsed="false">
      <c r="A1918" s="8" t="s">
        <v>257</v>
      </c>
      <c r="B1918" s="8" t="s">
        <v>1284</v>
      </c>
      <c r="C1918" s="8" t="n">
        <v>2</v>
      </c>
      <c r="D1918" s="8" t="n">
        <v>64.86</v>
      </c>
      <c r="E1918" s="8" t="n">
        <v>3</v>
      </c>
      <c r="F1918" s="8" t="n">
        <v>97.29</v>
      </c>
    </row>
    <row r="1919" customFormat="false" ht="15" hidden="false" customHeight="true" outlineLevel="0" collapsed="false">
      <c r="A1919" s="8" t="s">
        <v>178</v>
      </c>
      <c r="B1919" s="8" t="s">
        <v>1236</v>
      </c>
      <c r="C1919" s="8" t="n">
        <v>4</v>
      </c>
      <c r="D1919" s="8" t="n">
        <v>140</v>
      </c>
      <c r="E1919" s="8" t="n">
        <v>3</v>
      </c>
      <c r="F1919" s="8" t="n">
        <v>105</v>
      </c>
    </row>
    <row r="1920" customFormat="false" ht="15" hidden="false" customHeight="true" outlineLevel="0" collapsed="false">
      <c r="A1920" s="8" t="s">
        <v>176</v>
      </c>
      <c r="B1920" s="8" t="s">
        <v>1236</v>
      </c>
      <c r="C1920" s="8" t="n">
        <v>5</v>
      </c>
      <c r="D1920" s="8" t="n">
        <v>175</v>
      </c>
      <c r="E1920" s="8" t="n">
        <v>0</v>
      </c>
      <c r="F1920" s="8" t="n">
        <v>0</v>
      </c>
    </row>
    <row r="1921" customFormat="false" ht="15" hidden="false" customHeight="true" outlineLevel="0" collapsed="false">
      <c r="A1921" s="8" t="s">
        <v>235</v>
      </c>
      <c r="B1921" s="8" t="s">
        <v>1236</v>
      </c>
      <c r="C1921" s="8" t="n">
        <v>6</v>
      </c>
      <c r="D1921" s="8" t="n">
        <v>210</v>
      </c>
      <c r="E1921" s="8" t="n">
        <v>3</v>
      </c>
      <c r="F1921" s="8" t="n">
        <v>105</v>
      </c>
    </row>
    <row r="1922" customFormat="false" ht="15" hidden="false" customHeight="true" outlineLevel="0" collapsed="false">
      <c r="A1922" s="8" t="s">
        <v>224</v>
      </c>
      <c r="B1922" s="8" t="s">
        <v>1236</v>
      </c>
      <c r="C1922" s="8" t="n">
        <v>2</v>
      </c>
      <c r="D1922" s="8" t="n">
        <v>70</v>
      </c>
      <c r="E1922" s="8" t="n">
        <v>3</v>
      </c>
      <c r="F1922" s="8" t="n">
        <v>105</v>
      </c>
    </row>
    <row r="1923" customFormat="false" ht="15" hidden="false" customHeight="true" outlineLevel="0" collapsed="false">
      <c r="A1923" s="8" t="s">
        <v>179</v>
      </c>
      <c r="B1923" s="8" t="s">
        <v>1218</v>
      </c>
      <c r="C1923" s="8" t="n">
        <v>4</v>
      </c>
      <c r="D1923" s="8" t="n">
        <v>506</v>
      </c>
      <c r="E1923" s="8" t="n">
        <v>0</v>
      </c>
      <c r="F1923" s="8" t="n">
        <v>0</v>
      </c>
    </row>
    <row r="1924" customFormat="false" ht="15" hidden="false" customHeight="true" outlineLevel="0" collapsed="false">
      <c r="A1924" s="8" t="s">
        <v>185</v>
      </c>
      <c r="B1924" s="8" t="s">
        <v>1218</v>
      </c>
      <c r="C1924" s="8" t="n">
        <v>0</v>
      </c>
      <c r="D1924" s="8" t="n">
        <v>0</v>
      </c>
      <c r="E1924" s="8" t="n">
        <v>2</v>
      </c>
      <c r="F1924" s="8" t="n">
        <v>253</v>
      </c>
    </row>
    <row r="1925" customFormat="false" ht="15" hidden="false" customHeight="true" outlineLevel="0" collapsed="false">
      <c r="A1925" s="8" t="s">
        <v>195</v>
      </c>
      <c r="B1925" s="8" t="s">
        <v>1218</v>
      </c>
      <c r="C1925" s="8" t="n">
        <v>2</v>
      </c>
      <c r="D1925" s="8" t="n">
        <v>253</v>
      </c>
      <c r="E1925" s="8" t="n">
        <v>0</v>
      </c>
      <c r="F1925" s="8" t="n">
        <v>0</v>
      </c>
    </row>
    <row r="1926" customFormat="false" ht="15" hidden="false" customHeight="true" outlineLevel="0" collapsed="false">
      <c r="A1926" s="8" t="s">
        <v>240</v>
      </c>
      <c r="B1926" s="8" t="s">
        <v>769</v>
      </c>
      <c r="C1926" s="8" t="n">
        <v>0</v>
      </c>
      <c r="D1926" s="8" t="n">
        <v>0</v>
      </c>
      <c r="E1926" s="8" t="n">
        <v>2</v>
      </c>
      <c r="F1926" s="8" t="n">
        <v>34</v>
      </c>
    </row>
    <row r="1927" customFormat="false" ht="15" hidden="false" customHeight="true" outlineLevel="0" collapsed="false">
      <c r="A1927" s="8" t="s">
        <v>234</v>
      </c>
      <c r="B1927" s="8" t="s">
        <v>769</v>
      </c>
      <c r="C1927" s="8" t="n">
        <v>2</v>
      </c>
      <c r="D1927" s="8" t="n">
        <v>34</v>
      </c>
      <c r="E1927" s="8" t="n">
        <v>0</v>
      </c>
      <c r="F1927" s="8" t="n">
        <v>0</v>
      </c>
    </row>
    <row r="1928" customFormat="false" ht="15" hidden="false" customHeight="true" outlineLevel="0" collapsed="false">
      <c r="A1928" s="8" t="s">
        <v>300</v>
      </c>
      <c r="B1928" s="8" t="s">
        <v>769</v>
      </c>
      <c r="C1928" s="8" t="n">
        <v>5</v>
      </c>
      <c r="D1928" s="8" t="n">
        <v>85</v>
      </c>
      <c r="E1928" s="8" t="n">
        <v>0</v>
      </c>
      <c r="F1928" s="8" t="n">
        <v>0</v>
      </c>
    </row>
    <row r="1929" customFormat="false" ht="15" hidden="false" customHeight="true" outlineLevel="0" collapsed="false">
      <c r="A1929" s="8" t="s">
        <v>182</v>
      </c>
      <c r="B1929" s="8" t="s">
        <v>799</v>
      </c>
      <c r="C1929" s="8" t="n">
        <v>10</v>
      </c>
      <c r="D1929" s="8" t="n">
        <v>200</v>
      </c>
      <c r="E1929" s="8" t="n">
        <v>0</v>
      </c>
      <c r="F1929" s="8" t="n">
        <v>0</v>
      </c>
    </row>
    <row r="1930" customFormat="false" ht="15" hidden="false" customHeight="true" outlineLevel="0" collapsed="false">
      <c r="A1930" s="8" t="s">
        <v>274</v>
      </c>
      <c r="B1930" s="8" t="s">
        <v>1219</v>
      </c>
      <c r="C1930" s="8" t="n">
        <v>12</v>
      </c>
      <c r="D1930" s="8" t="n">
        <v>104.76</v>
      </c>
      <c r="E1930" s="8" t="n">
        <v>12</v>
      </c>
      <c r="F1930" s="8" t="n">
        <v>104.76</v>
      </c>
    </row>
    <row r="1931" customFormat="false" ht="15" hidden="false" customHeight="true" outlineLevel="0" collapsed="false">
      <c r="A1931" s="8" t="s">
        <v>170</v>
      </c>
      <c r="B1931" s="8" t="s">
        <v>1220</v>
      </c>
      <c r="C1931" s="8" t="n">
        <v>18</v>
      </c>
      <c r="D1931" s="8" t="n">
        <v>266.4</v>
      </c>
      <c r="E1931" s="8" t="n">
        <v>0</v>
      </c>
      <c r="F1931" s="8" t="n">
        <v>0</v>
      </c>
    </row>
    <row r="1932" customFormat="false" ht="15" hidden="false" customHeight="true" outlineLevel="0" collapsed="false">
      <c r="A1932" s="8" t="s">
        <v>167</v>
      </c>
      <c r="B1932" s="8" t="s">
        <v>1238</v>
      </c>
      <c r="C1932" s="8" t="n">
        <v>22</v>
      </c>
      <c r="D1932" s="8" t="n">
        <v>294.8</v>
      </c>
      <c r="E1932" s="8" t="n">
        <v>15</v>
      </c>
      <c r="F1932" s="8" t="n">
        <v>201</v>
      </c>
    </row>
    <row r="1933" customFormat="false" ht="15" hidden="false" customHeight="true" outlineLevel="0" collapsed="false">
      <c r="A1933" s="8" t="s">
        <v>334</v>
      </c>
      <c r="B1933" s="8" t="s">
        <v>1276</v>
      </c>
      <c r="C1933" s="8" t="n">
        <v>6</v>
      </c>
      <c r="D1933" s="8" t="n">
        <v>97.2</v>
      </c>
      <c r="E1933" s="8" t="n">
        <v>0</v>
      </c>
      <c r="F1933" s="8" t="n">
        <v>0</v>
      </c>
    </row>
    <row r="1934" customFormat="false" ht="15" hidden="false" customHeight="true" outlineLevel="0" collapsed="false">
      <c r="A1934" s="8" t="s">
        <v>323</v>
      </c>
      <c r="B1934" s="8" t="s">
        <v>875</v>
      </c>
      <c r="C1934" s="8" t="n">
        <v>0</v>
      </c>
      <c r="D1934" s="8" t="n">
        <v>0</v>
      </c>
      <c r="E1934" s="8" t="n">
        <v>6</v>
      </c>
      <c r="F1934" s="8" t="n">
        <v>95.46</v>
      </c>
    </row>
    <row r="1935" customFormat="false" ht="15" hidden="false" customHeight="true" outlineLevel="0" collapsed="false">
      <c r="A1935" s="8" t="s">
        <v>294</v>
      </c>
      <c r="B1935" s="8" t="s">
        <v>1289</v>
      </c>
      <c r="C1935" s="8" t="n">
        <v>6</v>
      </c>
      <c r="D1935" s="8" t="n">
        <v>86.7</v>
      </c>
      <c r="E1935" s="8" t="n">
        <v>1</v>
      </c>
      <c r="F1935" s="8" t="n">
        <v>14.45</v>
      </c>
    </row>
    <row r="1936" customFormat="false" ht="15" hidden="false" customHeight="true" outlineLevel="0" collapsed="false">
      <c r="A1936" s="8" t="s">
        <v>315</v>
      </c>
      <c r="B1936" s="8" t="s">
        <v>1266</v>
      </c>
      <c r="C1936" s="8" t="n">
        <v>6</v>
      </c>
      <c r="D1936" s="8" t="n">
        <v>95.46</v>
      </c>
      <c r="E1936" s="8" t="n">
        <v>0</v>
      </c>
      <c r="F1936" s="8" t="n">
        <v>0</v>
      </c>
    </row>
    <row r="1937" customFormat="false" ht="15" hidden="false" customHeight="true" outlineLevel="0" collapsed="false">
      <c r="A1937" s="8" t="s">
        <v>220</v>
      </c>
      <c r="B1937" s="8" t="s">
        <v>1248</v>
      </c>
      <c r="C1937" s="8" t="n">
        <v>12</v>
      </c>
      <c r="D1937" s="8" t="n">
        <v>124.8</v>
      </c>
      <c r="E1937" s="8" t="n">
        <v>0</v>
      </c>
      <c r="F1937" s="8" t="n">
        <v>0</v>
      </c>
    </row>
    <row r="1938" customFormat="false" ht="15" hidden="false" customHeight="true" outlineLevel="0" collapsed="false">
      <c r="A1938" s="8" t="s">
        <v>275</v>
      </c>
      <c r="B1938" s="8" t="s">
        <v>1257</v>
      </c>
      <c r="C1938" s="8" t="n">
        <v>3</v>
      </c>
      <c r="D1938" s="8" t="n">
        <v>64.8</v>
      </c>
      <c r="E1938" s="8" t="n">
        <v>0</v>
      </c>
      <c r="F1938" s="8" t="n">
        <v>0</v>
      </c>
    </row>
    <row r="1939" customFormat="false" ht="15" hidden="false" customHeight="true" outlineLevel="0" collapsed="false">
      <c r="A1939" s="8" t="s">
        <v>233</v>
      </c>
      <c r="B1939" s="8" t="s">
        <v>1249</v>
      </c>
      <c r="C1939" s="8" t="n">
        <v>0</v>
      </c>
      <c r="D1939" s="8" t="n">
        <v>0</v>
      </c>
      <c r="E1939" s="8" t="n">
        <v>3</v>
      </c>
      <c r="F1939" s="8" t="n">
        <v>53.85</v>
      </c>
    </row>
    <row r="1940" customFormat="false" ht="15" hidden="false" customHeight="true" outlineLevel="0" collapsed="false">
      <c r="A1940" s="8" t="s">
        <v>258</v>
      </c>
      <c r="B1940" s="8" t="s">
        <v>562</v>
      </c>
      <c r="C1940" s="8" t="n">
        <v>6</v>
      </c>
      <c r="D1940" s="8" t="n">
        <v>216</v>
      </c>
      <c r="E1940" s="8" t="n">
        <v>0</v>
      </c>
      <c r="F1940" s="8" t="n">
        <v>0</v>
      </c>
    </row>
    <row r="1941" customFormat="false" ht="15" hidden="false" customHeight="true" outlineLevel="0" collapsed="false">
      <c r="A1941" s="8" t="s">
        <v>252</v>
      </c>
      <c r="B1941" s="8" t="s">
        <v>1177</v>
      </c>
      <c r="C1941" s="8" t="n">
        <v>5</v>
      </c>
      <c r="D1941" s="8" t="n">
        <v>83</v>
      </c>
      <c r="E1941" s="8" t="n">
        <v>2</v>
      </c>
      <c r="F1941" s="8" t="n">
        <v>33.2</v>
      </c>
    </row>
    <row r="1942" customFormat="false" ht="15" hidden="false" customHeight="true" outlineLevel="0" collapsed="false">
      <c r="A1942" s="8" t="s">
        <v>203</v>
      </c>
      <c r="B1942" s="8" t="s">
        <v>1177</v>
      </c>
      <c r="C1942" s="8" t="n">
        <v>8</v>
      </c>
      <c r="D1942" s="8" t="n">
        <v>148</v>
      </c>
      <c r="E1942" s="8" t="n">
        <v>12</v>
      </c>
      <c r="F1942" s="8" t="n">
        <v>222</v>
      </c>
    </row>
    <row r="1943" customFormat="false" ht="15" hidden="false" customHeight="true" outlineLevel="0" collapsed="false">
      <c r="A1943" s="8" t="s">
        <v>211</v>
      </c>
      <c r="B1943" s="8" t="s">
        <v>1250</v>
      </c>
      <c r="C1943" s="8" t="n">
        <v>5</v>
      </c>
      <c r="D1943" s="8" t="n">
        <v>125</v>
      </c>
      <c r="E1943" s="8" t="n">
        <v>0</v>
      </c>
      <c r="F1943" s="8" t="n">
        <v>0</v>
      </c>
    </row>
    <row r="1944" customFormat="false" ht="15" hidden="false" customHeight="true" outlineLevel="0" collapsed="false">
      <c r="A1944" s="8" t="s">
        <v>248</v>
      </c>
      <c r="B1944" s="8" t="s">
        <v>1242</v>
      </c>
      <c r="C1944" s="8" t="n">
        <v>11</v>
      </c>
      <c r="D1944" s="8" t="n">
        <v>231</v>
      </c>
      <c r="E1944" s="8" t="n">
        <v>0</v>
      </c>
      <c r="F1944" s="8" t="n">
        <v>0</v>
      </c>
    </row>
    <row r="1945" customFormat="false" ht="15" hidden="false" customHeight="true" outlineLevel="0" collapsed="false">
      <c r="A1945" s="8" t="s">
        <v>196</v>
      </c>
      <c r="B1945" s="8" t="s">
        <v>1243</v>
      </c>
      <c r="C1945" s="8" t="n">
        <v>3</v>
      </c>
      <c r="D1945" s="8" t="n">
        <v>160.5</v>
      </c>
      <c r="E1945" s="8" t="n">
        <v>0</v>
      </c>
      <c r="F1945" s="8" t="n">
        <v>0</v>
      </c>
    </row>
    <row r="1946" customFormat="false" ht="15" hidden="false" customHeight="true" outlineLevel="0" collapsed="false">
      <c r="A1946" s="8" t="s">
        <v>212</v>
      </c>
      <c r="B1946" s="8" t="s">
        <v>1278</v>
      </c>
      <c r="C1946" s="8" t="n">
        <v>4</v>
      </c>
      <c r="D1946" s="8" t="n">
        <v>374</v>
      </c>
      <c r="E1946" s="8" t="n">
        <v>0</v>
      </c>
      <c r="F1946" s="8" t="n">
        <v>0</v>
      </c>
    </row>
    <row r="1947" customFormat="false" ht="15" hidden="false" customHeight="true" outlineLevel="0" collapsed="false">
      <c r="A1947" s="8" t="s">
        <v>312</v>
      </c>
      <c r="B1947" s="8" t="s">
        <v>767</v>
      </c>
      <c r="C1947" s="8" t="n">
        <v>3</v>
      </c>
      <c r="D1947" s="8" t="n">
        <v>61.5</v>
      </c>
      <c r="E1947" s="8" t="n">
        <v>0</v>
      </c>
      <c r="F1947" s="8" t="n">
        <v>0</v>
      </c>
    </row>
    <row r="1948" customFormat="false" ht="15" hidden="false" customHeight="true" outlineLevel="0" collapsed="false">
      <c r="A1948" s="8" t="s">
        <v>226</v>
      </c>
      <c r="B1948" s="8" t="s">
        <v>566</v>
      </c>
      <c r="C1948" s="8" t="n">
        <v>6</v>
      </c>
      <c r="D1948" s="8" t="n">
        <v>124.8</v>
      </c>
      <c r="E1948" s="8" t="n">
        <v>3</v>
      </c>
      <c r="F1948" s="8" t="n">
        <v>62.4</v>
      </c>
    </row>
    <row r="1949" customFormat="false" ht="15" hidden="false" customHeight="true" outlineLevel="0" collapsed="false">
      <c r="A1949" s="8" t="s">
        <v>200</v>
      </c>
      <c r="B1949" s="8" t="s">
        <v>1279</v>
      </c>
      <c r="C1949" s="8" t="n">
        <v>1</v>
      </c>
      <c r="D1949" s="8" t="n">
        <v>77.24</v>
      </c>
      <c r="E1949" s="8" t="n">
        <v>0</v>
      </c>
      <c r="F1949" s="8" t="n">
        <v>0</v>
      </c>
    </row>
    <row r="1950" customFormat="false" ht="15" hidden="false" customHeight="true" outlineLevel="0" collapsed="false">
      <c r="A1950" s="8" t="s">
        <v>197</v>
      </c>
      <c r="B1950" s="8" t="s">
        <v>1222</v>
      </c>
      <c r="C1950" s="8" t="n">
        <v>2</v>
      </c>
      <c r="D1950" s="8" t="n">
        <v>130</v>
      </c>
      <c r="E1950" s="8" t="n">
        <v>1</v>
      </c>
      <c r="F1950" s="8" t="n">
        <v>65</v>
      </c>
    </row>
    <row r="1951" customFormat="false" ht="15" hidden="false" customHeight="true" outlineLevel="0" collapsed="false">
      <c r="A1951" s="8" t="s">
        <v>253</v>
      </c>
      <c r="B1951" s="8" t="s">
        <v>1222</v>
      </c>
      <c r="C1951" s="8" t="n">
        <v>0</v>
      </c>
      <c r="D1951" s="8" t="n">
        <v>0</v>
      </c>
      <c r="E1951" s="8" t="n">
        <v>1</v>
      </c>
      <c r="F1951" s="8" t="n">
        <v>65</v>
      </c>
    </row>
    <row r="1952" customFormat="false" ht="15" hidden="false" customHeight="true" outlineLevel="0" collapsed="false">
      <c r="A1952" s="8" t="s">
        <v>385</v>
      </c>
      <c r="B1952" s="8" t="s">
        <v>1222</v>
      </c>
      <c r="C1952" s="8" t="n">
        <v>1</v>
      </c>
      <c r="D1952" s="8" t="n">
        <v>65</v>
      </c>
      <c r="E1952" s="8" t="n">
        <v>0</v>
      </c>
      <c r="F1952" s="8" t="n">
        <v>0</v>
      </c>
    </row>
    <row r="1953" customFormat="false" ht="15" hidden="false" customHeight="true" outlineLevel="0" collapsed="false">
      <c r="A1953" s="8" t="s">
        <v>207</v>
      </c>
      <c r="B1953" s="8" t="s">
        <v>1222</v>
      </c>
      <c r="C1953" s="8" t="n">
        <v>1</v>
      </c>
      <c r="D1953" s="8" t="n">
        <v>65</v>
      </c>
      <c r="E1953" s="8" t="n">
        <v>0</v>
      </c>
      <c r="F1953" s="8" t="n">
        <v>0</v>
      </c>
    </row>
    <row r="1954" customFormat="false" ht="15" hidden="false" customHeight="true" outlineLevel="0" collapsed="false">
      <c r="A1954" s="8" t="s">
        <v>163</v>
      </c>
      <c r="B1954" s="8" t="s">
        <v>897</v>
      </c>
      <c r="C1954" s="8" t="n">
        <v>9</v>
      </c>
      <c r="D1954" s="8" t="n">
        <v>585</v>
      </c>
      <c r="E1954" s="8" t="n">
        <v>2</v>
      </c>
      <c r="F1954" s="8" t="n">
        <v>130</v>
      </c>
    </row>
    <row r="1955" customFormat="false" ht="15" hidden="false" customHeight="true" outlineLevel="0" collapsed="false">
      <c r="A1955" s="8" t="s">
        <v>181</v>
      </c>
      <c r="B1955" s="8" t="s">
        <v>897</v>
      </c>
      <c r="C1955" s="8" t="n">
        <v>8</v>
      </c>
      <c r="D1955" s="8" t="n">
        <v>520</v>
      </c>
      <c r="E1955" s="8" t="n">
        <v>0</v>
      </c>
      <c r="F1955" s="8" t="n">
        <v>0</v>
      </c>
    </row>
    <row r="1956" customFormat="false" ht="15" hidden="false" customHeight="true" outlineLevel="0" collapsed="false">
      <c r="A1956" s="8" t="s">
        <v>165</v>
      </c>
      <c r="B1956" s="8" t="s">
        <v>897</v>
      </c>
      <c r="C1956" s="8" t="n">
        <v>11</v>
      </c>
      <c r="D1956" s="8" t="n">
        <v>715</v>
      </c>
      <c r="E1956" s="8" t="n">
        <v>0</v>
      </c>
      <c r="F1956" s="8" t="n">
        <v>0</v>
      </c>
    </row>
    <row r="1957" customFormat="false" ht="15" hidden="false" customHeight="true" outlineLevel="0" collapsed="false">
      <c r="A1957" s="8" t="s">
        <v>184</v>
      </c>
      <c r="B1957" s="8" t="s">
        <v>897</v>
      </c>
      <c r="C1957" s="8" t="n">
        <v>7</v>
      </c>
      <c r="D1957" s="8" t="n">
        <v>455</v>
      </c>
      <c r="E1957" s="8" t="n">
        <v>0</v>
      </c>
      <c r="F1957" s="8" t="n">
        <v>0</v>
      </c>
    </row>
    <row r="1958" customFormat="false" ht="15" hidden="false" customHeight="true" outlineLevel="0" collapsed="false">
      <c r="A1958" s="8" t="s">
        <v>175</v>
      </c>
      <c r="B1958" s="8" t="s">
        <v>1244</v>
      </c>
      <c r="C1958" s="8" t="n">
        <v>2</v>
      </c>
      <c r="D1958" s="8" t="n">
        <v>351</v>
      </c>
      <c r="E1958" s="8" t="n">
        <v>0</v>
      </c>
      <c r="F1958" s="8" t="n">
        <v>0</v>
      </c>
    </row>
    <row r="1959" customFormat="false" ht="15" hidden="false" customHeight="true" outlineLevel="0" collapsed="false">
      <c r="A1959" s="8" t="s">
        <v>173</v>
      </c>
      <c r="B1959" s="8" t="s">
        <v>1244</v>
      </c>
      <c r="C1959" s="8" t="n">
        <v>3</v>
      </c>
      <c r="D1959" s="8" t="n">
        <v>526.5</v>
      </c>
      <c r="E1959" s="8" t="n">
        <v>-1</v>
      </c>
      <c r="F1959" s="8" t="n">
        <v>-175.5</v>
      </c>
    </row>
    <row r="1960" customFormat="false" ht="15" hidden="false" customHeight="true" outlineLevel="0" collapsed="false">
      <c r="A1960" s="8" t="s">
        <v>221</v>
      </c>
      <c r="B1960" s="8" t="s">
        <v>1179</v>
      </c>
      <c r="C1960" s="8" t="n">
        <v>5</v>
      </c>
      <c r="D1960" s="8" t="n">
        <v>361.7</v>
      </c>
      <c r="E1960" s="8" t="n">
        <v>0</v>
      </c>
      <c r="F1960" s="8" t="n">
        <v>0</v>
      </c>
    </row>
    <row r="1961" customFormat="false" ht="15" hidden="false" customHeight="true" outlineLevel="0" collapsed="false">
      <c r="A1961" s="8" t="s">
        <v>245</v>
      </c>
      <c r="B1961" s="8" t="s">
        <v>1179</v>
      </c>
      <c r="C1961" s="8" t="n">
        <v>2</v>
      </c>
      <c r="D1961" s="8" t="n">
        <v>144.68</v>
      </c>
      <c r="E1961" s="8" t="n">
        <v>0</v>
      </c>
      <c r="F1961" s="8" t="n">
        <v>0</v>
      </c>
    </row>
    <row r="1962" customFormat="false" ht="15" hidden="false" customHeight="true" outlineLevel="0" collapsed="false">
      <c r="A1962" s="8" t="s">
        <v>191</v>
      </c>
      <c r="B1962" s="8" t="s">
        <v>1179</v>
      </c>
      <c r="C1962" s="8" t="n">
        <v>4</v>
      </c>
      <c r="D1962" s="8" t="n">
        <v>289.36</v>
      </c>
      <c r="E1962" s="8" t="n">
        <v>0</v>
      </c>
      <c r="F1962" s="8" t="n">
        <v>0</v>
      </c>
    </row>
    <row r="1963" customFormat="false" ht="15" hidden="false" customHeight="true" outlineLevel="0" collapsed="false">
      <c r="A1963" s="8" t="s">
        <v>204</v>
      </c>
      <c r="B1963" s="8" t="s">
        <v>1179</v>
      </c>
      <c r="C1963" s="8" t="n">
        <v>4</v>
      </c>
      <c r="D1963" s="8" t="n">
        <v>289.36</v>
      </c>
      <c r="E1963" s="8" t="n">
        <v>0</v>
      </c>
      <c r="F1963" s="8" t="n">
        <v>0</v>
      </c>
    </row>
    <row r="1964" customFormat="false" ht="15" hidden="false" customHeight="true" outlineLevel="0" collapsed="false">
      <c r="A1964" s="8" t="s">
        <v>293</v>
      </c>
      <c r="B1964" s="8" t="s">
        <v>1292</v>
      </c>
      <c r="C1964" s="8" t="n">
        <v>1</v>
      </c>
      <c r="D1964" s="8" t="n">
        <v>107.09</v>
      </c>
      <c r="E1964" s="8" t="n">
        <v>0</v>
      </c>
      <c r="F1964" s="8" t="n">
        <v>0</v>
      </c>
    </row>
    <row r="1965" customFormat="false" ht="15" hidden="false" customHeight="true" outlineLevel="0" collapsed="false">
      <c r="A1965" s="8" t="s">
        <v>216</v>
      </c>
      <c r="B1965" s="8" t="s">
        <v>1223</v>
      </c>
      <c r="C1965" s="8" t="n">
        <v>2</v>
      </c>
      <c r="D1965" s="8" t="n">
        <v>155.6</v>
      </c>
      <c r="E1965" s="8" t="n">
        <v>1</v>
      </c>
      <c r="F1965" s="8" t="n">
        <v>77.8</v>
      </c>
    </row>
    <row r="1966" customFormat="false" ht="15" hidden="false" customHeight="true" outlineLevel="0" collapsed="false">
      <c r="A1966" s="8" t="s">
        <v>236</v>
      </c>
      <c r="B1966" s="8" t="s">
        <v>1223</v>
      </c>
      <c r="C1966" s="8" t="n">
        <v>1</v>
      </c>
      <c r="D1966" s="8" t="n">
        <v>77.8</v>
      </c>
      <c r="E1966" s="8" t="n">
        <v>0</v>
      </c>
      <c r="F1966" s="8" t="n">
        <v>0</v>
      </c>
    </row>
    <row r="1967" customFormat="false" ht="15" hidden="false" customHeight="true" outlineLevel="0" collapsed="false">
      <c r="A1967" s="8" t="s">
        <v>190</v>
      </c>
      <c r="B1967" s="8" t="s">
        <v>1224</v>
      </c>
      <c r="C1967" s="8" t="n">
        <v>16</v>
      </c>
      <c r="D1967" s="8" t="n">
        <v>390.88</v>
      </c>
      <c r="E1967" s="8" t="n">
        <v>3</v>
      </c>
      <c r="F1967" s="8" t="n">
        <v>73.29</v>
      </c>
    </row>
    <row r="1968" customFormat="false" ht="15" hidden="false" customHeight="true" outlineLevel="0" collapsed="false">
      <c r="A1968" s="8" t="s">
        <v>183</v>
      </c>
      <c r="B1968" s="8" t="s">
        <v>1224</v>
      </c>
      <c r="C1968" s="8" t="n">
        <v>6</v>
      </c>
      <c r="D1968" s="8" t="n">
        <v>146.58</v>
      </c>
      <c r="E1968" s="8" t="n">
        <v>3</v>
      </c>
      <c r="F1968" s="8" t="n">
        <v>73.29</v>
      </c>
    </row>
    <row r="1969" customFormat="false" ht="15" hidden="false" customHeight="true" outlineLevel="0" collapsed="false">
      <c r="A1969" s="8" t="s">
        <v>218</v>
      </c>
      <c r="B1969" s="8" t="s">
        <v>1224</v>
      </c>
      <c r="C1969" s="8" t="n">
        <v>12</v>
      </c>
      <c r="D1969" s="8" t="n">
        <v>293.16</v>
      </c>
      <c r="E1969" s="8" t="n">
        <v>0</v>
      </c>
      <c r="F1969" s="8" t="n">
        <v>0</v>
      </c>
    </row>
    <row r="1970" customFormat="false" ht="15" hidden="false" customHeight="true" outlineLevel="0" collapsed="false">
      <c r="A1970" s="8" t="s">
        <v>231</v>
      </c>
      <c r="B1970" s="8" t="s">
        <v>1224</v>
      </c>
      <c r="C1970" s="8" t="n">
        <v>0</v>
      </c>
      <c r="D1970" s="8" t="n">
        <v>0</v>
      </c>
      <c r="E1970" s="8" t="n">
        <v>2</v>
      </c>
      <c r="F1970" s="8" t="n">
        <v>48.86</v>
      </c>
    </row>
    <row r="1971" customFormat="false" ht="15" hidden="false" customHeight="true" outlineLevel="0" collapsed="false">
      <c r="A1971" s="8" t="s">
        <v>286</v>
      </c>
      <c r="B1971" s="8" t="s">
        <v>1269</v>
      </c>
      <c r="C1971" s="8" t="n">
        <v>6</v>
      </c>
      <c r="D1971" s="8" t="n">
        <v>66</v>
      </c>
      <c r="E1971" s="8" t="n">
        <v>0</v>
      </c>
      <c r="F1971" s="8" t="n">
        <v>0</v>
      </c>
    </row>
    <row r="1972" customFormat="false" ht="15" hidden="false" customHeight="true" outlineLevel="0" collapsed="false">
      <c r="A1972" s="8" t="s">
        <v>324</v>
      </c>
      <c r="B1972" s="8" t="s">
        <v>1271</v>
      </c>
      <c r="C1972" s="8" t="n">
        <v>6</v>
      </c>
      <c r="D1972" s="8" t="n">
        <v>66</v>
      </c>
      <c r="E1972" s="8" t="n">
        <v>0</v>
      </c>
      <c r="F1972" s="8" t="n">
        <v>0</v>
      </c>
    </row>
    <row r="1973" customFormat="false" ht="15" hidden="false" customHeight="true" outlineLevel="0" collapsed="false">
      <c r="A1973" s="8" t="s">
        <v>161</v>
      </c>
      <c r="B1973" s="8" t="s">
        <v>1208</v>
      </c>
      <c r="C1973" s="8" t="n">
        <v>29</v>
      </c>
      <c r="D1973" s="8" t="n">
        <v>1319.5</v>
      </c>
      <c r="E1973" s="8" t="n">
        <v>11</v>
      </c>
      <c r="F1973" s="8" t="n">
        <v>500.5</v>
      </c>
    </row>
    <row r="1974" customFormat="false" ht="15" hidden="false" customHeight="true" outlineLevel="0" collapsed="false">
      <c r="A1974" s="8" t="s">
        <v>162</v>
      </c>
      <c r="B1974" s="8" t="s">
        <v>1209</v>
      </c>
      <c r="C1974" s="8" t="n">
        <v>9</v>
      </c>
      <c r="D1974" s="8" t="n">
        <v>700.2</v>
      </c>
      <c r="E1974" s="8" t="n">
        <v>0</v>
      </c>
      <c r="F1974" s="8" t="n">
        <v>0</v>
      </c>
    </row>
    <row r="1975" customFormat="false" ht="15" hidden="false" customHeight="true" outlineLevel="0" collapsed="false">
      <c r="A1975" s="8" t="s">
        <v>171</v>
      </c>
      <c r="B1975" s="8" t="s">
        <v>1210</v>
      </c>
      <c r="C1975" s="8" t="n">
        <v>6</v>
      </c>
      <c r="D1975" s="8" t="n">
        <v>283.38</v>
      </c>
      <c r="E1975" s="8" t="n">
        <v>2</v>
      </c>
      <c r="F1975" s="8" t="n">
        <v>94.46</v>
      </c>
    </row>
    <row r="1976" customFormat="false" ht="15" hidden="false" customHeight="true" outlineLevel="0" collapsed="false">
      <c r="A1976" s="8" t="s">
        <v>166</v>
      </c>
      <c r="B1976" s="8" t="s">
        <v>1211</v>
      </c>
      <c r="C1976" s="8" t="n">
        <v>5</v>
      </c>
      <c r="D1976" s="8" t="n">
        <v>316.35</v>
      </c>
      <c r="E1976" s="8" t="n">
        <v>0</v>
      </c>
      <c r="F1976" s="8" t="n">
        <v>0</v>
      </c>
    </row>
    <row r="1977" customFormat="false" ht="15" hidden="false" customHeight="true" outlineLevel="0" collapsed="false">
      <c r="A1977" s="8" t="s">
        <v>164</v>
      </c>
      <c r="B1977" s="8" t="s">
        <v>1211</v>
      </c>
      <c r="C1977" s="8" t="n">
        <v>2</v>
      </c>
      <c r="D1977" s="8" t="n">
        <v>126.54</v>
      </c>
      <c r="E1977" s="8" t="n">
        <v>2</v>
      </c>
      <c r="F1977" s="8" t="n">
        <v>126.54</v>
      </c>
    </row>
    <row r="1978" customFormat="false" ht="15" hidden="false" customHeight="true" outlineLevel="0" collapsed="false">
      <c r="A1978" s="8" t="s">
        <v>222</v>
      </c>
      <c r="B1978" s="8" t="s">
        <v>1211</v>
      </c>
      <c r="C1978" s="8" t="n">
        <v>1</v>
      </c>
      <c r="D1978" s="8" t="n">
        <v>63.27</v>
      </c>
      <c r="E1978" s="8" t="n">
        <v>0</v>
      </c>
      <c r="F1978" s="8" t="n">
        <v>0</v>
      </c>
    </row>
    <row r="1979" customFormat="false" ht="15" hidden="false" customHeight="true" outlineLevel="0" collapsed="false">
      <c r="A1979" s="8" t="s">
        <v>187</v>
      </c>
      <c r="B1979" s="8" t="s">
        <v>1211</v>
      </c>
      <c r="C1979" s="8" t="n">
        <v>4</v>
      </c>
      <c r="D1979" s="8" t="n">
        <v>253.08</v>
      </c>
      <c r="E1979" s="8" t="n">
        <v>0</v>
      </c>
      <c r="F1979" s="8" t="n">
        <v>0</v>
      </c>
    </row>
    <row r="1980" customFormat="false" ht="15" hidden="false" customHeight="true" outlineLevel="0" collapsed="false">
      <c r="A1980" s="8" t="s">
        <v>270</v>
      </c>
      <c r="B1980" s="8" t="s">
        <v>1251</v>
      </c>
      <c r="C1980" s="8" t="n">
        <v>5</v>
      </c>
      <c r="D1980" s="8" t="n">
        <v>49.1</v>
      </c>
      <c r="E1980" s="8" t="n">
        <v>4</v>
      </c>
      <c r="F1980" s="8" t="n">
        <v>39.28</v>
      </c>
    </row>
    <row r="1981" customFormat="false" ht="15" hidden="false" customHeight="true" outlineLevel="0" collapsed="false">
      <c r="A1981" s="8" t="s">
        <v>263</v>
      </c>
      <c r="B1981" s="8" t="s">
        <v>407</v>
      </c>
      <c r="C1981" s="8" t="n">
        <v>0</v>
      </c>
      <c r="D1981" s="8" t="n">
        <v>0</v>
      </c>
      <c r="E1981" s="8" t="n">
        <v>4</v>
      </c>
      <c r="F1981" s="8" t="n">
        <v>51.28</v>
      </c>
    </row>
    <row r="1982" customFormat="false" ht="15" hidden="false" customHeight="true" outlineLevel="0" collapsed="false">
      <c r="A1982" s="8" t="s">
        <v>206</v>
      </c>
      <c r="B1982" s="8" t="s">
        <v>1288</v>
      </c>
      <c r="C1982" s="8" t="n">
        <v>2</v>
      </c>
      <c r="D1982" s="8" t="n">
        <v>194.7</v>
      </c>
      <c r="E1982" s="8" t="n">
        <v>-1</v>
      </c>
      <c r="F1982" s="8" t="n">
        <v>-97.35</v>
      </c>
    </row>
    <row r="1983" customFormat="false" ht="15" hidden="false" customHeight="true" outlineLevel="0" collapsed="false">
      <c r="A1983" s="8" t="s">
        <v>188</v>
      </c>
      <c r="B1983" s="8" t="s">
        <v>1225</v>
      </c>
      <c r="C1983" s="8" t="n">
        <v>4</v>
      </c>
      <c r="D1983" s="8" t="n">
        <v>115.72</v>
      </c>
      <c r="E1983" s="8" t="n">
        <v>3</v>
      </c>
      <c r="F1983" s="8" t="n">
        <v>86.79</v>
      </c>
    </row>
    <row r="1984" customFormat="false" ht="15" hidden="false" customHeight="true" outlineLevel="0" collapsed="false">
      <c r="A1984" s="8" t="s">
        <v>186</v>
      </c>
      <c r="B1984" s="8" t="s">
        <v>1225</v>
      </c>
      <c r="C1984" s="8" t="n">
        <v>10</v>
      </c>
      <c r="D1984" s="8" t="n">
        <v>289.3</v>
      </c>
      <c r="E1984" s="8" t="n">
        <v>-2</v>
      </c>
      <c r="F1984" s="8" t="n">
        <v>-57.86</v>
      </c>
    </row>
    <row r="1985" customFormat="false" ht="15" hidden="false" customHeight="true" outlineLevel="0" collapsed="false">
      <c r="A1985" s="8" t="s">
        <v>239</v>
      </c>
      <c r="B1985" s="8" t="s">
        <v>1225</v>
      </c>
      <c r="C1985" s="8" t="n">
        <v>3</v>
      </c>
      <c r="D1985" s="8" t="n">
        <v>86.79</v>
      </c>
      <c r="E1985" s="8" t="n">
        <v>2</v>
      </c>
      <c r="F1985" s="8" t="n">
        <v>57.86</v>
      </c>
    </row>
    <row r="1986" customFormat="false" ht="15" hidden="false" customHeight="true" outlineLevel="0" collapsed="false">
      <c r="A1986" s="8" t="s">
        <v>210</v>
      </c>
      <c r="B1986" s="8" t="s">
        <v>1225</v>
      </c>
      <c r="C1986" s="8" t="n">
        <v>3</v>
      </c>
      <c r="D1986" s="8" t="n">
        <v>86.79</v>
      </c>
      <c r="E1986" s="8" t="n">
        <v>2</v>
      </c>
      <c r="F1986" s="8" t="n">
        <v>57.86</v>
      </c>
    </row>
    <row r="1987" customFormat="false" ht="15" hidden="false" customHeight="true" outlineLevel="0" collapsed="false">
      <c r="A1987" s="8" t="s">
        <v>278</v>
      </c>
      <c r="B1987" s="8" t="s">
        <v>1225</v>
      </c>
      <c r="C1987" s="8" t="n">
        <v>1</v>
      </c>
      <c r="D1987" s="8" t="n">
        <v>28.93</v>
      </c>
      <c r="E1987" s="8" t="n">
        <v>1</v>
      </c>
      <c r="F1987" s="8" t="n">
        <v>28.93</v>
      </c>
    </row>
    <row r="1988" customFormat="false" ht="15" hidden="false" customHeight="true" outlineLevel="0" collapsed="false">
      <c r="A1988" s="8" t="s">
        <v>238</v>
      </c>
      <c r="B1988" s="8" t="s">
        <v>1226</v>
      </c>
      <c r="C1988" s="8" t="n">
        <v>3</v>
      </c>
      <c r="D1988" s="8" t="n">
        <v>126.51</v>
      </c>
      <c r="E1988" s="8" t="n">
        <v>4</v>
      </c>
      <c r="F1988" s="8" t="n">
        <v>168.68</v>
      </c>
    </row>
    <row r="1989" customFormat="false" ht="15" hidden="false" customHeight="true" outlineLevel="0" collapsed="false">
      <c r="A1989" s="8" t="s">
        <v>201</v>
      </c>
      <c r="B1989" s="8" t="s">
        <v>1226</v>
      </c>
      <c r="C1989" s="8" t="n">
        <v>10</v>
      </c>
      <c r="D1989" s="8" t="n">
        <v>421.7</v>
      </c>
      <c r="E1989" s="8" t="n">
        <v>0</v>
      </c>
      <c r="F1989" s="8" t="n">
        <v>0</v>
      </c>
    </row>
    <row r="1990" customFormat="false" ht="15" hidden="false" customHeight="true" outlineLevel="0" collapsed="false">
      <c r="A1990" s="8" t="s">
        <v>314</v>
      </c>
      <c r="B1990" s="8" t="s">
        <v>1226</v>
      </c>
      <c r="C1990" s="8" t="n">
        <v>0</v>
      </c>
      <c r="D1990" s="8" t="n">
        <v>0</v>
      </c>
      <c r="E1990" s="8" t="n">
        <v>2</v>
      </c>
      <c r="F1990" s="8" t="n">
        <v>84.34</v>
      </c>
    </row>
    <row r="1991" customFormat="false" ht="15" hidden="false" customHeight="true" outlineLevel="0" collapsed="false">
      <c r="A1991" s="8" t="s">
        <v>214</v>
      </c>
      <c r="B1991" s="8" t="s">
        <v>1226</v>
      </c>
      <c r="C1991" s="8" t="n">
        <v>4</v>
      </c>
      <c r="D1991" s="8" t="n">
        <v>168.68</v>
      </c>
      <c r="E1991" s="8" t="n">
        <v>0</v>
      </c>
      <c r="F1991" s="8" t="n">
        <v>0</v>
      </c>
    </row>
    <row r="1992" customFormat="false" ht="15" hidden="false" customHeight="true" outlineLevel="0" collapsed="false">
      <c r="A1992" s="8" t="s">
        <v>241</v>
      </c>
      <c r="B1992" s="8" t="s">
        <v>1227</v>
      </c>
      <c r="C1992" s="8" t="n">
        <v>7</v>
      </c>
      <c r="D1992" s="8" t="n">
        <v>119</v>
      </c>
      <c r="E1992" s="8" t="n">
        <v>2</v>
      </c>
      <c r="F1992" s="8" t="n">
        <v>34</v>
      </c>
    </row>
    <row r="1993" customFormat="false" ht="15" hidden="false" customHeight="true" outlineLevel="0" collapsed="false">
      <c r="A1993" s="8" t="s">
        <v>219</v>
      </c>
      <c r="B1993" s="8" t="s">
        <v>1227</v>
      </c>
      <c r="C1993" s="8" t="n">
        <v>13</v>
      </c>
      <c r="D1993" s="8" t="n">
        <v>221</v>
      </c>
      <c r="E1993" s="8" t="n">
        <v>3</v>
      </c>
      <c r="F1993" s="8" t="n">
        <v>51</v>
      </c>
    </row>
    <row r="1994" customFormat="false" ht="15" hidden="false" customHeight="true" outlineLevel="0" collapsed="false">
      <c r="A1994" s="8" t="s">
        <v>292</v>
      </c>
      <c r="B1994" s="8" t="s">
        <v>1227</v>
      </c>
      <c r="C1994" s="8" t="n">
        <v>6</v>
      </c>
      <c r="D1994" s="8" t="n">
        <v>102</v>
      </c>
      <c r="E1994" s="8" t="n">
        <v>2</v>
      </c>
      <c r="F1994" s="8" t="n">
        <v>34</v>
      </c>
    </row>
    <row r="1995" customFormat="false" ht="15" hidden="false" customHeight="true" outlineLevel="0" collapsed="false">
      <c r="A1995" s="8" t="s">
        <v>223</v>
      </c>
      <c r="B1995" s="8" t="s">
        <v>1227</v>
      </c>
      <c r="C1995" s="8" t="n">
        <v>6</v>
      </c>
      <c r="D1995" s="8" t="n">
        <v>102</v>
      </c>
      <c r="E1995" s="8" t="n">
        <v>1</v>
      </c>
      <c r="F1995" s="8" t="n">
        <v>17</v>
      </c>
    </row>
    <row r="1996" customFormat="false" ht="15" hidden="false" customHeight="true" outlineLevel="0" collapsed="false">
      <c r="A1996" s="8" t="s">
        <v>287</v>
      </c>
      <c r="B1996" s="8" t="s">
        <v>1227</v>
      </c>
      <c r="C1996" s="8" t="n">
        <v>1</v>
      </c>
      <c r="D1996" s="8" t="n">
        <v>17</v>
      </c>
      <c r="E1996" s="8" t="n">
        <v>3</v>
      </c>
      <c r="F1996" s="8" t="n">
        <v>51</v>
      </c>
    </row>
    <row r="1997" customFormat="false" ht="15" hidden="false" customHeight="true" outlineLevel="0" collapsed="false">
      <c r="A1997" s="8" t="s">
        <v>229</v>
      </c>
      <c r="B1997" s="8" t="s">
        <v>881</v>
      </c>
      <c r="C1997" s="8" t="n">
        <v>1</v>
      </c>
      <c r="D1997" s="8" t="n">
        <v>41.2</v>
      </c>
      <c r="E1997" s="8" t="n">
        <v>2</v>
      </c>
      <c r="F1997" s="8" t="n">
        <v>82.4</v>
      </c>
    </row>
    <row r="1998" customFormat="false" ht="15" hidden="false" customHeight="true" outlineLevel="0" collapsed="false">
      <c r="A1998" s="8" t="s">
        <v>237</v>
      </c>
      <c r="B1998" s="8" t="s">
        <v>1259</v>
      </c>
      <c r="C1998" s="8" t="n">
        <v>6</v>
      </c>
      <c r="D1998" s="8" t="n">
        <v>110.7</v>
      </c>
      <c r="E1998" s="8" t="n">
        <v>1</v>
      </c>
      <c r="F1998" s="8" t="n">
        <v>18.45</v>
      </c>
    </row>
    <row r="1999" customFormat="false" ht="15" hidden="false" customHeight="true" outlineLevel="0" collapsed="false">
      <c r="A1999" s="8" t="s">
        <v>271</v>
      </c>
      <c r="B1999" s="8" t="s">
        <v>1260</v>
      </c>
      <c r="C1999" s="8" t="n">
        <v>3</v>
      </c>
      <c r="D1999" s="8" t="n">
        <v>70.2</v>
      </c>
      <c r="E1999" s="8" t="n">
        <v>2</v>
      </c>
      <c r="F1999" s="8" t="n">
        <v>46.8</v>
      </c>
    </row>
    <row r="2000" customFormat="false" ht="15" hidden="false" customHeight="true" outlineLevel="0" collapsed="false">
      <c r="A2000" s="8" t="s">
        <v>266</v>
      </c>
      <c r="B2000" s="8" t="s">
        <v>1228</v>
      </c>
      <c r="C2000" s="8" t="n">
        <v>2</v>
      </c>
      <c r="D2000" s="8" t="n">
        <v>39.84</v>
      </c>
      <c r="E2000" s="8" t="n">
        <v>3</v>
      </c>
      <c r="F2000" s="8" t="n">
        <v>59.76</v>
      </c>
    </row>
    <row r="2001" customFormat="false" ht="15" hidden="false" customHeight="true" outlineLevel="0" collapsed="false">
      <c r="A2001" s="8" t="s">
        <v>246</v>
      </c>
      <c r="B2001" s="8" t="s">
        <v>1261</v>
      </c>
      <c r="C2001" s="8" t="n">
        <v>2</v>
      </c>
      <c r="D2001" s="8" t="n">
        <v>34.7</v>
      </c>
      <c r="E2001" s="8" t="n">
        <v>0</v>
      </c>
      <c r="F2001" s="8" t="n">
        <v>0</v>
      </c>
    </row>
    <row r="2002" customFormat="false" ht="15" hidden="false" customHeight="true" outlineLevel="0" collapsed="false">
      <c r="A2002" s="8" t="s">
        <v>202</v>
      </c>
      <c r="B2002" s="8" t="s">
        <v>1212</v>
      </c>
      <c r="C2002" s="8" t="n">
        <v>16</v>
      </c>
      <c r="D2002" s="8" t="n">
        <v>152</v>
      </c>
      <c r="E2002" s="8" t="n">
        <v>4</v>
      </c>
      <c r="F2002" s="8" t="n">
        <v>38</v>
      </c>
    </row>
    <row r="2003" customFormat="false" ht="15" hidden="false" customHeight="true" outlineLevel="0" collapsed="false">
      <c r="A2003" s="8" t="s">
        <v>244</v>
      </c>
      <c r="B2003" s="8" t="s">
        <v>1213</v>
      </c>
      <c r="C2003" s="8" t="n">
        <v>9</v>
      </c>
      <c r="D2003" s="8" t="n">
        <v>85.5</v>
      </c>
      <c r="E2003" s="8" t="n">
        <v>5</v>
      </c>
      <c r="F2003" s="8" t="n">
        <v>47.5</v>
      </c>
    </row>
    <row r="2004" customFormat="false" ht="15" hidden="false" customHeight="true" outlineLevel="0" collapsed="false">
      <c r="A2004" s="8" t="s">
        <v>243</v>
      </c>
      <c r="B2004" s="8" t="s">
        <v>1253</v>
      </c>
      <c r="C2004" s="8" t="n">
        <v>1</v>
      </c>
      <c r="D2004" s="8" t="n">
        <v>12.95</v>
      </c>
      <c r="E2004" s="8" t="n">
        <v>1</v>
      </c>
      <c r="F2004" s="8" t="n">
        <v>12.95</v>
      </c>
    </row>
    <row r="2005" customFormat="false" ht="15" hidden="false" customHeight="true" outlineLevel="0" collapsed="false">
      <c r="A2005" s="8" t="s">
        <v>251</v>
      </c>
      <c r="B2005" s="8" t="s">
        <v>1262</v>
      </c>
      <c r="C2005" s="8" t="n">
        <v>2</v>
      </c>
      <c r="D2005" s="8" t="n">
        <v>19.42</v>
      </c>
      <c r="E2005" s="8" t="n">
        <v>2</v>
      </c>
      <c r="F2005" s="8" t="n">
        <v>19.42</v>
      </c>
    </row>
    <row r="2006" customFormat="false" ht="15" hidden="false" customHeight="true" outlineLevel="0" collapsed="false">
      <c r="A2006" s="8" t="s">
        <v>308</v>
      </c>
      <c r="B2006" s="8" t="s">
        <v>1229</v>
      </c>
      <c r="C2006" s="8" t="n">
        <v>6</v>
      </c>
      <c r="D2006" s="8" t="n">
        <v>48.48</v>
      </c>
      <c r="E2006" s="8" t="n">
        <v>4</v>
      </c>
      <c r="F2006" s="8" t="n">
        <v>32.32</v>
      </c>
    </row>
    <row r="2007" customFormat="false" ht="15" hidden="false" customHeight="true" outlineLevel="0" collapsed="false">
      <c r="A2007" s="8" t="s">
        <v>172</v>
      </c>
      <c r="B2007" s="8" t="s">
        <v>1214</v>
      </c>
      <c r="C2007" s="8" t="n">
        <v>10</v>
      </c>
      <c r="D2007" s="8" t="n">
        <v>121.8</v>
      </c>
      <c r="E2007" s="8" t="n">
        <v>8</v>
      </c>
      <c r="F2007" s="8" t="n">
        <v>97.44</v>
      </c>
    </row>
    <row r="2008" customFormat="false" ht="15" hidden="false" customHeight="true" outlineLevel="0" collapsed="false">
      <c r="A2008" s="8" t="s">
        <v>242</v>
      </c>
      <c r="B2008" s="8" t="s">
        <v>1230</v>
      </c>
      <c r="C2008" s="8" t="n">
        <v>9</v>
      </c>
      <c r="D2008" s="8" t="n">
        <v>348.3</v>
      </c>
      <c r="E2008" s="8" t="n">
        <v>2</v>
      </c>
      <c r="F2008" s="8" t="n">
        <v>77.4</v>
      </c>
    </row>
    <row r="2009" customFormat="false" ht="15" hidden="false" customHeight="true" outlineLevel="0" collapsed="false">
      <c r="A2009" s="8" t="s">
        <v>261</v>
      </c>
      <c r="B2009" s="8" t="s">
        <v>1215</v>
      </c>
      <c r="C2009" s="8" t="n">
        <v>6</v>
      </c>
      <c r="D2009" s="8" t="n">
        <v>127.26</v>
      </c>
      <c r="E2009" s="8" t="n">
        <v>-2</v>
      </c>
      <c r="F2009" s="8" t="n">
        <v>-42.42</v>
      </c>
    </row>
    <row r="2010" customFormat="false" ht="15" hidden="false" customHeight="true" outlineLevel="0" collapsed="false">
      <c r="A2010" s="8" t="s">
        <v>269</v>
      </c>
      <c r="B2010" s="8" t="s">
        <v>1231</v>
      </c>
      <c r="C2010" s="8" t="n">
        <v>4</v>
      </c>
      <c r="D2010" s="8" t="n">
        <v>45.32</v>
      </c>
      <c r="E2010" s="8" t="n">
        <v>-1</v>
      </c>
      <c r="F2010" s="8" t="n">
        <v>-11.33</v>
      </c>
    </row>
    <row r="2011" customFormat="false" ht="15" hidden="false" customHeight="true" outlineLevel="0" collapsed="false">
      <c r="A2011" s="8" t="s">
        <v>213</v>
      </c>
      <c r="B2011" s="8" t="s">
        <v>1232</v>
      </c>
      <c r="C2011" s="8" t="n">
        <v>9</v>
      </c>
      <c r="D2011" s="8" t="n">
        <v>247.95</v>
      </c>
      <c r="E2011" s="8" t="n">
        <v>6</v>
      </c>
      <c r="F2011" s="8" t="n">
        <v>165.3</v>
      </c>
    </row>
    <row r="2012" customFormat="false" ht="15" hidden="false" customHeight="true" outlineLevel="0" collapsed="false">
      <c r="A2012" s="8" t="s">
        <v>288</v>
      </c>
      <c r="B2012" s="8" t="s">
        <v>939</v>
      </c>
      <c r="C2012" s="8" t="n">
        <v>9</v>
      </c>
      <c r="D2012" s="8" t="n">
        <v>182.16</v>
      </c>
      <c r="E2012" s="8" t="n">
        <v>0</v>
      </c>
      <c r="F2012" s="8" t="n">
        <v>0</v>
      </c>
    </row>
    <row r="2013" customFormat="false" ht="15" hidden="false" customHeight="true" outlineLevel="0" collapsed="false">
      <c r="A2013" s="8" t="s">
        <v>281</v>
      </c>
      <c r="B2013" s="8" t="s">
        <v>1254</v>
      </c>
      <c r="C2013" s="8" t="n">
        <v>2</v>
      </c>
      <c r="D2013" s="8" t="n">
        <v>27.68</v>
      </c>
      <c r="E2013" s="8" t="n">
        <v>0</v>
      </c>
      <c r="F2013" s="8" t="n">
        <v>0</v>
      </c>
    </row>
    <row r="2014" customFormat="false" ht="15" hidden="false" customHeight="true" outlineLevel="0" collapsed="false">
      <c r="A2014" s="8" t="s">
        <v>232</v>
      </c>
      <c r="B2014" s="8" t="s">
        <v>1233</v>
      </c>
      <c r="C2014" s="8" t="n">
        <v>15</v>
      </c>
      <c r="D2014" s="8" t="n">
        <v>243</v>
      </c>
      <c r="E2014" s="8" t="n">
        <v>3</v>
      </c>
      <c r="F2014" s="8" t="n">
        <v>48.6</v>
      </c>
    </row>
    <row r="2015" customFormat="false" ht="15" hidden="false" customHeight="true" outlineLevel="0" collapsed="false">
      <c r="A2015" s="8" t="s">
        <v>215</v>
      </c>
      <c r="B2015" s="8" t="s">
        <v>1233</v>
      </c>
      <c r="C2015" s="8" t="n">
        <v>6</v>
      </c>
      <c r="D2015" s="8" t="n">
        <v>106.92</v>
      </c>
      <c r="E2015" s="8" t="n">
        <v>2</v>
      </c>
      <c r="F2015" s="8" t="n">
        <v>35.64</v>
      </c>
    </row>
    <row r="2016" customFormat="false" ht="15" hidden="false" customHeight="true" outlineLevel="0" collapsed="false">
      <c r="A2016" s="8" t="s">
        <v>255</v>
      </c>
      <c r="B2016" s="8" t="s">
        <v>1273</v>
      </c>
      <c r="C2016" s="8" t="n">
        <v>35</v>
      </c>
      <c r="D2016" s="8" t="n">
        <v>287</v>
      </c>
      <c r="E2016" s="8" t="n">
        <v>12</v>
      </c>
      <c r="F2016" s="8" t="n">
        <v>98.4</v>
      </c>
    </row>
    <row r="2017" customFormat="false" ht="15" hidden="false" customHeight="true" outlineLevel="0" collapsed="false">
      <c r="A2017" s="8" t="s">
        <v>194</v>
      </c>
      <c r="B2017" s="8" t="s">
        <v>1239</v>
      </c>
      <c r="C2017" s="8" t="n">
        <v>6</v>
      </c>
      <c r="D2017" s="8" t="n">
        <v>58.92</v>
      </c>
      <c r="E2017" s="8" t="n">
        <v>0</v>
      </c>
      <c r="F2017" s="8" t="n">
        <v>0</v>
      </c>
    </row>
    <row r="2018" customFormat="false" ht="15" hidden="false" customHeight="true" outlineLevel="0" collapsed="false">
      <c r="A2018" s="8" t="s">
        <v>279</v>
      </c>
      <c r="B2018" s="8" t="s">
        <v>1274</v>
      </c>
      <c r="C2018" s="8" t="n">
        <v>5</v>
      </c>
      <c r="D2018" s="8" t="n">
        <v>49.1</v>
      </c>
      <c r="E2018" s="8" t="n">
        <v>3</v>
      </c>
      <c r="F2018" s="8" t="n">
        <v>29.46</v>
      </c>
    </row>
    <row r="2019" customFormat="false" ht="15" hidden="false" customHeight="true" outlineLevel="0" collapsed="false">
      <c r="A2019" s="8" t="s">
        <v>265</v>
      </c>
      <c r="B2019" s="8" t="s">
        <v>621</v>
      </c>
      <c r="C2019" s="8" t="n">
        <v>1</v>
      </c>
      <c r="D2019" s="8" t="n">
        <v>42</v>
      </c>
      <c r="E2019" s="8" t="n">
        <v>0</v>
      </c>
      <c r="F2019" s="8" t="n">
        <v>0</v>
      </c>
    </row>
    <row r="2020" customFormat="false" ht="15" hidden="false" customHeight="true" outlineLevel="0" collapsed="false">
      <c r="A2020" s="8" t="s">
        <v>276</v>
      </c>
      <c r="B2020" s="8" t="s">
        <v>621</v>
      </c>
      <c r="C2020" s="8" t="n">
        <v>1</v>
      </c>
      <c r="D2020" s="8" t="n">
        <v>42</v>
      </c>
      <c r="E2020" s="8" t="n">
        <v>2</v>
      </c>
      <c r="F2020" s="8" t="n">
        <v>84</v>
      </c>
    </row>
    <row r="2021" customFormat="false" ht="15" hidden="false" customHeight="true" outlineLevel="0" collapsed="false">
      <c r="A2021" s="8" t="s">
        <v>326</v>
      </c>
      <c r="B2021" s="8" t="s">
        <v>1281</v>
      </c>
      <c r="C2021" s="8" t="n">
        <v>1</v>
      </c>
      <c r="D2021" s="8" t="n">
        <v>23.6</v>
      </c>
      <c r="E2021" s="8" t="n">
        <v>0</v>
      </c>
      <c r="F2021" s="8" t="n">
        <v>0</v>
      </c>
    </row>
    <row r="2022" customFormat="false" ht="15" hidden="false" customHeight="true" outlineLevel="0" collapsed="false">
      <c r="A2022" s="8" t="s">
        <v>362</v>
      </c>
      <c r="B2022" s="8" t="s">
        <v>1255</v>
      </c>
      <c r="C2022" s="8" t="n">
        <v>2</v>
      </c>
      <c r="D2022" s="8" t="n">
        <v>47.2</v>
      </c>
      <c r="E2022" s="8" t="n">
        <v>0</v>
      </c>
      <c r="F2022" s="8" t="n">
        <v>0</v>
      </c>
    </row>
    <row r="2023" customFormat="false" ht="15" hidden="false" customHeight="true" outlineLevel="0" collapsed="false">
      <c r="A2023" s="8" t="s">
        <v>342</v>
      </c>
      <c r="B2023" s="8" t="s">
        <v>1255</v>
      </c>
      <c r="C2023" s="8" t="n">
        <v>4</v>
      </c>
      <c r="D2023" s="8" t="n">
        <v>94.4</v>
      </c>
      <c r="E2023" s="8" t="n">
        <v>1</v>
      </c>
      <c r="F2023" s="8" t="n">
        <v>23.6</v>
      </c>
    </row>
    <row r="2024" customFormat="false" ht="15" hidden="false" customHeight="true" outlineLevel="0" collapsed="false">
      <c r="A2024" s="8" t="s">
        <v>321</v>
      </c>
      <c r="B2024" s="8" t="s">
        <v>1256</v>
      </c>
      <c r="C2024" s="8" t="n">
        <v>5</v>
      </c>
      <c r="D2024" s="8" t="n">
        <v>118</v>
      </c>
      <c r="E2024" s="8" t="n">
        <v>0</v>
      </c>
      <c r="F2024" s="8" t="n">
        <v>0</v>
      </c>
    </row>
    <row r="2025" customFormat="false" ht="15" hidden="false" customHeight="true" outlineLevel="0" collapsed="false">
      <c r="A2025" s="8" t="s">
        <v>217</v>
      </c>
      <c r="B2025" s="8" t="s">
        <v>1237</v>
      </c>
      <c r="C2025" s="8" t="n">
        <v>8</v>
      </c>
      <c r="D2025" s="8" t="n">
        <v>147.2</v>
      </c>
      <c r="E2025" s="8" t="n">
        <v>0</v>
      </c>
      <c r="F2025" s="8" t="n">
        <v>0</v>
      </c>
    </row>
    <row r="2026" customFormat="false" ht="15" hidden="false" customHeight="true" outlineLevel="0" collapsed="false">
      <c r="A2026" s="8" t="s">
        <v>316</v>
      </c>
      <c r="B2026" s="8" t="s">
        <v>1294</v>
      </c>
      <c r="C2026" s="8" t="n">
        <v>0</v>
      </c>
      <c r="D2026" s="8" t="n">
        <v>0</v>
      </c>
      <c r="E2026" s="8" t="n">
        <v>2</v>
      </c>
      <c r="F2026" s="8" t="n">
        <v>36.8</v>
      </c>
    </row>
    <row r="2027" customFormat="false" ht="15" hidden="false" customHeight="true" outlineLevel="0" collapsed="false">
      <c r="A2027" s="8" t="s">
        <v>322</v>
      </c>
      <c r="B2027" s="8" t="s">
        <v>1264</v>
      </c>
      <c r="C2027" s="8" t="n">
        <v>1</v>
      </c>
      <c r="D2027" s="8" t="n">
        <v>18.4</v>
      </c>
      <c r="E2027" s="8" t="n">
        <v>0</v>
      </c>
      <c r="F2027" s="8" t="n">
        <v>0</v>
      </c>
    </row>
    <row r="2028" customFormat="false" ht="15" hidden="false" customHeight="true" outlineLevel="0" collapsed="false">
      <c r="A2028" s="8" t="s">
        <v>364</v>
      </c>
      <c r="B2028" s="8" t="s">
        <v>1264</v>
      </c>
      <c r="C2028" s="8" t="n">
        <v>3</v>
      </c>
      <c r="D2028" s="8" t="n">
        <v>55.2</v>
      </c>
      <c r="E2028" s="8" t="n">
        <v>0</v>
      </c>
      <c r="F2028" s="8" t="n">
        <v>0</v>
      </c>
    </row>
    <row r="2029" customFormat="false" ht="15" hidden="false" customHeight="true" outlineLevel="0" collapsed="false">
      <c r="A2029" s="8" t="s">
        <v>192</v>
      </c>
      <c r="B2029" s="8" t="s">
        <v>1240</v>
      </c>
      <c r="C2029" s="8" t="n">
        <v>4</v>
      </c>
      <c r="D2029" s="8" t="n">
        <v>167.24</v>
      </c>
      <c r="E2029" s="8" t="n">
        <v>0</v>
      </c>
      <c r="F2029" s="8" t="n">
        <v>0</v>
      </c>
    </row>
    <row r="2030" customFormat="false" ht="15" hidden="false" customHeight="true" outlineLevel="0" collapsed="false">
      <c r="A2030" s="8" t="s">
        <v>168</v>
      </c>
      <c r="B2030" s="8" t="s">
        <v>1240</v>
      </c>
      <c r="C2030" s="8" t="n">
        <v>3</v>
      </c>
      <c r="D2030" s="8" t="n">
        <v>125.43</v>
      </c>
      <c r="E2030" s="8" t="n">
        <v>0</v>
      </c>
      <c r="F2030" s="8" t="n">
        <v>0</v>
      </c>
    </row>
    <row r="2031" customFormat="false" ht="15" hidden="false" customHeight="true" outlineLevel="0" collapsed="false">
      <c r="A2031" s="8" t="s">
        <v>268</v>
      </c>
      <c r="B2031" s="8" t="s">
        <v>1234</v>
      </c>
      <c r="C2031" s="8" t="n">
        <v>2</v>
      </c>
      <c r="D2031" s="8" t="n">
        <v>71.34</v>
      </c>
      <c r="E2031" s="8" t="n">
        <v>0</v>
      </c>
      <c r="F2031" s="8" t="n">
        <v>0</v>
      </c>
    </row>
    <row r="2032" customFormat="false" ht="15" hidden="false" customHeight="true" outlineLevel="0" collapsed="false">
      <c r="A2032" s="8" t="s">
        <v>180</v>
      </c>
      <c r="B2032" s="8" t="s">
        <v>1216</v>
      </c>
      <c r="C2032" s="8" t="n">
        <v>22</v>
      </c>
      <c r="D2032" s="8" t="n">
        <v>363</v>
      </c>
      <c r="E2032" s="8" t="n">
        <v>9</v>
      </c>
      <c r="F2032" s="8" t="n">
        <v>148.5</v>
      </c>
    </row>
    <row r="2033" customFormat="false" ht="15" hidden="false" customHeight="true" outlineLevel="0" collapsed="false">
      <c r="A2033" s="8" t="s">
        <v>189</v>
      </c>
      <c r="B2033" s="8" t="s">
        <v>1216</v>
      </c>
      <c r="C2033" s="8" t="n">
        <v>21</v>
      </c>
      <c r="D2033" s="8" t="n">
        <v>346.5</v>
      </c>
      <c r="E2033" s="8" t="n">
        <v>4</v>
      </c>
      <c r="F2033" s="8" t="n">
        <v>66</v>
      </c>
    </row>
    <row r="2034" customFormat="false" ht="15" hidden="false" customHeight="true" outlineLevel="0" collapsed="false">
      <c r="A2034" s="8" t="s">
        <v>267</v>
      </c>
      <c r="B2034" s="8" t="s">
        <v>1216</v>
      </c>
      <c r="C2034" s="8" t="n">
        <v>4</v>
      </c>
      <c r="D2034" s="8" t="n">
        <v>66</v>
      </c>
      <c r="E2034" s="8" t="n">
        <v>4</v>
      </c>
      <c r="F2034" s="8" t="n">
        <v>66</v>
      </c>
    </row>
    <row r="2035" customFormat="false" ht="15" hidden="false" customHeight="true" outlineLevel="0" collapsed="false">
      <c r="A2035" s="8" t="s">
        <v>199</v>
      </c>
      <c r="B2035" s="8" t="s">
        <v>1216</v>
      </c>
      <c r="C2035" s="8" t="n">
        <v>21</v>
      </c>
      <c r="D2035" s="8" t="n">
        <v>346.5</v>
      </c>
      <c r="E2035" s="8" t="n">
        <v>3</v>
      </c>
      <c r="F2035" s="8" t="n">
        <v>49.5</v>
      </c>
    </row>
    <row r="2036" customFormat="false" ht="15" hidden="false" customHeight="true" outlineLevel="0" collapsed="false">
      <c r="A2036" s="8" t="s">
        <v>250</v>
      </c>
      <c r="B2036" s="8" t="s">
        <v>1216</v>
      </c>
      <c r="C2036" s="8" t="n">
        <v>5</v>
      </c>
      <c r="D2036" s="8" t="n">
        <v>82.5</v>
      </c>
      <c r="E2036" s="8" t="n">
        <v>0</v>
      </c>
      <c r="F2036" s="8" t="n">
        <v>0</v>
      </c>
    </row>
    <row r="2037" customFormat="false" ht="15" hidden="false" customHeight="true" outlineLevel="0" collapsed="false">
      <c r="A2037" s="8" t="s">
        <v>198</v>
      </c>
      <c r="B2037" s="8" t="s">
        <v>1217</v>
      </c>
      <c r="C2037" s="8" t="n">
        <v>4</v>
      </c>
      <c r="D2037" s="8" t="n">
        <v>82</v>
      </c>
      <c r="E2037" s="8" t="n">
        <v>4</v>
      </c>
      <c r="F2037" s="8" t="n">
        <v>82</v>
      </c>
    </row>
    <row r="2038" customFormat="false" ht="15" hidden="false" customHeight="true" outlineLevel="0" collapsed="false">
      <c r="A2038" s="8" t="s">
        <v>193</v>
      </c>
      <c r="B2038" s="8" t="s">
        <v>1217</v>
      </c>
      <c r="C2038" s="8" t="n">
        <v>18</v>
      </c>
      <c r="D2038" s="8" t="n">
        <v>369</v>
      </c>
      <c r="E2038" s="8" t="n">
        <v>0</v>
      </c>
      <c r="F2038" s="8" t="n">
        <v>0</v>
      </c>
    </row>
    <row r="2039" customFormat="false" ht="15" hidden="false" customHeight="true" outlineLevel="0" collapsed="false">
      <c r="A2039" s="8" t="s">
        <v>302</v>
      </c>
      <c r="B2039" s="8" t="s">
        <v>1217</v>
      </c>
      <c r="C2039" s="8" t="n">
        <v>4</v>
      </c>
      <c r="D2039" s="8" t="n">
        <v>82</v>
      </c>
      <c r="E2039" s="8" t="n">
        <v>5</v>
      </c>
      <c r="F2039" s="8" t="n">
        <v>102.5</v>
      </c>
    </row>
    <row r="2040" customFormat="false" ht="15" hidden="false" customHeight="true" outlineLevel="0" collapsed="false">
      <c r="A2040" s="8" t="s">
        <v>205</v>
      </c>
      <c r="B2040" s="8" t="s">
        <v>1217</v>
      </c>
      <c r="C2040" s="8" t="n">
        <v>13</v>
      </c>
      <c r="D2040" s="8" t="n">
        <v>266.5</v>
      </c>
      <c r="E2040" s="8" t="n">
        <v>1</v>
      </c>
      <c r="F2040" s="8" t="n">
        <v>20.5</v>
      </c>
    </row>
    <row r="2041" customFormat="false" ht="15" hidden="false" customHeight="true" outlineLevel="0" collapsed="false">
      <c r="A2041" s="8" t="s">
        <v>256</v>
      </c>
      <c r="B2041" s="8" t="s">
        <v>1217</v>
      </c>
      <c r="C2041" s="8" t="n">
        <v>2</v>
      </c>
      <c r="D2041" s="8" t="n">
        <v>41</v>
      </c>
      <c r="E2041" s="8" t="n">
        <v>1</v>
      </c>
      <c r="F2041" s="8" t="n">
        <v>20.5</v>
      </c>
    </row>
    <row r="2042" customFormat="false" ht="15" hidden="false" customHeight="true" outlineLevel="0" collapsed="false">
      <c r="A2042" s="8" t="s">
        <v>354</v>
      </c>
      <c r="B2042" s="8" t="s">
        <v>767</v>
      </c>
      <c r="C2042" s="8" t="n">
        <v>2</v>
      </c>
      <c r="D2042" s="8" t="n">
        <v>42</v>
      </c>
      <c r="E2042" s="8" t="n">
        <v>1</v>
      </c>
      <c r="F2042" s="8" t="n">
        <v>21</v>
      </c>
    </row>
    <row r="2043" customFormat="false" ht="15" hidden="false" customHeight="true" outlineLevel="0" collapsed="false">
      <c r="A2043" s="8" t="s">
        <v>369</v>
      </c>
      <c r="B2043" s="8" t="s">
        <v>767</v>
      </c>
      <c r="C2043" s="8" t="n">
        <v>0</v>
      </c>
      <c r="D2043" s="8" t="n">
        <v>0</v>
      </c>
      <c r="E2043" s="8" t="n">
        <v>2</v>
      </c>
      <c r="F2043" s="8" t="n">
        <v>42</v>
      </c>
    </row>
    <row r="2044" customFormat="false" ht="15" hidden="false" customHeight="true" outlineLevel="0" collapsed="false">
      <c r="A2044" s="8" t="s">
        <v>228</v>
      </c>
      <c r="B2044" s="8" t="s">
        <v>1275</v>
      </c>
      <c r="C2044" s="8" t="n">
        <v>3</v>
      </c>
      <c r="D2044" s="8" t="n">
        <v>42.75</v>
      </c>
      <c r="E2044" s="8" t="n">
        <v>4</v>
      </c>
      <c r="F2044" s="8" t="n">
        <v>57</v>
      </c>
    </row>
    <row r="2045" customFormat="false" ht="15" hidden="false" customHeight="true" outlineLevel="0" collapsed="false">
      <c r="A2045" s="8" t="s">
        <v>95</v>
      </c>
      <c r="B2045" s="8" t="s">
        <v>1247</v>
      </c>
      <c r="C2045" s="8" t="n">
        <v>6</v>
      </c>
      <c r="D2045" s="8" t="n">
        <v>150</v>
      </c>
      <c r="E2045" s="8" t="n">
        <v>6</v>
      </c>
      <c r="F2045" s="8" t="n">
        <v>150</v>
      </c>
    </row>
    <row r="2046" customFormat="false" ht="15" hidden="false" customHeight="true" outlineLevel="0" collapsed="false">
      <c r="A2046" s="8" t="s">
        <v>113</v>
      </c>
      <c r="B2046" s="8" t="s">
        <v>1247</v>
      </c>
      <c r="C2046" s="8" t="n">
        <v>6</v>
      </c>
      <c r="D2046" s="8" t="n">
        <v>150</v>
      </c>
      <c r="E2046" s="8" t="n">
        <v>2</v>
      </c>
      <c r="F2046" s="8" t="n">
        <v>50</v>
      </c>
    </row>
    <row r="2047" customFormat="false" ht="15" hidden="false" customHeight="true" outlineLevel="0" collapsed="false">
      <c r="A2047" s="8" t="s">
        <v>99</v>
      </c>
      <c r="B2047" s="8" t="s">
        <v>1247</v>
      </c>
      <c r="C2047" s="8" t="n">
        <v>10</v>
      </c>
      <c r="D2047" s="8" t="n">
        <v>250</v>
      </c>
      <c r="E2047" s="8" t="n">
        <v>-2</v>
      </c>
      <c r="F2047" s="8" t="n">
        <v>-50</v>
      </c>
    </row>
    <row r="2048" customFormat="false" ht="15" hidden="false" customHeight="true" outlineLevel="0" collapsed="false">
      <c r="A2048" s="8" t="s">
        <v>120</v>
      </c>
      <c r="B2048" s="8" t="s">
        <v>1247</v>
      </c>
      <c r="C2048" s="8" t="n">
        <v>6</v>
      </c>
      <c r="D2048" s="8" t="n">
        <v>150</v>
      </c>
      <c r="E2048" s="8" t="n">
        <v>0</v>
      </c>
      <c r="F2048" s="8" t="n">
        <v>0</v>
      </c>
    </row>
    <row r="2049" customFormat="false" ht="15" hidden="false" customHeight="true" outlineLevel="0" collapsed="false">
      <c r="A2049" s="8" t="s">
        <v>303</v>
      </c>
      <c r="B2049" s="8" t="s">
        <v>1247</v>
      </c>
      <c r="C2049" s="8" t="n">
        <v>0</v>
      </c>
      <c r="D2049" s="8" t="n">
        <v>0</v>
      </c>
      <c r="E2049" s="8" t="n">
        <v>-6</v>
      </c>
      <c r="F2049" s="8" t="n">
        <v>-377.82</v>
      </c>
    </row>
    <row r="2050" customFormat="false" ht="15" hidden="false" customHeight="true" outlineLevel="0" collapsed="false">
      <c r="A2050" s="8" t="s">
        <v>257</v>
      </c>
      <c r="B2050" s="8" t="s">
        <v>1284</v>
      </c>
      <c r="C2050" s="8" t="n">
        <v>0</v>
      </c>
      <c r="D2050" s="8" t="n">
        <v>0</v>
      </c>
      <c r="E2050" s="8" t="n">
        <v>1</v>
      </c>
      <c r="F2050" s="8" t="n">
        <v>32.43</v>
      </c>
    </row>
    <row r="2051" customFormat="false" ht="15" hidden="false" customHeight="true" outlineLevel="0" collapsed="false">
      <c r="A2051" s="8" t="s">
        <v>178</v>
      </c>
      <c r="B2051" s="8" t="s">
        <v>1236</v>
      </c>
      <c r="C2051" s="8" t="n">
        <v>11</v>
      </c>
      <c r="D2051" s="8" t="n">
        <v>385</v>
      </c>
      <c r="E2051" s="8" t="n">
        <v>3</v>
      </c>
      <c r="F2051" s="8" t="n">
        <v>105</v>
      </c>
    </row>
    <row r="2052" customFormat="false" ht="15" hidden="false" customHeight="true" outlineLevel="0" collapsed="false">
      <c r="A2052" s="8" t="s">
        <v>176</v>
      </c>
      <c r="B2052" s="8" t="s">
        <v>1236</v>
      </c>
      <c r="C2052" s="8" t="n">
        <v>2</v>
      </c>
      <c r="D2052" s="8" t="n">
        <v>70</v>
      </c>
      <c r="E2052" s="8" t="n">
        <v>2</v>
      </c>
      <c r="F2052" s="8" t="n">
        <v>70</v>
      </c>
    </row>
    <row r="2053" customFormat="false" ht="15" hidden="false" customHeight="true" outlineLevel="0" collapsed="false">
      <c r="A2053" s="8" t="s">
        <v>235</v>
      </c>
      <c r="B2053" s="8" t="s">
        <v>1236</v>
      </c>
      <c r="C2053" s="8" t="n">
        <v>2</v>
      </c>
      <c r="D2053" s="8" t="n">
        <v>70</v>
      </c>
      <c r="E2053" s="8" t="n">
        <v>0</v>
      </c>
      <c r="F2053" s="8" t="n">
        <v>0</v>
      </c>
    </row>
    <row r="2054" customFormat="false" ht="15" hidden="false" customHeight="true" outlineLevel="0" collapsed="false">
      <c r="A2054" s="8" t="s">
        <v>224</v>
      </c>
      <c r="B2054" s="8" t="s">
        <v>1236</v>
      </c>
      <c r="C2054" s="8" t="n">
        <v>4</v>
      </c>
      <c r="D2054" s="8" t="n">
        <v>140</v>
      </c>
      <c r="E2054" s="8" t="n">
        <v>2</v>
      </c>
      <c r="F2054" s="8" t="n">
        <v>70</v>
      </c>
    </row>
    <row r="2055" customFormat="false" ht="15" hidden="false" customHeight="true" outlineLevel="0" collapsed="false">
      <c r="A2055" s="8" t="s">
        <v>179</v>
      </c>
      <c r="B2055" s="8" t="s">
        <v>1218</v>
      </c>
      <c r="C2055" s="8" t="n">
        <v>7</v>
      </c>
      <c r="D2055" s="8" t="n">
        <v>885.5</v>
      </c>
      <c r="E2055" s="8" t="n">
        <v>-2</v>
      </c>
      <c r="F2055" s="8" t="n">
        <v>-253</v>
      </c>
    </row>
    <row r="2056" customFormat="false" ht="15" hidden="false" customHeight="true" outlineLevel="0" collapsed="false">
      <c r="A2056" s="8" t="s">
        <v>185</v>
      </c>
      <c r="B2056" s="8" t="s">
        <v>1218</v>
      </c>
      <c r="C2056" s="8" t="n">
        <v>3</v>
      </c>
      <c r="D2056" s="8" t="n">
        <v>379.5</v>
      </c>
      <c r="E2056" s="8" t="n">
        <v>0</v>
      </c>
      <c r="F2056" s="8" t="n">
        <v>0</v>
      </c>
    </row>
    <row r="2057" customFormat="false" ht="15" hidden="false" customHeight="true" outlineLevel="0" collapsed="false">
      <c r="A2057" s="8" t="s">
        <v>195</v>
      </c>
      <c r="B2057" s="8" t="s">
        <v>1218</v>
      </c>
      <c r="C2057" s="8" t="n">
        <v>2</v>
      </c>
      <c r="D2057" s="8" t="n">
        <v>253</v>
      </c>
      <c r="E2057" s="8" t="n">
        <v>0</v>
      </c>
      <c r="F2057" s="8" t="n">
        <v>0</v>
      </c>
    </row>
    <row r="2058" customFormat="false" ht="15" hidden="false" customHeight="true" outlineLevel="0" collapsed="false">
      <c r="A2058" s="8" t="s">
        <v>388</v>
      </c>
      <c r="B2058" s="8" t="s">
        <v>1218</v>
      </c>
      <c r="C2058" s="8" t="n">
        <v>0</v>
      </c>
      <c r="D2058" s="8" t="n">
        <v>0</v>
      </c>
      <c r="E2058" s="8" t="n">
        <v>1</v>
      </c>
      <c r="F2058" s="8" t="n">
        <v>0</v>
      </c>
    </row>
    <row r="2059" customFormat="false" ht="15" hidden="false" customHeight="true" outlineLevel="0" collapsed="false">
      <c r="A2059" s="8" t="s">
        <v>240</v>
      </c>
      <c r="B2059" s="8" t="s">
        <v>769</v>
      </c>
      <c r="C2059" s="8" t="n">
        <v>11</v>
      </c>
      <c r="D2059" s="8" t="n">
        <v>187</v>
      </c>
      <c r="E2059" s="8" t="n">
        <v>4</v>
      </c>
      <c r="F2059" s="8" t="n">
        <v>68</v>
      </c>
    </row>
    <row r="2060" customFormat="false" ht="15" hidden="false" customHeight="true" outlineLevel="0" collapsed="false">
      <c r="A2060" s="8" t="s">
        <v>234</v>
      </c>
      <c r="B2060" s="8" t="s">
        <v>769</v>
      </c>
      <c r="C2060" s="8" t="n">
        <v>15</v>
      </c>
      <c r="D2060" s="8" t="n">
        <v>255</v>
      </c>
      <c r="E2060" s="8" t="n">
        <v>5</v>
      </c>
      <c r="F2060" s="8" t="n">
        <v>85</v>
      </c>
    </row>
    <row r="2061" customFormat="false" ht="15" hidden="false" customHeight="true" outlineLevel="0" collapsed="false">
      <c r="A2061" s="8" t="s">
        <v>247</v>
      </c>
      <c r="B2061" s="8" t="s">
        <v>769</v>
      </c>
      <c r="C2061" s="8" t="n">
        <v>8</v>
      </c>
      <c r="D2061" s="8" t="n">
        <v>136</v>
      </c>
      <c r="E2061" s="8" t="n">
        <v>2</v>
      </c>
      <c r="F2061" s="8" t="n">
        <v>34</v>
      </c>
    </row>
    <row r="2062" customFormat="false" ht="15" hidden="false" customHeight="true" outlineLevel="0" collapsed="false">
      <c r="A2062" s="8" t="s">
        <v>300</v>
      </c>
      <c r="B2062" s="8" t="s">
        <v>769</v>
      </c>
      <c r="C2062" s="8" t="n">
        <v>3</v>
      </c>
      <c r="D2062" s="8" t="n">
        <v>51</v>
      </c>
      <c r="E2062" s="8" t="n">
        <v>0</v>
      </c>
      <c r="F2062" s="8" t="n">
        <v>0</v>
      </c>
    </row>
    <row r="2063" customFormat="false" ht="15" hidden="false" customHeight="true" outlineLevel="0" collapsed="false">
      <c r="A2063" s="8" t="s">
        <v>182</v>
      </c>
      <c r="B2063" s="8" t="s">
        <v>799</v>
      </c>
      <c r="C2063" s="8" t="n">
        <v>22</v>
      </c>
      <c r="D2063" s="8" t="n">
        <v>440</v>
      </c>
      <c r="E2063" s="8" t="n">
        <v>9</v>
      </c>
      <c r="F2063" s="8" t="n">
        <v>180</v>
      </c>
    </row>
    <row r="2064" customFormat="false" ht="15" hidden="false" customHeight="true" outlineLevel="0" collapsed="false">
      <c r="A2064" s="8" t="s">
        <v>274</v>
      </c>
      <c r="B2064" s="8" t="s">
        <v>1219</v>
      </c>
      <c r="C2064" s="8" t="n">
        <v>7</v>
      </c>
      <c r="D2064" s="8" t="n">
        <v>61.11</v>
      </c>
      <c r="E2064" s="8" t="n">
        <v>4</v>
      </c>
      <c r="F2064" s="8" t="n">
        <v>34.92</v>
      </c>
    </row>
    <row r="2065" customFormat="false" ht="15" hidden="false" customHeight="true" outlineLevel="0" collapsed="false">
      <c r="A2065" s="8" t="s">
        <v>170</v>
      </c>
      <c r="B2065" s="8" t="s">
        <v>1220</v>
      </c>
      <c r="C2065" s="8" t="n">
        <v>18</v>
      </c>
      <c r="D2065" s="8" t="n">
        <v>266.4</v>
      </c>
      <c r="E2065" s="8" t="n">
        <v>-6</v>
      </c>
      <c r="F2065" s="8" t="n">
        <v>-88.8</v>
      </c>
    </row>
    <row r="2066" customFormat="false" ht="15" hidden="false" customHeight="true" outlineLevel="0" collapsed="false">
      <c r="A2066" s="8" t="s">
        <v>167</v>
      </c>
      <c r="B2066" s="8" t="s">
        <v>1238</v>
      </c>
      <c r="C2066" s="8" t="n">
        <v>12</v>
      </c>
      <c r="D2066" s="8" t="n">
        <v>160.8</v>
      </c>
      <c r="E2066" s="8" t="n">
        <v>3</v>
      </c>
      <c r="F2066" s="8" t="n">
        <v>40.2</v>
      </c>
    </row>
    <row r="2067" customFormat="false" ht="15" hidden="false" customHeight="true" outlineLevel="0" collapsed="false">
      <c r="A2067" s="8" t="s">
        <v>294</v>
      </c>
      <c r="B2067" s="8" t="s">
        <v>1289</v>
      </c>
      <c r="C2067" s="8" t="n">
        <v>11</v>
      </c>
      <c r="D2067" s="8" t="n">
        <v>158.95</v>
      </c>
      <c r="E2067" s="8" t="n">
        <v>0</v>
      </c>
      <c r="F2067" s="8" t="n">
        <v>0</v>
      </c>
    </row>
    <row r="2068" customFormat="false" ht="15" hidden="false" customHeight="true" outlineLevel="0" collapsed="false">
      <c r="A2068" s="8" t="s">
        <v>220</v>
      </c>
      <c r="B2068" s="8" t="s">
        <v>1248</v>
      </c>
      <c r="C2068" s="8" t="n">
        <v>12</v>
      </c>
      <c r="D2068" s="8" t="n">
        <v>124.8</v>
      </c>
      <c r="E2068" s="8" t="n">
        <v>0</v>
      </c>
      <c r="F2068" s="8" t="n">
        <v>0</v>
      </c>
    </row>
    <row r="2069" customFormat="false" ht="15" hidden="false" customHeight="true" outlineLevel="0" collapsed="false">
      <c r="A2069" s="8" t="s">
        <v>233</v>
      </c>
      <c r="B2069" s="8" t="s">
        <v>1249</v>
      </c>
      <c r="C2069" s="8" t="n">
        <v>5</v>
      </c>
      <c r="D2069" s="8" t="n">
        <v>89.75</v>
      </c>
      <c r="E2069" s="8" t="n">
        <v>2</v>
      </c>
      <c r="F2069" s="8" t="n">
        <v>35.9</v>
      </c>
    </row>
    <row r="2070" customFormat="false" ht="15" hidden="false" customHeight="true" outlineLevel="0" collapsed="false">
      <c r="A2070" s="8" t="s">
        <v>264</v>
      </c>
      <c r="B2070" s="8" t="s">
        <v>1221</v>
      </c>
      <c r="C2070" s="8" t="n">
        <v>2</v>
      </c>
      <c r="D2070" s="8" t="n">
        <v>11.62</v>
      </c>
      <c r="E2070" s="8" t="n">
        <v>2</v>
      </c>
      <c r="F2070" s="8" t="n">
        <v>11.62</v>
      </c>
    </row>
    <row r="2071" customFormat="false" ht="15" hidden="false" customHeight="true" outlineLevel="0" collapsed="false">
      <c r="A2071" s="8" t="s">
        <v>252</v>
      </c>
      <c r="B2071" s="8" t="s">
        <v>1177</v>
      </c>
      <c r="C2071" s="8" t="n">
        <v>5</v>
      </c>
      <c r="D2071" s="8" t="n">
        <v>83</v>
      </c>
      <c r="E2071" s="8" t="n">
        <v>2</v>
      </c>
      <c r="F2071" s="8" t="n">
        <v>33.2</v>
      </c>
    </row>
    <row r="2072" customFormat="false" ht="15" hidden="false" customHeight="true" outlineLevel="0" collapsed="false">
      <c r="A2072" s="8" t="s">
        <v>203</v>
      </c>
      <c r="B2072" s="8" t="s">
        <v>1177</v>
      </c>
      <c r="C2072" s="8" t="n">
        <v>10</v>
      </c>
      <c r="D2072" s="8" t="n">
        <v>185</v>
      </c>
      <c r="E2072" s="8" t="n">
        <v>11</v>
      </c>
      <c r="F2072" s="8" t="n">
        <v>203.5</v>
      </c>
    </row>
    <row r="2073" customFormat="false" ht="15" hidden="false" customHeight="true" outlineLevel="0" collapsed="false">
      <c r="A2073" s="8" t="s">
        <v>196</v>
      </c>
      <c r="B2073" s="8" t="s">
        <v>1243</v>
      </c>
      <c r="C2073" s="8" t="n">
        <v>7</v>
      </c>
      <c r="D2073" s="8" t="n">
        <v>374.5</v>
      </c>
      <c r="E2073" s="8" t="n">
        <v>4</v>
      </c>
      <c r="F2073" s="8" t="n">
        <v>214</v>
      </c>
    </row>
    <row r="2074" customFormat="false" ht="15" hidden="false" customHeight="true" outlineLevel="0" collapsed="false">
      <c r="A2074" s="8" t="s">
        <v>226</v>
      </c>
      <c r="B2074" s="8" t="s">
        <v>566</v>
      </c>
      <c r="C2074" s="8" t="n">
        <v>8</v>
      </c>
      <c r="D2074" s="8" t="n">
        <v>166.4</v>
      </c>
      <c r="E2074" s="8" t="n">
        <v>-2</v>
      </c>
      <c r="F2074" s="8" t="n">
        <v>-41.6</v>
      </c>
    </row>
    <row r="2075" customFormat="false" ht="15" hidden="false" customHeight="true" outlineLevel="0" collapsed="false">
      <c r="A2075" s="8" t="s">
        <v>310</v>
      </c>
      <c r="B2075" s="8" t="s">
        <v>1258</v>
      </c>
      <c r="C2075" s="8" t="n">
        <v>0</v>
      </c>
      <c r="D2075" s="8" t="n">
        <v>0</v>
      </c>
      <c r="E2075" s="8" t="n">
        <v>2</v>
      </c>
      <c r="F2075" s="8" t="n">
        <v>188.2</v>
      </c>
    </row>
    <row r="2076" customFormat="false" ht="15" hidden="false" customHeight="true" outlineLevel="0" collapsed="false">
      <c r="A2076" s="8" t="s">
        <v>343</v>
      </c>
      <c r="B2076" s="8" t="s">
        <v>1258</v>
      </c>
      <c r="C2076" s="8" t="n">
        <v>0</v>
      </c>
      <c r="D2076" s="8" t="n">
        <v>0</v>
      </c>
      <c r="E2076" s="8" t="n">
        <v>2</v>
      </c>
      <c r="F2076" s="8" t="n">
        <v>188.2</v>
      </c>
    </row>
    <row r="2077" customFormat="false" ht="15" hidden="false" customHeight="true" outlineLevel="0" collapsed="false">
      <c r="A2077" s="8" t="s">
        <v>366</v>
      </c>
      <c r="B2077" s="8" t="s">
        <v>1258</v>
      </c>
      <c r="C2077" s="8" t="n">
        <v>0</v>
      </c>
      <c r="D2077" s="8" t="n">
        <v>0</v>
      </c>
      <c r="E2077" s="8" t="n">
        <v>1</v>
      </c>
      <c r="F2077" s="8" t="n">
        <v>94.1</v>
      </c>
    </row>
    <row r="2078" customFormat="false" ht="15" hidden="false" customHeight="true" outlineLevel="0" collapsed="false">
      <c r="A2078" s="8" t="s">
        <v>384</v>
      </c>
      <c r="B2078" s="8" t="s">
        <v>1293</v>
      </c>
      <c r="C2078" s="8" t="n">
        <v>0</v>
      </c>
      <c r="D2078" s="8" t="n">
        <v>0</v>
      </c>
      <c r="E2078" s="8" t="n">
        <v>2</v>
      </c>
      <c r="F2078" s="8" t="n">
        <v>147.6</v>
      </c>
    </row>
    <row r="2079" customFormat="false" ht="15" hidden="false" customHeight="true" outlineLevel="0" collapsed="false">
      <c r="A2079" s="8" t="s">
        <v>347</v>
      </c>
      <c r="B2079" s="8" t="s">
        <v>1293</v>
      </c>
      <c r="C2079" s="8" t="n">
        <v>0</v>
      </c>
      <c r="D2079" s="8" t="n">
        <v>0</v>
      </c>
      <c r="E2079" s="8" t="n">
        <v>3</v>
      </c>
      <c r="F2079" s="8" t="n">
        <v>221.4</v>
      </c>
    </row>
    <row r="2080" customFormat="false" ht="15" hidden="false" customHeight="true" outlineLevel="0" collapsed="false">
      <c r="A2080" s="8" t="s">
        <v>340</v>
      </c>
      <c r="B2080" s="8" t="s">
        <v>1267</v>
      </c>
      <c r="C2080" s="8" t="n">
        <v>0</v>
      </c>
      <c r="D2080" s="8" t="n">
        <v>0</v>
      </c>
      <c r="E2080" s="8" t="n">
        <v>2</v>
      </c>
      <c r="F2080" s="8" t="n">
        <v>257.42</v>
      </c>
    </row>
    <row r="2081" customFormat="false" ht="15" hidden="false" customHeight="true" outlineLevel="0" collapsed="false">
      <c r="A2081" s="8" t="s">
        <v>387</v>
      </c>
      <c r="B2081" s="8" t="s">
        <v>1267</v>
      </c>
      <c r="C2081" s="8" t="n">
        <v>1</v>
      </c>
      <c r="D2081" s="8" t="n">
        <v>128.71</v>
      </c>
      <c r="E2081" s="8" t="n">
        <v>0</v>
      </c>
      <c r="F2081" s="8" t="n">
        <v>0</v>
      </c>
    </row>
    <row r="2082" customFormat="false" ht="15" hidden="false" customHeight="true" outlineLevel="0" collapsed="false">
      <c r="A2082" s="8" t="s">
        <v>200</v>
      </c>
      <c r="B2082" s="8" t="s">
        <v>1279</v>
      </c>
      <c r="C2082" s="8" t="n">
        <v>5</v>
      </c>
      <c r="D2082" s="8" t="n">
        <v>386.2</v>
      </c>
      <c r="E2082" s="8" t="n">
        <v>0</v>
      </c>
      <c r="F2082" s="8" t="n">
        <v>0</v>
      </c>
    </row>
    <row r="2083" customFormat="false" ht="15" hidden="false" customHeight="true" outlineLevel="0" collapsed="false">
      <c r="A2083" s="8" t="s">
        <v>175</v>
      </c>
      <c r="B2083" s="8" t="s">
        <v>1244</v>
      </c>
      <c r="C2083" s="8" t="n">
        <v>1</v>
      </c>
      <c r="D2083" s="8" t="n">
        <v>175.5</v>
      </c>
      <c r="E2083" s="8" t="n">
        <v>1</v>
      </c>
      <c r="F2083" s="8" t="n">
        <v>175.5</v>
      </c>
    </row>
    <row r="2084" customFormat="false" ht="15" hidden="false" customHeight="true" outlineLevel="0" collapsed="false">
      <c r="A2084" s="8" t="s">
        <v>177</v>
      </c>
      <c r="B2084" s="8" t="s">
        <v>1244</v>
      </c>
      <c r="C2084" s="8" t="n">
        <v>2</v>
      </c>
      <c r="D2084" s="8" t="n">
        <v>351</v>
      </c>
      <c r="E2084" s="8" t="n">
        <v>0</v>
      </c>
      <c r="F2084" s="8" t="n">
        <v>0</v>
      </c>
    </row>
    <row r="2085" customFormat="false" ht="15" hidden="false" customHeight="true" outlineLevel="0" collapsed="false">
      <c r="A2085" s="8" t="s">
        <v>191</v>
      </c>
      <c r="B2085" s="8" t="s">
        <v>1179</v>
      </c>
      <c r="C2085" s="8" t="n">
        <v>1</v>
      </c>
      <c r="D2085" s="8" t="n">
        <v>72.34</v>
      </c>
      <c r="E2085" s="8" t="n">
        <v>0</v>
      </c>
      <c r="F2085" s="8" t="n">
        <v>0</v>
      </c>
    </row>
    <row r="2086" customFormat="false" ht="15" hidden="false" customHeight="true" outlineLevel="0" collapsed="false">
      <c r="A2086" s="8" t="s">
        <v>280</v>
      </c>
      <c r="B2086" s="8" t="s">
        <v>1282</v>
      </c>
      <c r="C2086" s="8" t="n">
        <v>0</v>
      </c>
      <c r="D2086" s="8" t="n">
        <v>0</v>
      </c>
      <c r="E2086" s="8" t="n">
        <v>2</v>
      </c>
      <c r="F2086" s="8" t="n">
        <v>214.18</v>
      </c>
    </row>
    <row r="2087" customFormat="false" ht="15" hidden="false" customHeight="true" outlineLevel="0" collapsed="false">
      <c r="A2087" s="8" t="s">
        <v>216</v>
      </c>
      <c r="B2087" s="8" t="s">
        <v>1223</v>
      </c>
      <c r="C2087" s="8" t="n">
        <v>1</v>
      </c>
      <c r="D2087" s="8" t="n">
        <v>77.8</v>
      </c>
      <c r="E2087" s="8" t="n">
        <v>0</v>
      </c>
      <c r="F2087" s="8" t="n">
        <v>0</v>
      </c>
    </row>
    <row r="2088" customFormat="false" ht="15" hidden="false" customHeight="true" outlineLevel="0" collapsed="false">
      <c r="A2088" s="8" t="s">
        <v>183</v>
      </c>
      <c r="B2088" s="8" t="s">
        <v>1224</v>
      </c>
      <c r="C2088" s="8" t="n">
        <v>7</v>
      </c>
      <c r="D2088" s="8" t="n">
        <v>171.01</v>
      </c>
      <c r="E2088" s="8" t="n">
        <v>2</v>
      </c>
      <c r="F2088" s="8" t="n">
        <v>48.86</v>
      </c>
    </row>
    <row r="2089" customFormat="false" ht="15" hidden="false" customHeight="true" outlineLevel="0" collapsed="false">
      <c r="A2089" s="8" t="s">
        <v>161</v>
      </c>
      <c r="B2089" s="8" t="s">
        <v>1208</v>
      </c>
      <c r="C2089" s="8" t="n">
        <v>17</v>
      </c>
      <c r="D2089" s="8" t="n">
        <v>773.5</v>
      </c>
      <c r="E2089" s="8" t="n">
        <v>9</v>
      </c>
      <c r="F2089" s="8" t="n">
        <v>409.5</v>
      </c>
    </row>
    <row r="2090" customFormat="false" ht="15" hidden="false" customHeight="true" outlineLevel="0" collapsed="false">
      <c r="A2090" s="8" t="s">
        <v>162</v>
      </c>
      <c r="B2090" s="8" t="s">
        <v>1209</v>
      </c>
      <c r="C2090" s="8" t="n">
        <v>0</v>
      </c>
      <c r="D2090" s="8" t="n">
        <v>0</v>
      </c>
      <c r="E2090" s="8" t="n">
        <v>3</v>
      </c>
      <c r="F2090" s="8" t="n">
        <v>233.4</v>
      </c>
    </row>
    <row r="2091" customFormat="false" ht="15" hidden="false" customHeight="true" outlineLevel="0" collapsed="false">
      <c r="A2091" s="8" t="s">
        <v>166</v>
      </c>
      <c r="B2091" s="8" t="s">
        <v>1211</v>
      </c>
      <c r="C2091" s="8" t="n">
        <v>3</v>
      </c>
      <c r="D2091" s="8" t="n">
        <v>189.81</v>
      </c>
      <c r="E2091" s="8" t="n">
        <v>2</v>
      </c>
      <c r="F2091" s="8" t="n">
        <v>126.54</v>
      </c>
    </row>
    <row r="2092" customFormat="false" ht="15" hidden="false" customHeight="true" outlineLevel="0" collapsed="false">
      <c r="A2092" s="8" t="s">
        <v>164</v>
      </c>
      <c r="B2092" s="8" t="s">
        <v>1211</v>
      </c>
      <c r="C2092" s="8" t="n">
        <v>2</v>
      </c>
      <c r="D2092" s="8" t="n">
        <v>126.54</v>
      </c>
      <c r="E2092" s="8" t="n">
        <v>2</v>
      </c>
      <c r="F2092" s="8" t="n">
        <v>126.54</v>
      </c>
    </row>
    <row r="2093" customFormat="false" ht="15" hidden="false" customHeight="true" outlineLevel="0" collapsed="false">
      <c r="A2093" s="8" t="s">
        <v>188</v>
      </c>
      <c r="B2093" s="8" t="s">
        <v>1225</v>
      </c>
      <c r="C2093" s="8" t="n">
        <v>8</v>
      </c>
      <c r="D2093" s="8" t="n">
        <v>231.44</v>
      </c>
      <c r="E2093" s="8" t="n">
        <v>0</v>
      </c>
      <c r="F2093" s="8" t="n">
        <v>0</v>
      </c>
    </row>
    <row r="2094" customFormat="false" ht="15" hidden="false" customHeight="true" outlineLevel="0" collapsed="false">
      <c r="A2094" s="8" t="s">
        <v>210</v>
      </c>
      <c r="B2094" s="8" t="s">
        <v>1225</v>
      </c>
      <c r="C2094" s="8" t="n">
        <v>4</v>
      </c>
      <c r="D2094" s="8" t="n">
        <v>115.72</v>
      </c>
      <c r="E2094" s="8" t="n">
        <v>0</v>
      </c>
      <c r="F2094" s="8" t="n">
        <v>0</v>
      </c>
    </row>
    <row r="2095" customFormat="false" ht="15" hidden="false" customHeight="true" outlineLevel="0" collapsed="false">
      <c r="A2095" s="8" t="s">
        <v>241</v>
      </c>
      <c r="B2095" s="8" t="s">
        <v>1227</v>
      </c>
      <c r="C2095" s="8" t="n">
        <v>6</v>
      </c>
      <c r="D2095" s="8" t="n">
        <v>102</v>
      </c>
      <c r="E2095" s="8" t="n">
        <v>2</v>
      </c>
      <c r="F2095" s="8" t="n">
        <v>34</v>
      </c>
    </row>
    <row r="2096" customFormat="false" ht="15" hidden="false" customHeight="true" outlineLevel="0" collapsed="false">
      <c r="A2096" s="8" t="s">
        <v>219</v>
      </c>
      <c r="B2096" s="8" t="s">
        <v>1227</v>
      </c>
      <c r="C2096" s="8" t="n">
        <v>8</v>
      </c>
      <c r="D2096" s="8" t="n">
        <v>136</v>
      </c>
      <c r="E2096" s="8" t="n">
        <v>0</v>
      </c>
      <c r="F2096" s="8" t="n">
        <v>0</v>
      </c>
    </row>
    <row r="2097" customFormat="false" ht="15" hidden="false" customHeight="true" outlineLevel="0" collapsed="false">
      <c r="A2097" s="8" t="s">
        <v>292</v>
      </c>
      <c r="B2097" s="8" t="s">
        <v>1227</v>
      </c>
      <c r="C2097" s="8" t="n">
        <v>2</v>
      </c>
      <c r="D2097" s="8" t="n">
        <v>34</v>
      </c>
      <c r="E2097" s="8" t="n">
        <v>0</v>
      </c>
      <c r="F2097" s="8" t="n">
        <v>0</v>
      </c>
    </row>
    <row r="2098" customFormat="false" ht="15" hidden="false" customHeight="true" outlineLevel="0" collapsed="false">
      <c r="A2098" s="8" t="s">
        <v>237</v>
      </c>
      <c r="B2098" s="8" t="s">
        <v>1259</v>
      </c>
      <c r="C2098" s="8" t="n">
        <v>0</v>
      </c>
      <c r="D2098" s="8" t="n">
        <v>0</v>
      </c>
      <c r="E2098" s="8" t="n">
        <v>4</v>
      </c>
      <c r="F2098" s="8" t="n">
        <v>73.8</v>
      </c>
    </row>
    <row r="2099" customFormat="false" ht="15" hidden="false" customHeight="true" outlineLevel="0" collapsed="false">
      <c r="A2099" s="8" t="s">
        <v>246</v>
      </c>
      <c r="B2099" s="8" t="s">
        <v>1261</v>
      </c>
      <c r="C2099" s="8" t="n">
        <v>4</v>
      </c>
      <c r="D2099" s="8" t="n">
        <v>69.4</v>
      </c>
      <c r="E2099" s="8" t="n">
        <v>0</v>
      </c>
      <c r="F2099" s="8" t="n">
        <v>0</v>
      </c>
    </row>
    <row r="2100" customFormat="false" ht="15" hidden="false" customHeight="true" outlineLevel="0" collapsed="false">
      <c r="A2100" s="8" t="s">
        <v>202</v>
      </c>
      <c r="B2100" s="8" t="s">
        <v>1212</v>
      </c>
      <c r="C2100" s="8" t="n">
        <v>0</v>
      </c>
      <c r="D2100" s="8" t="n">
        <v>0</v>
      </c>
      <c r="E2100" s="8" t="n">
        <v>4</v>
      </c>
      <c r="F2100" s="8" t="n">
        <v>38</v>
      </c>
    </row>
    <row r="2101" customFormat="false" ht="15" hidden="false" customHeight="true" outlineLevel="0" collapsed="false">
      <c r="A2101" s="8" t="s">
        <v>244</v>
      </c>
      <c r="B2101" s="8" t="s">
        <v>1213</v>
      </c>
      <c r="C2101" s="8" t="n">
        <v>2</v>
      </c>
      <c r="D2101" s="8" t="n">
        <v>19</v>
      </c>
      <c r="E2101" s="8" t="n">
        <v>2</v>
      </c>
      <c r="F2101" s="8" t="n">
        <v>19</v>
      </c>
    </row>
    <row r="2102" customFormat="false" ht="15" hidden="false" customHeight="true" outlineLevel="0" collapsed="false">
      <c r="A2102" s="8" t="s">
        <v>251</v>
      </c>
      <c r="B2102" s="8" t="s">
        <v>1262</v>
      </c>
      <c r="C2102" s="8" t="n">
        <v>0</v>
      </c>
      <c r="D2102" s="8" t="n">
        <v>0</v>
      </c>
      <c r="E2102" s="8" t="n">
        <v>2</v>
      </c>
      <c r="F2102" s="8" t="n">
        <v>19.42</v>
      </c>
    </row>
    <row r="2103" customFormat="false" ht="15" hidden="false" customHeight="true" outlineLevel="0" collapsed="false">
      <c r="A2103" s="8" t="s">
        <v>308</v>
      </c>
      <c r="B2103" s="8" t="s">
        <v>1229</v>
      </c>
      <c r="C2103" s="8" t="n">
        <v>0</v>
      </c>
      <c r="D2103" s="8" t="n">
        <v>0</v>
      </c>
      <c r="E2103" s="8" t="n">
        <v>3</v>
      </c>
      <c r="F2103" s="8" t="n">
        <v>24.24</v>
      </c>
    </row>
    <row r="2104" customFormat="false" ht="15" hidden="false" customHeight="true" outlineLevel="0" collapsed="false">
      <c r="A2104" s="8" t="s">
        <v>213</v>
      </c>
      <c r="B2104" s="8" t="s">
        <v>1232</v>
      </c>
      <c r="C2104" s="8" t="n">
        <v>8</v>
      </c>
      <c r="D2104" s="8" t="n">
        <v>220.4</v>
      </c>
      <c r="E2104" s="8" t="n">
        <v>0</v>
      </c>
      <c r="F2104" s="8" t="n">
        <v>0</v>
      </c>
    </row>
    <row r="2105" customFormat="false" ht="15" hidden="false" customHeight="true" outlineLevel="0" collapsed="false">
      <c r="A2105" s="8" t="s">
        <v>192</v>
      </c>
      <c r="B2105" s="8" t="s">
        <v>1240</v>
      </c>
      <c r="C2105" s="8" t="n">
        <v>2</v>
      </c>
      <c r="D2105" s="8" t="n">
        <v>83.62</v>
      </c>
      <c r="E2105" s="8" t="n">
        <v>0</v>
      </c>
      <c r="F2105" s="8" t="n">
        <v>0</v>
      </c>
    </row>
    <row r="2106" customFormat="false" ht="15" hidden="false" customHeight="true" outlineLevel="0" collapsed="false">
      <c r="A2106" s="8" t="s">
        <v>168</v>
      </c>
      <c r="B2106" s="8" t="s">
        <v>1240</v>
      </c>
      <c r="C2106" s="8" t="n">
        <v>5</v>
      </c>
      <c r="D2106" s="8" t="n">
        <v>209.05</v>
      </c>
      <c r="E2106" s="8" t="n">
        <v>0</v>
      </c>
      <c r="F2106" s="8" t="n">
        <v>0</v>
      </c>
    </row>
    <row r="2107" customFormat="false" ht="15" hidden="false" customHeight="true" outlineLevel="0" collapsed="false">
      <c r="A2107" s="8" t="s">
        <v>169</v>
      </c>
      <c r="B2107" s="8" t="s">
        <v>1240</v>
      </c>
      <c r="C2107" s="8" t="n">
        <v>3</v>
      </c>
      <c r="D2107" s="8" t="n">
        <v>125.43</v>
      </c>
      <c r="E2107" s="8" t="n">
        <v>0</v>
      </c>
      <c r="F2107" s="8" t="n">
        <v>0</v>
      </c>
    </row>
    <row r="2108" customFormat="false" ht="15" hidden="false" customHeight="true" outlineLevel="0" collapsed="false">
      <c r="A2108" s="8" t="s">
        <v>268</v>
      </c>
      <c r="B2108" s="8" t="s">
        <v>1234</v>
      </c>
      <c r="C2108" s="8" t="n">
        <v>1</v>
      </c>
      <c r="D2108" s="8" t="n">
        <v>35.67</v>
      </c>
      <c r="E2108" s="8" t="n">
        <v>0</v>
      </c>
      <c r="F2108" s="8" t="n">
        <v>0</v>
      </c>
    </row>
    <row r="2109" customFormat="false" ht="15" hidden="false" customHeight="true" outlineLevel="0" collapsed="false">
      <c r="A2109" s="8" t="s">
        <v>209</v>
      </c>
      <c r="B2109" s="8" t="s">
        <v>1245</v>
      </c>
      <c r="C2109" s="8" t="n">
        <v>3</v>
      </c>
      <c r="D2109" s="8" t="n">
        <v>194.67</v>
      </c>
      <c r="E2109" s="8" t="n">
        <v>0</v>
      </c>
      <c r="F2109" s="8" t="n">
        <v>0</v>
      </c>
    </row>
    <row r="2110" customFormat="false" ht="15" hidden="false" customHeight="true" outlineLevel="0" collapsed="false">
      <c r="A2110" s="8" t="s">
        <v>180</v>
      </c>
      <c r="B2110" s="8" t="s">
        <v>1216</v>
      </c>
      <c r="C2110" s="8" t="n">
        <v>12</v>
      </c>
      <c r="D2110" s="8" t="n">
        <v>198</v>
      </c>
      <c r="E2110" s="8" t="n">
        <v>0</v>
      </c>
      <c r="F2110" s="8" t="n">
        <v>0</v>
      </c>
    </row>
    <row r="2111" customFormat="false" ht="15" hidden="false" customHeight="true" outlineLevel="0" collapsed="false">
      <c r="A2111" s="8" t="s">
        <v>189</v>
      </c>
      <c r="B2111" s="8" t="s">
        <v>1216</v>
      </c>
      <c r="C2111" s="8" t="n">
        <v>7</v>
      </c>
      <c r="D2111" s="8" t="n">
        <v>115.5</v>
      </c>
      <c r="E2111" s="8" t="n">
        <v>0</v>
      </c>
      <c r="F2111" s="8" t="n">
        <v>0</v>
      </c>
    </row>
    <row r="2112" customFormat="false" ht="15" hidden="false" customHeight="true" outlineLevel="0" collapsed="false">
      <c r="A2112" s="8" t="s">
        <v>199</v>
      </c>
      <c r="B2112" s="8" t="s">
        <v>1216</v>
      </c>
      <c r="C2112" s="8" t="n">
        <v>11</v>
      </c>
      <c r="D2112" s="8" t="n">
        <v>181.5</v>
      </c>
      <c r="E2112" s="8" t="n">
        <v>0</v>
      </c>
      <c r="F2112" s="8" t="n">
        <v>0</v>
      </c>
    </row>
    <row r="2113" customFormat="false" ht="15" hidden="false" customHeight="true" outlineLevel="0" collapsed="false">
      <c r="A2113" s="8" t="s">
        <v>198</v>
      </c>
      <c r="B2113" s="8" t="s">
        <v>1217</v>
      </c>
      <c r="C2113" s="8" t="n">
        <v>9</v>
      </c>
      <c r="D2113" s="8" t="n">
        <v>184.5</v>
      </c>
      <c r="E2113" s="8" t="n">
        <v>2</v>
      </c>
      <c r="F2113" s="8" t="n">
        <v>41</v>
      </c>
    </row>
    <row r="2114" customFormat="false" ht="15" hidden="false" customHeight="true" outlineLevel="0" collapsed="false">
      <c r="A2114" s="8" t="s">
        <v>193</v>
      </c>
      <c r="B2114" s="8" t="s">
        <v>1217</v>
      </c>
      <c r="C2114" s="8" t="n">
        <v>6</v>
      </c>
      <c r="D2114" s="8" t="n">
        <v>123</v>
      </c>
      <c r="E2114" s="8" t="n">
        <v>6</v>
      </c>
      <c r="F2114" s="8" t="n">
        <v>123</v>
      </c>
    </row>
    <row r="2115" customFormat="false" ht="15" hidden="false" customHeight="true" outlineLevel="0" collapsed="false">
      <c r="A2115" s="8" t="s">
        <v>302</v>
      </c>
      <c r="B2115" s="8" t="s">
        <v>1217</v>
      </c>
      <c r="C2115" s="8" t="n">
        <v>2</v>
      </c>
      <c r="D2115" s="8" t="n">
        <v>41</v>
      </c>
      <c r="E2115" s="8" t="n">
        <v>0</v>
      </c>
      <c r="F2115" s="8" t="n">
        <v>0</v>
      </c>
    </row>
    <row r="2116" customFormat="false" ht="15" hidden="false" customHeight="true" outlineLevel="0" collapsed="false">
      <c r="A2116" s="8" t="s">
        <v>205</v>
      </c>
      <c r="B2116" s="8" t="s">
        <v>1217</v>
      </c>
      <c r="C2116" s="8" t="n">
        <v>0</v>
      </c>
      <c r="D2116" s="8" t="n">
        <v>0</v>
      </c>
      <c r="E2116" s="8" t="n">
        <v>3</v>
      </c>
      <c r="F2116" s="8" t="n">
        <v>61.5</v>
      </c>
    </row>
    <row r="2117" customFormat="false" ht="15" hidden="false" customHeight="true" outlineLevel="0" collapsed="false">
      <c r="A2117" s="8" t="s">
        <v>249</v>
      </c>
      <c r="B2117" s="8" t="s">
        <v>1285</v>
      </c>
      <c r="C2117" s="8" t="n">
        <v>1</v>
      </c>
      <c r="D2117" s="8" t="n">
        <v>136.3</v>
      </c>
      <c r="E2117" s="8" t="n">
        <v>0</v>
      </c>
      <c r="F2117" s="8" t="n">
        <v>0</v>
      </c>
    </row>
    <row r="2118" customFormat="false" ht="15" hidden="false" customHeight="true" outlineLevel="0" collapsed="false">
      <c r="A2118" s="8" t="s">
        <v>257</v>
      </c>
      <c r="B2118" s="8" t="s">
        <v>1284</v>
      </c>
      <c r="C2118" s="8" t="n">
        <v>3</v>
      </c>
      <c r="D2118" s="8" t="n">
        <v>97.29</v>
      </c>
      <c r="E2118" s="8" t="n">
        <v>2</v>
      </c>
      <c r="F2118" s="8" t="n">
        <v>64.86</v>
      </c>
    </row>
    <row r="2119" customFormat="false" ht="15" hidden="false" customHeight="true" outlineLevel="0" collapsed="false">
      <c r="A2119" s="8" t="s">
        <v>185</v>
      </c>
      <c r="B2119" s="8" t="s">
        <v>1218</v>
      </c>
      <c r="C2119" s="8" t="n">
        <v>3</v>
      </c>
      <c r="D2119" s="8" t="n">
        <v>379.5</v>
      </c>
      <c r="E2119" s="8" t="n">
        <v>0</v>
      </c>
      <c r="F2119" s="8" t="n">
        <v>0</v>
      </c>
    </row>
    <row r="2120" customFormat="false" ht="15" hidden="false" customHeight="true" outlineLevel="0" collapsed="false">
      <c r="A2120" s="8" t="s">
        <v>195</v>
      </c>
      <c r="B2120" s="8" t="s">
        <v>1218</v>
      </c>
      <c r="C2120" s="8" t="n">
        <v>1</v>
      </c>
      <c r="D2120" s="8" t="n">
        <v>126.5</v>
      </c>
      <c r="E2120" s="8" t="n">
        <v>0</v>
      </c>
      <c r="F2120" s="8" t="n">
        <v>0</v>
      </c>
    </row>
    <row r="2121" customFormat="false" ht="15" hidden="false" customHeight="true" outlineLevel="0" collapsed="false">
      <c r="A2121" s="8" t="s">
        <v>234</v>
      </c>
      <c r="B2121" s="8" t="s">
        <v>769</v>
      </c>
      <c r="C2121" s="8" t="n">
        <v>1</v>
      </c>
      <c r="D2121" s="8" t="n">
        <v>17</v>
      </c>
      <c r="E2121" s="8" t="n">
        <v>1</v>
      </c>
      <c r="F2121" s="8" t="n">
        <v>17</v>
      </c>
    </row>
    <row r="2122" customFormat="false" ht="15" hidden="false" customHeight="true" outlineLevel="0" collapsed="false">
      <c r="A2122" s="8" t="s">
        <v>247</v>
      </c>
      <c r="B2122" s="8" t="s">
        <v>769</v>
      </c>
      <c r="C2122" s="8" t="n">
        <v>4</v>
      </c>
      <c r="D2122" s="8" t="n">
        <v>68</v>
      </c>
      <c r="E2122" s="8" t="n">
        <v>1</v>
      </c>
      <c r="F2122" s="8" t="n">
        <v>17</v>
      </c>
    </row>
    <row r="2123" customFormat="false" ht="15" hidden="false" customHeight="true" outlineLevel="0" collapsed="false">
      <c r="A2123" s="8" t="s">
        <v>170</v>
      </c>
      <c r="B2123" s="8" t="s">
        <v>1220</v>
      </c>
      <c r="C2123" s="8" t="n">
        <v>6</v>
      </c>
      <c r="D2123" s="8" t="n">
        <v>88.8</v>
      </c>
      <c r="E2123" s="8" t="n">
        <v>0</v>
      </c>
      <c r="F2123" s="8" t="n">
        <v>0</v>
      </c>
    </row>
    <row r="2124" customFormat="false" ht="15" hidden="false" customHeight="true" outlineLevel="0" collapsed="false">
      <c r="A2124" s="8" t="s">
        <v>167</v>
      </c>
      <c r="B2124" s="8" t="s">
        <v>1238</v>
      </c>
      <c r="C2124" s="8" t="n">
        <v>6</v>
      </c>
      <c r="D2124" s="8" t="n">
        <v>80.4</v>
      </c>
      <c r="E2124" s="8" t="n">
        <v>0</v>
      </c>
      <c r="F2124" s="8" t="n">
        <v>0</v>
      </c>
    </row>
    <row r="2125" customFormat="false" ht="15" hidden="false" customHeight="true" outlineLevel="0" collapsed="false">
      <c r="A2125" s="8" t="s">
        <v>200</v>
      </c>
      <c r="B2125" s="8" t="s">
        <v>1279</v>
      </c>
      <c r="C2125" s="8" t="n">
        <v>1</v>
      </c>
      <c r="D2125" s="8" t="n">
        <v>77.24</v>
      </c>
      <c r="E2125" s="8" t="n">
        <v>0</v>
      </c>
      <c r="F2125" s="8" t="n">
        <v>0</v>
      </c>
    </row>
    <row r="2126" customFormat="false" ht="15" hidden="false" customHeight="true" outlineLevel="0" collapsed="false">
      <c r="A2126" s="8" t="s">
        <v>170</v>
      </c>
      <c r="B2126" s="8" t="s">
        <v>1220</v>
      </c>
      <c r="C2126" s="8" t="n">
        <v>24</v>
      </c>
      <c r="D2126" s="8" t="n">
        <v>355.2</v>
      </c>
      <c r="E2126" s="8" t="n">
        <v>0</v>
      </c>
      <c r="F2126" s="8" t="n">
        <v>0</v>
      </c>
    </row>
    <row r="2127" customFormat="false" ht="15" hidden="false" customHeight="true" outlineLevel="0" collapsed="false">
      <c r="A2127" s="8" t="s">
        <v>197</v>
      </c>
      <c r="B2127" s="8" t="s">
        <v>1222</v>
      </c>
      <c r="C2127" s="8" t="n">
        <v>0</v>
      </c>
      <c r="D2127" s="8" t="n">
        <v>0</v>
      </c>
      <c r="E2127" s="8" t="n">
        <v>2</v>
      </c>
      <c r="F2127" s="8" t="n">
        <v>130</v>
      </c>
    </row>
    <row r="2128" customFormat="false" ht="15" hidden="false" customHeight="true" outlineLevel="0" collapsed="false">
      <c r="A2128" s="8" t="s">
        <v>163</v>
      </c>
      <c r="B2128" s="8" t="s">
        <v>897</v>
      </c>
      <c r="C2128" s="8" t="n">
        <v>9</v>
      </c>
      <c r="D2128" s="8" t="n">
        <v>585</v>
      </c>
      <c r="E2128" s="8" t="n">
        <v>0</v>
      </c>
      <c r="F2128" s="8" t="n">
        <v>0</v>
      </c>
    </row>
    <row r="2129" customFormat="false" ht="15" hidden="false" customHeight="true" outlineLevel="0" collapsed="false">
      <c r="A2129" s="8" t="s">
        <v>181</v>
      </c>
      <c r="B2129" s="8" t="s">
        <v>897</v>
      </c>
      <c r="C2129" s="8" t="n">
        <v>4</v>
      </c>
      <c r="D2129" s="8" t="n">
        <v>260</v>
      </c>
      <c r="E2129" s="8" t="n">
        <v>0</v>
      </c>
      <c r="F2129" s="8" t="n">
        <v>0</v>
      </c>
    </row>
    <row r="2130" customFormat="false" ht="15" hidden="false" customHeight="true" outlineLevel="0" collapsed="false">
      <c r="A2130" s="8" t="s">
        <v>165</v>
      </c>
      <c r="B2130" s="8" t="s">
        <v>897</v>
      </c>
      <c r="C2130" s="8" t="n">
        <v>0</v>
      </c>
      <c r="D2130" s="8" t="n">
        <v>0</v>
      </c>
      <c r="E2130" s="8" t="n">
        <v>1</v>
      </c>
      <c r="F2130" s="8" t="n">
        <v>65</v>
      </c>
    </row>
    <row r="2131" customFormat="false" ht="15" hidden="false" customHeight="true" outlineLevel="0" collapsed="false">
      <c r="A2131" s="8" t="s">
        <v>184</v>
      </c>
      <c r="B2131" s="8" t="s">
        <v>897</v>
      </c>
      <c r="C2131" s="8" t="n">
        <v>2</v>
      </c>
      <c r="D2131" s="8" t="n">
        <v>130</v>
      </c>
      <c r="E2131" s="8" t="n">
        <v>0</v>
      </c>
      <c r="F2131" s="8" t="n">
        <v>0</v>
      </c>
    </row>
    <row r="2132" customFormat="false" ht="15" hidden="false" customHeight="true" outlineLevel="0" collapsed="false">
      <c r="A2132" s="8" t="s">
        <v>173</v>
      </c>
      <c r="B2132" s="8" t="s">
        <v>1244</v>
      </c>
      <c r="C2132" s="8" t="n">
        <v>1</v>
      </c>
      <c r="D2132" s="8" t="n">
        <v>175.5</v>
      </c>
      <c r="E2132" s="8" t="n">
        <v>1</v>
      </c>
      <c r="F2132" s="8" t="n">
        <v>175.5</v>
      </c>
    </row>
    <row r="2133" customFormat="false" ht="15" hidden="false" customHeight="true" outlineLevel="0" collapsed="false">
      <c r="A2133" s="8" t="s">
        <v>208</v>
      </c>
      <c r="B2133" s="8" t="s">
        <v>1179</v>
      </c>
      <c r="C2133" s="8" t="n">
        <v>1</v>
      </c>
      <c r="D2133" s="8" t="n">
        <v>72.34</v>
      </c>
      <c r="E2133" s="8" t="n">
        <v>0</v>
      </c>
      <c r="F2133" s="8" t="n">
        <v>0</v>
      </c>
    </row>
    <row r="2134" customFormat="false" ht="15" hidden="false" customHeight="true" outlineLevel="0" collapsed="false">
      <c r="A2134" s="8" t="s">
        <v>191</v>
      </c>
      <c r="B2134" s="8" t="s">
        <v>1179</v>
      </c>
      <c r="C2134" s="8" t="n">
        <v>2</v>
      </c>
      <c r="D2134" s="8" t="n">
        <v>144.68</v>
      </c>
      <c r="E2134" s="8" t="n">
        <v>0</v>
      </c>
      <c r="F2134" s="8" t="n">
        <v>0</v>
      </c>
    </row>
    <row r="2135" customFormat="false" ht="15" hidden="false" customHeight="true" outlineLevel="0" collapsed="false">
      <c r="A2135" s="8" t="s">
        <v>216</v>
      </c>
      <c r="B2135" s="8" t="s">
        <v>1223</v>
      </c>
      <c r="C2135" s="8" t="n">
        <v>11</v>
      </c>
      <c r="D2135" s="8" t="n">
        <v>855.8</v>
      </c>
      <c r="E2135" s="8" t="n">
        <v>0</v>
      </c>
      <c r="F2135" s="8" t="n">
        <v>0</v>
      </c>
    </row>
    <row r="2136" customFormat="false" ht="15" hidden="false" customHeight="true" outlineLevel="0" collapsed="false">
      <c r="A2136" s="8" t="s">
        <v>236</v>
      </c>
      <c r="B2136" s="8" t="s">
        <v>1223</v>
      </c>
      <c r="C2136" s="8" t="n">
        <v>8</v>
      </c>
      <c r="D2136" s="8" t="n">
        <v>622.4</v>
      </c>
      <c r="E2136" s="8" t="n">
        <v>4</v>
      </c>
      <c r="F2136" s="8" t="n">
        <v>311.2</v>
      </c>
    </row>
    <row r="2137" customFormat="false" ht="15" hidden="false" customHeight="true" outlineLevel="0" collapsed="false">
      <c r="A2137" s="8" t="s">
        <v>190</v>
      </c>
      <c r="B2137" s="8" t="s">
        <v>1224</v>
      </c>
      <c r="C2137" s="8" t="n">
        <v>3</v>
      </c>
      <c r="D2137" s="8" t="n">
        <v>73.29</v>
      </c>
      <c r="E2137" s="8" t="n">
        <v>0</v>
      </c>
      <c r="F2137" s="8" t="n">
        <v>0</v>
      </c>
    </row>
    <row r="2138" customFormat="false" ht="15" hidden="false" customHeight="true" outlineLevel="0" collapsed="false">
      <c r="A2138" s="8" t="s">
        <v>183</v>
      </c>
      <c r="B2138" s="8" t="s">
        <v>1224</v>
      </c>
      <c r="C2138" s="8" t="n">
        <v>6</v>
      </c>
      <c r="D2138" s="8" t="n">
        <v>146.58</v>
      </c>
      <c r="E2138" s="8" t="n">
        <v>2</v>
      </c>
      <c r="F2138" s="8" t="n">
        <v>48.86</v>
      </c>
    </row>
    <row r="2139" customFormat="false" ht="15" hidden="false" customHeight="true" outlineLevel="0" collapsed="false">
      <c r="A2139" s="8" t="s">
        <v>218</v>
      </c>
      <c r="B2139" s="8" t="s">
        <v>1224</v>
      </c>
      <c r="C2139" s="8" t="n">
        <v>3</v>
      </c>
      <c r="D2139" s="8" t="n">
        <v>73.29</v>
      </c>
      <c r="E2139" s="8" t="n">
        <v>0</v>
      </c>
      <c r="F2139" s="8" t="n">
        <v>0</v>
      </c>
    </row>
    <row r="2140" customFormat="false" ht="15" hidden="false" customHeight="true" outlineLevel="0" collapsed="false">
      <c r="A2140" s="8" t="s">
        <v>289</v>
      </c>
      <c r="B2140" s="8" t="s">
        <v>1270</v>
      </c>
      <c r="C2140" s="8" t="n">
        <v>6</v>
      </c>
      <c r="D2140" s="8" t="n">
        <v>66</v>
      </c>
      <c r="E2140" s="8" t="n">
        <v>0</v>
      </c>
      <c r="F2140" s="8" t="n">
        <v>0</v>
      </c>
    </row>
    <row r="2141" customFormat="false" ht="15" hidden="false" customHeight="true" outlineLevel="0" collapsed="false">
      <c r="A2141" s="8" t="s">
        <v>337</v>
      </c>
      <c r="B2141" s="8" t="s">
        <v>1272</v>
      </c>
      <c r="C2141" s="8" t="n">
        <v>6</v>
      </c>
      <c r="D2141" s="8" t="n">
        <v>66</v>
      </c>
      <c r="E2141" s="8" t="n">
        <v>0</v>
      </c>
      <c r="F2141" s="8" t="n">
        <v>0</v>
      </c>
    </row>
    <row r="2142" customFormat="false" ht="15" hidden="false" customHeight="true" outlineLevel="0" collapsed="false">
      <c r="A2142" s="8" t="s">
        <v>161</v>
      </c>
      <c r="B2142" s="8" t="s">
        <v>1208</v>
      </c>
      <c r="C2142" s="8" t="n">
        <v>16</v>
      </c>
      <c r="D2142" s="8" t="n">
        <v>728</v>
      </c>
      <c r="E2142" s="8" t="n">
        <v>22</v>
      </c>
      <c r="F2142" s="8" t="n">
        <v>1001</v>
      </c>
    </row>
    <row r="2143" customFormat="false" ht="15" hidden="false" customHeight="true" outlineLevel="0" collapsed="false">
      <c r="A2143" s="8" t="s">
        <v>162</v>
      </c>
      <c r="B2143" s="8" t="s">
        <v>1209</v>
      </c>
      <c r="C2143" s="8" t="n">
        <v>12</v>
      </c>
      <c r="D2143" s="8" t="n">
        <v>933.6</v>
      </c>
      <c r="E2143" s="8" t="n">
        <v>6</v>
      </c>
      <c r="F2143" s="8" t="n">
        <v>466.8</v>
      </c>
    </row>
    <row r="2144" customFormat="false" ht="15" hidden="false" customHeight="true" outlineLevel="0" collapsed="false">
      <c r="A2144" s="8" t="s">
        <v>171</v>
      </c>
      <c r="B2144" s="8" t="s">
        <v>1210</v>
      </c>
      <c r="C2144" s="8" t="n">
        <v>3</v>
      </c>
      <c r="D2144" s="8" t="n">
        <v>141.69</v>
      </c>
      <c r="E2144" s="8" t="n">
        <v>2</v>
      </c>
      <c r="F2144" s="8" t="n">
        <v>94.46</v>
      </c>
    </row>
    <row r="2145" customFormat="false" ht="15" hidden="false" customHeight="true" outlineLevel="0" collapsed="false">
      <c r="A2145" s="8" t="s">
        <v>174</v>
      </c>
      <c r="B2145" s="8" t="s">
        <v>1210</v>
      </c>
      <c r="C2145" s="8" t="n">
        <v>12</v>
      </c>
      <c r="D2145" s="8" t="n">
        <v>566.76</v>
      </c>
      <c r="E2145" s="8" t="n">
        <v>0</v>
      </c>
      <c r="F2145" s="8" t="n">
        <v>0</v>
      </c>
    </row>
    <row r="2146" customFormat="false" ht="15" hidden="false" customHeight="true" outlineLevel="0" collapsed="false">
      <c r="A2146" s="8" t="s">
        <v>166</v>
      </c>
      <c r="B2146" s="8" t="s">
        <v>1211</v>
      </c>
      <c r="C2146" s="8" t="n">
        <v>3</v>
      </c>
      <c r="D2146" s="8" t="n">
        <v>189.81</v>
      </c>
      <c r="E2146" s="8" t="n">
        <v>0</v>
      </c>
      <c r="F2146" s="8" t="n">
        <v>0</v>
      </c>
    </row>
    <row r="2147" customFormat="false" ht="15" hidden="false" customHeight="true" outlineLevel="0" collapsed="false">
      <c r="A2147" s="8" t="s">
        <v>164</v>
      </c>
      <c r="B2147" s="8" t="s">
        <v>1211</v>
      </c>
      <c r="C2147" s="8" t="n">
        <v>2</v>
      </c>
      <c r="D2147" s="8" t="n">
        <v>126.54</v>
      </c>
      <c r="E2147" s="8" t="n">
        <v>0</v>
      </c>
      <c r="F2147" s="8" t="n">
        <v>0</v>
      </c>
    </row>
    <row r="2148" customFormat="false" ht="15" hidden="false" customHeight="true" outlineLevel="0" collapsed="false">
      <c r="A2148" s="8" t="s">
        <v>270</v>
      </c>
      <c r="B2148" s="8" t="s">
        <v>1251</v>
      </c>
      <c r="C2148" s="8" t="n">
        <v>0</v>
      </c>
      <c r="D2148" s="8" t="n">
        <v>0</v>
      </c>
      <c r="E2148" s="8" t="n">
        <v>2</v>
      </c>
      <c r="F2148" s="8" t="n">
        <v>19.64</v>
      </c>
    </row>
    <row r="2149" customFormat="false" ht="15" hidden="false" customHeight="true" outlineLevel="0" collapsed="false">
      <c r="A2149" s="8" t="s">
        <v>263</v>
      </c>
      <c r="B2149" s="8" t="s">
        <v>407</v>
      </c>
      <c r="C2149" s="8" t="n">
        <v>2</v>
      </c>
      <c r="D2149" s="8" t="n">
        <v>25.64</v>
      </c>
      <c r="E2149" s="8" t="n">
        <v>0</v>
      </c>
      <c r="F2149" s="8" t="n">
        <v>0</v>
      </c>
    </row>
    <row r="2150" customFormat="false" ht="15" hidden="false" customHeight="true" outlineLevel="0" collapsed="false">
      <c r="A2150" s="8" t="s">
        <v>206</v>
      </c>
      <c r="B2150" s="8" t="s">
        <v>1288</v>
      </c>
      <c r="C2150" s="8" t="n">
        <v>3</v>
      </c>
      <c r="D2150" s="8" t="n">
        <v>292.05</v>
      </c>
      <c r="E2150" s="8" t="n">
        <v>0</v>
      </c>
      <c r="F2150" s="8" t="n">
        <v>0</v>
      </c>
    </row>
    <row r="2151" customFormat="false" ht="15" hidden="false" customHeight="true" outlineLevel="0" collapsed="false">
      <c r="A2151" s="8" t="s">
        <v>188</v>
      </c>
      <c r="B2151" s="8" t="s">
        <v>1225</v>
      </c>
      <c r="C2151" s="8" t="n">
        <v>6</v>
      </c>
      <c r="D2151" s="8" t="n">
        <v>173.58</v>
      </c>
      <c r="E2151" s="8" t="n">
        <v>0</v>
      </c>
      <c r="F2151" s="8" t="n">
        <v>0</v>
      </c>
    </row>
    <row r="2152" customFormat="false" ht="15" hidden="false" customHeight="true" outlineLevel="0" collapsed="false">
      <c r="A2152" s="8" t="s">
        <v>186</v>
      </c>
      <c r="B2152" s="8" t="s">
        <v>1225</v>
      </c>
      <c r="C2152" s="8" t="n">
        <v>11</v>
      </c>
      <c r="D2152" s="8" t="n">
        <v>318.23</v>
      </c>
      <c r="E2152" s="8" t="n">
        <v>0</v>
      </c>
      <c r="F2152" s="8" t="n">
        <v>0</v>
      </c>
    </row>
    <row r="2153" customFormat="false" ht="15" hidden="false" customHeight="true" outlineLevel="0" collapsed="false">
      <c r="A2153" s="8" t="s">
        <v>239</v>
      </c>
      <c r="B2153" s="8" t="s">
        <v>1225</v>
      </c>
      <c r="C2153" s="8" t="n">
        <v>8</v>
      </c>
      <c r="D2153" s="8" t="n">
        <v>231.44</v>
      </c>
      <c r="E2153" s="8" t="n">
        <v>0</v>
      </c>
      <c r="F2153" s="8" t="n">
        <v>0</v>
      </c>
    </row>
    <row r="2154" customFormat="false" ht="15" hidden="false" customHeight="true" outlineLevel="0" collapsed="false">
      <c r="A2154" s="8" t="s">
        <v>210</v>
      </c>
      <c r="B2154" s="8" t="s">
        <v>1225</v>
      </c>
      <c r="C2154" s="8" t="n">
        <v>0</v>
      </c>
      <c r="D2154" s="8" t="n">
        <v>0</v>
      </c>
      <c r="E2154" s="8" t="n">
        <v>3</v>
      </c>
      <c r="F2154" s="8" t="n">
        <v>86.79</v>
      </c>
    </row>
    <row r="2155" customFormat="false" ht="15" hidden="false" customHeight="true" outlineLevel="0" collapsed="false">
      <c r="A2155" s="8" t="s">
        <v>238</v>
      </c>
      <c r="B2155" s="8" t="s">
        <v>1226</v>
      </c>
      <c r="C2155" s="8" t="n">
        <v>6</v>
      </c>
      <c r="D2155" s="8" t="n">
        <v>253.02</v>
      </c>
      <c r="E2155" s="8" t="n">
        <v>0</v>
      </c>
      <c r="F2155" s="8" t="n">
        <v>0</v>
      </c>
    </row>
    <row r="2156" customFormat="false" ht="15" hidden="false" customHeight="true" outlineLevel="0" collapsed="false">
      <c r="A2156" s="8" t="s">
        <v>314</v>
      </c>
      <c r="B2156" s="8" t="s">
        <v>1226</v>
      </c>
      <c r="C2156" s="8" t="n">
        <v>6</v>
      </c>
      <c r="D2156" s="8" t="n">
        <v>253.02</v>
      </c>
      <c r="E2156" s="8" t="n">
        <v>0</v>
      </c>
      <c r="F2156" s="8" t="n">
        <v>0</v>
      </c>
    </row>
    <row r="2157" customFormat="false" ht="15" hidden="false" customHeight="true" outlineLevel="0" collapsed="false">
      <c r="A2157" s="8" t="s">
        <v>241</v>
      </c>
      <c r="B2157" s="8" t="s">
        <v>1227</v>
      </c>
      <c r="C2157" s="8" t="n">
        <v>0</v>
      </c>
      <c r="D2157" s="8" t="n">
        <v>0</v>
      </c>
      <c r="E2157" s="8" t="n">
        <v>2</v>
      </c>
      <c r="F2157" s="8" t="n">
        <v>34</v>
      </c>
    </row>
    <row r="2158" customFormat="false" ht="15" hidden="false" customHeight="true" outlineLevel="0" collapsed="false">
      <c r="A2158" s="8" t="s">
        <v>219</v>
      </c>
      <c r="B2158" s="8" t="s">
        <v>1227</v>
      </c>
      <c r="C2158" s="8" t="n">
        <v>3</v>
      </c>
      <c r="D2158" s="8" t="n">
        <v>51</v>
      </c>
      <c r="E2158" s="8" t="n">
        <v>3</v>
      </c>
      <c r="F2158" s="8" t="n">
        <v>51</v>
      </c>
    </row>
    <row r="2159" customFormat="false" ht="15" hidden="false" customHeight="true" outlineLevel="0" collapsed="false">
      <c r="A2159" s="8" t="s">
        <v>223</v>
      </c>
      <c r="B2159" s="8" t="s">
        <v>1227</v>
      </c>
      <c r="C2159" s="8" t="n">
        <v>3</v>
      </c>
      <c r="D2159" s="8" t="n">
        <v>51</v>
      </c>
      <c r="E2159" s="8" t="n">
        <v>0</v>
      </c>
      <c r="F2159" s="8" t="n">
        <v>0</v>
      </c>
    </row>
    <row r="2160" customFormat="false" ht="15" hidden="false" customHeight="true" outlineLevel="0" collapsed="false">
      <c r="A2160" s="8" t="s">
        <v>287</v>
      </c>
      <c r="B2160" s="8" t="s">
        <v>1227</v>
      </c>
      <c r="C2160" s="8" t="n">
        <v>3</v>
      </c>
      <c r="D2160" s="8" t="n">
        <v>51</v>
      </c>
      <c r="E2160" s="8" t="n">
        <v>0</v>
      </c>
      <c r="F2160" s="8" t="n">
        <v>0</v>
      </c>
    </row>
    <row r="2161" customFormat="false" ht="15" hidden="false" customHeight="true" outlineLevel="0" collapsed="false">
      <c r="A2161" s="8" t="s">
        <v>229</v>
      </c>
      <c r="B2161" s="8" t="s">
        <v>881</v>
      </c>
      <c r="C2161" s="8" t="n">
        <v>2</v>
      </c>
      <c r="D2161" s="8" t="n">
        <v>82.4</v>
      </c>
      <c r="E2161" s="8" t="n">
        <v>0</v>
      </c>
      <c r="F2161" s="8" t="n">
        <v>0</v>
      </c>
    </row>
    <row r="2162" customFormat="false" ht="15" hidden="false" customHeight="true" outlineLevel="0" collapsed="false">
      <c r="A2162" s="8" t="s">
        <v>237</v>
      </c>
      <c r="B2162" s="8" t="s">
        <v>1259</v>
      </c>
      <c r="C2162" s="8" t="n">
        <v>0</v>
      </c>
      <c r="D2162" s="8" t="n">
        <v>0</v>
      </c>
      <c r="E2162" s="8" t="n">
        <v>2</v>
      </c>
      <c r="F2162" s="8" t="n">
        <v>36.9</v>
      </c>
    </row>
    <row r="2163" customFormat="false" ht="15" hidden="false" customHeight="true" outlineLevel="0" collapsed="false">
      <c r="A2163" s="8" t="s">
        <v>266</v>
      </c>
      <c r="B2163" s="8" t="s">
        <v>1228</v>
      </c>
      <c r="C2163" s="8" t="n">
        <v>2</v>
      </c>
      <c r="D2163" s="8" t="n">
        <v>39.84</v>
      </c>
      <c r="E2163" s="8" t="n">
        <v>0</v>
      </c>
      <c r="F2163" s="8" t="n">
        <v>0</v>
      </c>
    </row>
    <row r="2164" customFormat="false" ht="15" hidden="false" customHeight="true" outlineLevel="0" collapsed="false">
      <c r="A2164" s="8" t="s">
        <v>202</v>
      </c>
      <c r="B2164" s="8" t="s">
        <v>1212</v>
      </c>
      <c r="C2164" s="8" t="n">
        <v>17</v>
      </c>
      <c r="D2164" s="8" t="n">
        <v>161.5</v>
      </c>
      <c r="E2164" s="8" t="n">
        <v>0</v>
      </c>
      <c r="F2164" s="8" t="n">
        <v>0</v>
      </c>
    </row>
    <row r="2165" customFormat="false" ht="15" hidden="false" customHeight="true" outlineLevel="0" collapsed="false">
      <c r="A2165" s="8" t="s">
        <v>244</v>
      </c>
      <c r="B2165" s="8" t="s">
        <v>1213</v>
      </c>
      <c r="C2165" s="8" t="n">
        <v>2</v>
      </c>
      <c r="D2165" s="8" t="n">
        <v>19</v>
      </c>
      <c r="E2165" s="8" t="n">
        <v>0</v>
      </c>
      <c r="F2165" s="8" t="n">
        <v>0</v>
      </c>
    </row>
    <row r="2166" customFormat="false" ht="15" hidden="false" customHeight="true" outlineLevel="0" collapsed="false">
      <c r="A2166" s="8" t="s">
        <v>243</v>
      </c>
      <c r="B2166" s="8" t="s">
        <v>1253</v>
      </c>
      <c r="C2166" s="8" t="n">
        <v>6</v>
      </c>
      <c r="D2166" s="8" t="n">
        <v>77.7</v>
      </c>
      <c r="E2166" s="8" t="n">
        <v>0</v>
      </c>
      <c r="F2166" s="8" t="n">
        <v>0</v>
      </c>
    </row>
    <row r="2167" customFormat="false" ht="15" hidden="false" customHeight="true" outlineLevel="0" collapsed="false">
      <c r="A2167" s="8" t="s">
        <v>308</v>
      </c>
      <c r="B2167" s="8" t="s">
        <v>1229</v>
      </c>
      <c r="C2167" s="8" t="n">
        <v>6</v>
      </c>
      <c r="D2167" s="8" t="n">
        <v>48.48</v>
      </c>
      <c r="E2167" s="8" t="n">
        <v>0</v>
      </c>
      <c r="F2167" s="8" t="n">
        <v>0</v>
      </c>
    </row>
    <row r="2168" customFormat="false" ht="15" hidden="false" customHeight="true" outlineLevel="0" collapsed="false">
      <c r="A2168" s="8" t="s">
        <v>172</v>
      </c>
      <c r="B2168" s="8" t="s">
        <v>1214</v>
      </c>
      <c r="C2168" s="8" t="n">
        <v>3</v>
      </c>
      <c r="D2168" s="8" t="n">
        <v>36.54</v>
      </c>
      <c r="E2168" s="8" t="n">
        <v>2</v>
      </c>
      <c r="F2168" s="8" t="n">
        <v>24.36</v>
      </c>
    </row>
    <row r="2169" customFormat="false" ht="15" hidden="false" customHeight="true" outlineLevel="0" collapsed="false">
      <c r="A2169" s="8" t="s">
        <v>261</v>
      </c>
      <c r="B2169" s="8" t="s">
        <v>1215</v>
      </c>
      <c r="C2169" s="8" t="n">
        <v>2</v>
      </c>
      <c r="D2169" s="8" t="n">
        <v>42.42</v>
      </c>
      <c r="E2169" s="8" t="n">
        <v>3</v>
      </c>
      <c r="F2169" s="8" t="n">
        <v>63.63</v>
      </c>
    </row>
    <row r="2170" customFormat="false" ht="15" hidden="false" customHeight="true" outlineLevel="0" collapsed="false">
      <c r="A2170" s="8" t="s">
        <v>269</v>
      </c>
      <c r="B2170" s="8" t="s">
        <v>1231</v>
      </c>
      <c r="C2170" s="8" t="n">
        <v>2</v>
      </c>
      <c r="D2170" s="8" t="n">
        <v>22.66</v>
      </c>
      <c r="E2170" s="8" t="n">
        <v>2</v>
      </c>
      <c r="F2170" s="8" t="n">
        <v>22.66</v>
      </c>
    </row>
    <row r="2171" customFormat="false" ht="15" hidden="false" customHeight="true" outlineLevel="0" collapsed="false">
      <c r="A2171" s="8" t="s">
        <v>213</v>
      </c>
      <c r="B2171" s="8" t="s">
        <v>1232</v>
      </c>
      <c r="C2171" s="8" t="n">
        <v>0</v>
      </c>
      <c r="D2171" s="8" t="n">
        <v>0</v>
      </c>
      <c r="E2171" s="8" t="n">
        <v>2</v>
      </c>
      <c r="F2171" s="8" t="n">
        <v>55.1</v>
      </c>
    </row>
    <row r="2172" customFormat="false" ht="15" hidden="false" customHeight="true" outlineLevel="0" collapsed="false">
      <c r="A2172" s="8" t="s">
        <v>281</v>
      </c>
      <c r="B2172" s="8" t="s">
        <v>1254</v>
      </c>
      <c r="C2172" s="8" t="n">
        <v>6</v>
      </c>
      <c r="D2172" s="8" t="n">
        <v>83.04</v>
      </c>
      <c r="E2172" s="8" t="n">
        <v>0</v>
      </c>
      <c r="F2172" s="8" t="n">
        <v>0</v>
      </c>
    </row>
    <row r="2173" customFormat="false" ht="15" hidden="false" customHeight="true" outlineLevel="0" collapsed="false">
      <c r="A2173" s="8" t="s">
        <v>232</v>
      </c>
      <c r="B2173" s="8" t="s">
        <v>1233</v>
      </c>
      <c r="C2173" s="8" t="n">
        <v>3</v>
      </c>
      <c r="D2173" s="8" t="n">
        <v>48.6</v>
      </c>
      <c r="E2173" s="8" t="n">
        <v>2</v>
      </c>
      <c r="F2173" s="8" t="n">
        <v>32.4</v>
      </c>
    </row>
    <row r="2174" customFormat="false" ht="15" hidden="false" customHeight="true" outlineLevel="0" collapsed="false">
      <c r="A2174" s="8" t="s">
        <v>215</v>
      </c>
      <c r="B2174" s="8" t="s">
        <v>1233</v>
      </c>
      <c r="C2174" s="8" t="n">
        <v>2</v>
      </c>
      <c r="D2174" s="8" t="n">
        <v>35.64</v>
      </c>
      <c r="E2174" s="8" t="n">
        <v>0</v>
      </c>
      <c r="F2174" s="8" t="n">
        <v>0</v>
      </c>
    </row>
    <row r="2175" customFormat="false" ht="15" hidden="false" customHeight="true" outlineLevel="0" collapsed="false">
      <c r="A2175" s="8" t="s">
        <v>255</v>
      </c>
      <c r="B2175" s="8" t="s">
        <v>1273</v>
      </c>
      <c r="C2175" s="8" t="n">
        <v>6</v>
      </c>
      <c r="D2175" s="8" t="n">
        <v>49.2</v>
      </c>
      <c r="E2175" s="8" t="n">
        <v>0</v>
      </c>
      <c r="F2175" s="8" t="n">
        <v>0</v>
      </c>
    </row>
    <row r="2176" customFormat="false" ht="15" hidden="false" customHeight="true" outlineLevel="0" collapsed="false">
      <c r="A2176" s="8" t="s">
        <v>279</v>
      </c>
      <c r="B2176" s="8" t="s">
        <v>1274</v>
      </c>
      <c r="C2176" s="8" t="n">
        <v>3</v>
      </c>
      <c r="D2176" s="8" t="n">
        <v>29.46</v>
      </c>
      <c r="E2176" s="8" t="n">
        <v>0</v>
      </c>
      <c r="F2176" s="8" t="n">
        <v>0</v>
      </c>
    </row>
    <row r="2177" customFormat="false" ht="15" hidden="false" customHeight="true" outlineLevel="0" collapsed="false">
      <c r="A2177" s="8" t="s">
        <v>265</v>
      </c>
      <c r="B2177" s="8" t="s">
        <v>621</v>
      </c>
      <c r="C2177" s="8" t="n">
        <v>3</v>
      </c>
      <c r="D2177" s="8" t="n">
        <v>126</v>
      </c>
      <c r="E2177" s="8" t="n">
        <v>0</v>
      </c>
      <c r="F2177" s="8" t="n">
        <v>0</v>
      </c>
    </row>
    <row r="2178" customFormat="false" ht="15" hidden="false" customHeight="true" outlineLevel="0" collapsed="false">
      <c r="A2178" s="8" t="s">
        <v>276</v>
      </c>
      <c r="B2178" s="8" t="s">
        <v>621</v>
      </c>
      <c r="C2178" s="8" t="n">
        <v>3</v>
      </c>
      <c r="D2178" s="8" t="n">
        <v>126</v>
      </c>
      <c r="E2178" s="8" t="n">
        <v>0</v>
      </c>
      <c r="F2178" s="8" t="n">
        <v>0</v>
      </c>
    </row>
    <row r="2179" customFormat="false" ht="15" hidden="false" customHeight="true" outlineLevel="0" collapsed="false">
      <c r="A2179" s="8" t="s">
        <v>285</v>
      </c>
      <c r="B2179" s="8" t="s">
        <v>1237</v>
      </c>
      <c r="C2179" s="8" t="n">
        <v>6</v>
      </c>
      <c r="D2179" s="8" t="n">
        <v>110.4</v>
      </c>
      <c r="E2179" s="8" t="n">
        <v>0</v>
      </c>
      <c r="F2179" s="8" t="n">
        <v>0</v>
      </c>
    </row>
    <row r="2180" customFormat="false" ht="15" hidden="false" customHeight="true" outlineLevel="0" collapsed="false">
      <c r="A2180" s="8" t="s">
        <v>225</v>
      </c>
      <c r="B2180" s="8" t="s">
        <v>1237</v>
      </c>
      <c r="C2180" s="8" t="n">
        <v>3</v>
      </c>
      <c r="D2180" s="8" t="n">
        <v>55.2</v>
      </c>
      <c r="E2180" s="8" t="n">
        <v>0</v>
      </c>
      <c r="F2180" s="8" t="n">
        <v>0</v>
      </c>
    </row>
    <row r="2181" customFormat="false" ht="15" hidden="false" customHeight="true" outlineLevel="0" collapsed="false">
      <c r="A2181" s="8" t="s">
        <v>217</v>
      </c>
      <c r="B2181" s="8" t="s">
        <v>1237</v>
      </c>
      <c r="C2181" s="8" t="n">
        <v>3</v>
      </c>
      <c r="D2181" s="8" t="n">
        <v>55.2</v>
      </c>
      <c r="E2181" s="8" t="n">
        <v>0</v>
      </c>
      <c r="F2181" s="8" t="n">
        <v>0</v>
      </c>
    </row>
    <row r="2182" customFormat="false" ht="15" hidden="false" customHeight="true" outlineLevel="0" collapsed="false">
      <c r="A2182" s="8" t="s">
        <v>192</v>
      </c>
      <c r="B2182" s="8" t="s">
        <v>1240</v>
      </c>
      <c r="C2182" s="8" t="n">
        <v>6</v>
      </c>
      <c r="D2182" s="8" t="n">
        <v>250.86</v>
      </c>
      <c r="E2182" s="8" t="n">
        <v>0</v>
      </c>
      <c r="F2182" s="8" t="n">
        <v>0</v>
      </c>
    </row>
    <row r="2183" customFormat="false" ht="15" hidden="false" customHeight="true" outlineLevel="0" collapsed="false">
      <c r="A2183" s="8" t="s">
        <v>168</v>
      </c>
      <c r="B2183" s="8" t="s">
        <v>1240</v>
      </c>
      <c r="C2183" s="8" t="n">
        <v>4</v>
      </c>
      <c r="D2183" s="8" t="n">
        <v>167.24</v>
      </c>
      <c r="E2183" s="8" t="n">
        <v>0</v>
      </c>
      <c r="F2183" s="8" t="n">
        <v>0</v>
      </c>
    </row>
    <row r="2184" customFormat="false" ht="15" hidden="false" customHeight="true" outlineLevel="0" collapsed="false">
      <c r="A2184" s="8" t="s">
        <v>169</v>
      </c>
      <c r="B2184" s="8" t="s">
        <v>1240</v>
      </c>
      <c r="C2184" s="8" t="n">
        <v>3</v>
      </c>
      <c r="D2184" s="8" t="n">
        <v>125.43</v>
      </c>
      <c r="E2184" s="8" t="n">
        <v>0</v>
      </c>
      <c r="F2184" s="8" t="n">
        <v>0</v>
      </c>
    </row>
    <row r="2185" customFormat="false" ht="15" hidden="false" customHeight="true" outlineLevel="0" collapsed="false">
      <c r="A2185" s="8" t="s">
        <v>180</v>
      </c>
      <c r="B2185" s="8" t="s">
        <v>1216</v>
      </c>
      <c r="C2185" s="8" t="n">
        <v>3</v>
      </c>
      <c r="D2185" s="8" t="n">
        <v>49.5</v>
      </c>
      <c r="E2185" s="8" t="n">
        <v>3</v>
      </c>
      <c r="F2185" s="8" t="n">
        <v>49.5</v>
      </c>
    </row>
    <row r="2186" customFormat="false" ht="15" hidden="false" customHeight="true" outlineLevel="0" collapsed="false">
      <c r="A2186" s="8" t="s">
        <v>199</v>
      </c>
      <c r="B2186" s="8" t="s">
        <v>1216</v>
      </c>
      <c r="C2186" s="8" t="n">
        <v>0</v>
      </c>
      <c r="D2186" s="8" t="n">
        <v>0</v>
      </c>
      <c r="E2186" s="8" t="n">
        <v>2</v>
      </c>
      <c r="F2186" s="8" t="n">
        <v>33</v>
      </c>
    </row>
    <row r="2187" customFormat="false" ht="15" hidden="false" customHeight="true" outlineLevel="0" collapsed="false">
      <c r="A2187" s="8" t="s">
        <v>198</v>
      </c>
      <c r="B2187" s="8" t="s">
        <v>1217</v>
      </c>
      <c r="C2187" s="8" t="n">
        <v>12</v>
      </c>
      <c r="D2187" s="8" t="n">
        <v>246</v>
      </c>
      <c r="E2187" s="8" t="n">
        <v>0</v>
      </c>
      <c r="F2187" s="8" t="n">
        <v>0</v>
      </c>
    </row>
    <row r="2188" customFormat="false" ht="15" hidden="false" customHeight="true" outlineLevel="0" collapsed="false">
      <c r="A2188" s="8" t="s">
        <v>193</v>
      </c>
      <c r="B2188" s="8" t="s">
        <v>1217</v>
      </c>
      <c r="C2188" s="8" t="n">
        <v>2</v>
      </c>
      <c r="D2188" s="8" t="n">
        <v>41</v>
      </c>
      <c r="E2188" s="8" t="n">
        <v>0</v>
      </c>
      <c r="F2188" s="8" t="n">
        <v>0</v>
      </c>
    </row>
    <row r="2189" customFormat="false" ht="15" hidden="false" customHeight="true" outlineLevel="0" collapsed="false">
      <c r="A2189" s="8" t="s">
        <v>302</v>
      </c>
      <c r="B2189" s="8" t="s">
        <v>1217</v>
      </c>
      <c r="C2189" s="8" t="n">
        <v>2</v>
      </c>
      <c r="D2189" s="8" t="n">
        <v>41</v>
      </c>
      <c r="E2189" s="8" t="n">
        <v>0</v>
      </c>
      <c r="F2189" s="8" t="n">
        <v>0</v>
      </c>
    </row>
    <row r="2190" customFormat="false" ht="15" hidden="false" customHeight="true" outlineLevel="0" collapsed="false">
      <c r="A2190" s="8" t="s">
        <v>205</v>
      </c>
      <c r="B2190" s="8" t="s">
        <v>1217</v>
      </c>
      <c r="C2190" s="8" t="n">
        <v>11</v>
      </c>
      <c r="D2190" s="8" t="n">
        <v>225.5</v>
      </c>
      <c r="E2190" s="8" t="n">
        <v>0</v>
      </c>
      <c r="F2190" s="8" t="n">
        <v>0</v>
      </c>
    </row>
    <row r="2191" customFormat="false" ht="15" hidden="false" customHeight="true" outlineLevel="0" collapsed="false">
      <c r="A2191" s="8" t="s">
        <v>256</v>
      </c>
      <c r="B2191" s="8" t="s">
        <v>1217</v>
      </c>
      <c r="C2191" s="8" t="n">
        <v>2</v>
      </c>
      <c r="D2191" s="8" t="n">
        <v>41</v>
      </c>
      <c r="E2191" s="8" t="n">
        <v>3</v>
      </c>
      <c r="F2191" s="8" t="n">
        <v>61.5</v>
      </c>
    </row>
    <row r="2192" customFormat="false" ht="15" hidden="false" customHeight="true" outlineLevel="0" collapsed="false">
      <c r="A2192" s="8" t="s">
        <v>95</v>
      </c>
      <c r="B2192" s="8" t="s">
        <v>1247</v>
      </c>
      <c r="C2192" s="8" t="n">
        <v>4</v>
      </c>
      <c r="D2192" s="8" t="n">
        <v>100</v>
      </c>
      <c r="E2192" s="8" t="n">
        <v>0</v>
      </c>
      <c r="F2192" s="8" t="n">
        <v>0</v>
      </c>
    </row>
    <row r="2193" customFormat="false" ht="15" hidden="false" customHeight="true" outlineLevel="0" collapsed="false">
      <c r="A2193" s="8" t="s">
        <v>113</v>
      </c>
      <c r="B2193" s="8" t="s">
        <v>1247</v>
      </c>
      <c r="C2193" s="8" t="n">
        <v>4</v>
      </c>
      <c r="D2193" s="8" t="n">
        <v>100</v>
      </c>
      <c r="E2193" s="8" t="n">
        <v>0</v>
      </c>
      <c r="F2193" s="8" t="n">
        <v>0</v>
      </c>
    </row>
    <row r="2194" customFormat="false" ht="15" hidden="false" customHeight="true" outlineLevel="0" collapsed="false">
      <c r="A2194" s="8" t="s">
        <v>99</v>
      </c>
      <c r="B2194" s="8" t="s">
        <v>1247</v>
      </c>
      <c r="C2194" s="8" t="n">
        <v>4</v>
      </c>
      <c r="D2194" s="8" t="n">
        <v>100</v>
      </c>
      <c r="E2194" s="8" t="n">
        <v>0</v>
      </c>
      <c r="F2194" s="8" t="n">
        <v>0</v>
      </c>
    </row>
    <row r="2195" customFormat="false" ht="15" hidden="false" customHeight="true" outlineLevel="0" collapsed="false">
      <c r="A2195" s="8" t="s">
        <v>120</v>
      </c>
      <c r="B2195" s="8" t="s">
        <v>1247</v>
      </c>
      <c r="C2195" s="8" t="n">
        <v>4</v>
      </c>
      <c r="D2195" s="8" t="n">
        <v>100</v>
      </c>
      <c r="E2195" s="8" t="n">
        <v>0</v>
      </c>
      <c r="F2195" s="8" t="n">
        <v>0</v>
      </c>
    </row>
    <row r="2196" customFormat="false" ht="15" hidden="false" customHeight="true" outlineLevel="0" collapsed="false">
      <c r="A2196" s="8" t="s">
        <v>257</v>
      </c>
      <c r="B2196" s="8" t="s">
        <v>1284</v>
      </c>
      <c r="C2196" s="8" t="n">
        <v>6</v>
      </c>
      <c r="D2196" s="8" t="n">
        <v>194.58</v>
      </c>
      <c r="E2196" s="8" t="n">
        <v>0</v>
      </c>
      <c r="F2196" s="8" t="n">
        <v>0</v>
      </c>
    </row>
    <row r="2197" customFormat="false" ht="15" hidden="false" customHeight="true" outlineLevel="0" collapsed="false">
      <c r="A2197" s="8" t="s">
        <v>178</v>
      </c>
      <c r="B2197" s="8" t="s">
        <v>1236</v>
      </c>
      <c r="C2197" s="8" t="n">
        <v>2</v>
      </c>
      <c r="D2197" s="8" t="n">
        <v>70</v>
      </c>
      <c r="E2197" s="8" t="n">
        <v>2</v>
      </c>
      <c r="F2197" s="8" t="n">
        <v>70</v>
      </c>
    </row>
    <row r="2198" customFormat="false" ht="15" hidden="false" customHeight="true" outlineLevel="0" collapsed="false">
      <c r="A2198" s="8" t="s">
        <v>176</v>
      </c>
      <c r="B2198" s="8" t="s">
        <v>1236</v>
      </c>
      <c r="C2198" s="8" t="n">
        <v>11</v>
      </c>
      <c r="D2198" s="8" t="n">
        <v>385</v>
      </c>
      <c r="E2198" s="8" t="n">
        <v>0</v>
      </c>
      <c r="F2198" s="8" t="n">
        <v>0</v>
      </c>
    </row>
    <row r="2199" customFormat="false" ht="15" hidden="false" customHeight="true" outlineLevel="0" collapsed="false">
      <c r="A2199" s="8" t="s">
        <v>235</v>
      </c>
      <c r="B2199" s="8" t="s">
        <v>1236</v>
      </c>
      <c r="C2199" s="8" t="n">
        <v>2</v>
      </c>
      <c r="D2199" s="8" t="n">
        <v>70</v>
      </c>
      <c r="E2199" s="8" t="n">
        <v>0</v>
      </c>
      <c r="F2199" s="8" t="n">
        <v>0</v>
      </c>
    </row>
    <row r="2200" customFormat="false" ht="15" hidden="false" customHeight="true" outlineLevel="0" collapsed="false">
      <c r="A2200" s="8" t="s">
        <v>224</v>
      </c>
      <c r="B2200" s="8" t="s">
        <v>1236</v>
      </c>
      <c r="C2200" s="8" t="n">
        <v>11</v>
      </c>
      <c r="D2200" s="8" t="n">
        <v>385</v>
      </c>
      <c r="E2200" s="8" t="n">
        <v>0</v>
      </c>
      <c r="F2200" s="8" t="n">
        <v>0</v>
      </c>
    </row>
    <row r="2201" customFormat="false" ht="15" hidden="false" customHeight="true" outlineLevel="0" collapsed="false">
      <c r="A2201" s="8" t="s">
        <v>240</v>
      </c>
      <c r="B2201" s="8" t="s">
        <v>769</v>
      </c>
      <c r="C2201" s="8" t="n">
        <v>0</v>
      </c>
      <c r="D2201" s="8" t="n">
        <v>0</v>
      </c>
      <c r="E2201" s="8" t="n">
        <v>5</v>
      </c>
      <c r="F2201" s="8" t="n">
        <v>85</v>
      </c>
    </row>
    <row r="2202" customFormat="false" ht="15" hidden="false" customHeight="true" outlineLevel="0" collapsed="false">
      <c r="A2202" s="8" t="s">
        <v>234</v>
      </c>
      <c r="B2202" s="8" t="s">
        <v>769</v>
      </c>
      <c r="C2202" s="8" t="n">
        <v>0</v>
      </c>
      <c r="D2202" s="8" t="n">
        <v>0</v>
      </c>
      <c r="E2202" s="8" t="n">
        <v>2</v>
      </c>
      <c r="F2202" s="8" t="n">
        <v>34</v>
      </c>
    </row>
    <row r="2203" customFormat="false" ht="15" hidden="false" customHeight="true" outlineLevel="0" collapsed="false">
      <c r="A2203" s="8" t="s">
        <v>247</v>
      </c>
      <c r="B2203" s="8" t="s">
        <v>769</v>
      </c>
      <c r="C2203" s="8" t="n">
        <v>2</v>
      </c>
      <c r="D2203" s="8" t="n">
        <v>34</v>
      </c>
      <c r="E2203" s="8" t="n">
        <v>2</v>
      </c>
      <c r="F2203" s="8" t="n">
        <v>34</v>
      </c>
    </row>
    <row r="2204" customFormat="false" ht="15" hidden="false" customHeight="true" outlineLevel="0" collapsed="false">
      <c r="A2204" s="8" t="s">
        <v>182</v>
      </c>
      <c r="B2204" s="8" t="s">
        <v>799</v>
      </c>
      <c r="C2204" s="8" t="n">
        <v>9</v>
      </c>
      <c r="D2204" s="8" t="n">
        <v>180</v>
      </c>
      <c r="E2204" s="8" t="n">
        <v>2</v>
      </c>
      <c r="F2204" s="8" t="n">
        <v>40</v>
      </c>
    </row>
    <row r="2205" customFormat="false" ht="15" hidden="false" customHeight="true" outlineLevel="0" collapsed="false">
      <c r="A2205" s="8" t="s">
        <v>274</v>
      </c>
      <c r="B2205" s="8" t="s">
        <v>1219</v>
      </c>
      <c r="C2205" s="8" t="n">
        <v>15</v>
      </c>
      <c r="D2205" s="8" t="n">
        <v>130.95</v>
      </c>
      <c r="E2205" s="8" t="n">
        <v>0</v>
      </c>
      <c r="F2205" s="8" t="n">
        <v>0</v>
      </c>
    </row>
    <row r="2206" customFormat="false" ht="15" hidden="false" customHeight="true" outlineLevel="0" collapsed="false">
      <c r="A2206" s="8" t="s">
        <v>170</v>
      </c>
      <c r="B2206" s="8" t="s">
        <v>1220</v>
      </c>
      <c r="C2206" s="8" t="n">
        <v>12</v>
      </c>
      <c r="D2206" s="8" t="n">
        <v>177.6</v>
      </c>
      <c r="E2206" s="8" t="n">
        <v>0</v>
      </c>
      <c r="F2206" s="8" t="n">
        <v>0</v>
      </c>
    </row>
    <row r="2207" customFormat="false" ht="15" hidden="false" customHeight="true" outlineLevel="0" collapsed="false">
      <c r="A2207" s="8" t="s">
        <v>167</v>
      </c>
      <c r="B2207" s="8" t="s">
        <v>1238</v>
      </c>
      <c r="C2207" s="8" t="n">
        <v>25</v>
      </c>
      <c r="D2207" s="8" t="n">
        <v>335</v>
      </c>
      <c r="E2207" s="8" t="n">
        <v>0</v>
      </c>
      <c r="F2207" s="8" t="n">
        <v>0</v>
      </c>
    </row>
    <row r="2208" customFormat="false" ht="15" hidden="false" customHeight="true" outlineLevel="0" collapsed="false">
      <c r="A2208" s="8" t="s">
        <v>386</v>
      </c>
      <c r="B2208" s="8" t="s">
        <v>1248</v>
      </c>
      <c r="C2208" s="8" t="n">
        <v>0</v>
      </c>
      <c r="D2208" s="8" t="n">
        <v>0</v>
      </c>
      <c r="E2208" s="8" t="n">
        <v>6</v>
      </c>
      <c r="F2208" s="8" t="n">
        <v>0</v>
      </c>
    </row>
    <row r="2209" customFormat="false" ht="15" hidden="false" customHeight="true" outlineLevel="0" collapsed="false">
      <c r="A2209" s="8" t="s">
        <v>220</v>
      </c>
      <c r="B2209" s="8" t="s">
        <v>1248</v>
      </c>
      <c r="C2209" s="8" t="n">
        <v>18</v>
      </c>
      <c r="D2209" s="8" t="n">
        <v>187.2</v>
      </c>
      <c r="E2209" s="8" t="n">
        <v>6</v>
      </c>
      <c r="F2209" s="8" t="n">
        <v>62.4</v>
      </c>
    </row>
    <row r="2210" customFormat="false" ht="15" hidden="false" customHeight="true" outlineLevel="0" collapsed="false">
      <c r="A2210" s="8" t="s">
        <v>233</v>
      </c>
      <c r="B2210" s="8" t="s">
        <v>1249</v>
      </c>
      <c r="C2210" s="8" t="n">
        <v>8</v>
      </c>
      <c r="D2210" s="8" t="n">
        <v>143.6</v>
      </c>
      <c r="E2210" s="8" t="n">
        <v>0</v>
      </c>
      <c r="F2210" s="8" t="n">
        <v>0</v>
      </c>
    </row>
    <row r="2211" customFormat="false" ht="15" hidden="false" customHeight="true" outlineLevel="0" collapsed="false">
      <c r="A2211" s="8" t="s">
        <v>258</v>
      </c>
      <c r="B2211" s="8" t="s">
        <v>562</v>
      </c>
      <c r="C2211" s="8" t="n">
        <v>3</v>
      </c>
      <c r="D2211" s="8" t="n">
        <v>108</v>
      </c>
      <c r="E2211" s="8" t="n">
        <v>0</v>
      </c>
      <c r="F2211" s="8" t="n">
        <v>0</v>
      </c>
    </row>
    <row r="2212" customFormat="false" ht="15" hidden="false" customHeight="true" outlineLevel="0" collapsed="false">
      <c r="A2212" s="8" t="s">
        <v>252</v>
      </c>
      <c r="B2212" s="8" t="s">
        <v>1177</v>
      </c>
      <c r="C2212" s="8" t="n">
        <v>3</v>
      </c>
      <c r="D2212" s="8" t="n">
        <v>49.8</v>
      </c>
      <c r="E2212" s="8" t="n">
        <v>2</v>
      </c>
      <c r="F2212" s="8" t="n">
        <v>33.2</v>
      </c>
    </row>
    <row r="2213" customFormat="false" ht="15" hidden="false" customHeight="true" outlineLevel="0" collapsed="false">
      <c r="A2213" s="8" t="s">
        <v>203</v>
      </c>
      <c r="B2213" s="8" t="s">
        <v>1177</v>
      </c>
      <c r="C2213" s="8" t="n">
        <v>6</v>
      </c>
      <c r="D2213" s="8" t="n">
        <v>111</v>
      </c>
      <c r="E2213" s="8" t="n">
        <v>2</v>
      </c>
      <c r="F2213" s="8" t="n">
        <v>37</v>
      </c>
    </row>
    <row r="2214" customFormat="false" ht="15" hidden="false" customHeight="true" outlineLevel="0" collapsed="false">
      <c r="A2214" s="8" t="s">
        <v>211</v>
      </c>
      <c r="B2214" s="8" t="s">
        <v>1250</v>
      </c>
      <c r="C2214" s="8" t="n">
        <v>3</v>
      </c>
      <c r="D2214" s="8" t="n">
        <v>75</v>
      </c>
      <c r="E2214" s="8" t="n">
        <v>2</v>
      </c>
      <c r="F2214" s="8" t="n">
        <v>50</v>
      </c>
    </row>
    <row r="2215" customFormat="false" ht="15" hidden="false" customHeight="true" outlineLevel="0" collapsed="false">
      <c r="A2215" s="8" t="s">
        <v>248</v>
      </c>
      <c r="B2215" s="8" t="s">
        <v>1242</v>
      </c>
      <c r="C2215" s="8" t="n">
        <v>11</v>
      </c>
      <c r="D2215" s="8" t="n">
        <v>231</v>
      </c>
      <c r="E2215" s="8" t="n">
        <v>0</v>
      </c>
      <c r="F2215" s="8" t="n">
        <v>0</v>
      </c>
    </row>
    <row r="2216" customFormat="false" ht="15" hidden="false" customHeight="true" outlineLevel="0" collapsed="false">
      <c r="A2216" s="8" t="s">
        <v>196</v>
      </c>
      <c r="B2216" s="8" t="s">
        <v>1243</v>
      </c>
      <c r="C2216" s="8" t="n">
        <v>3</v>
      </c>
      <c r="D2216" s="8" t="n">
        <v>160.5</v>
      </c>
      <c r="E2216" s="8" t="n">
        <v>2</v>
      </c>
      <c r="F2216" s="8" t="n">
        <v>107</v>
      </c>
    </row>
    <row r="2217" customFormat="false" ht="15" hidden="false" customHeight="true" outlineLevel="0" collapsed="false">
      <c r="A2217" s="8" t="s">
        <v>212</v>
      </c>
      <c r="B2217" s="8" t="s">
        <v>1278</v>
      </c>
      <c r="C2217" s="8" t="n">
        <v>3</v>
      </c>
      <c r="D2217" s="8" t="n">
        <v>280.5</v>
      </c>
      <c r="E2217" s="8" t="n">
        <v>3</v>
      </c>
      <c r="F2217" s="8" t="n">
        <v>280.5</v>
      </c>
    </row>
    <row r="2218" customFormat="false" ht="15" hidden="false" customHeight="true" outlineLevel="0" collapsed="false">
      <c r="A2218" s="8" t="s">
        <v>226</v>
      </c>
      <c r="B2218" s="8" t="s">
        <v>566</v>
      </c>
      <c r="C2218" s="8" t="n">
        <v>5</v>
      </c>
      <c r="D2218" s="8" t="n">
        <v>104</v>
      </c>
      <c r="E2218" s="8" t="n">
        <v>3</v>
      </c>
      <c r="F2218" s="8" t="n">
        <v>62.4</v>
      </c>
    </row>
    <row r="2219" customFormat="false" ht="15" hidden="false" customHeight="true" outlineLevel="0" collapsed="false">
      <c r="A2219" s="8" t="s">
        <v>200</v>
      </c>
      <c r="B2219" s="8" t="s">
        <v>1279</v>
      </c>
      <c r="C2219" s="8" t="n">
        <v>2</v>
      </c>
      <c r="D2219" s="8" t="n">
        <v>154.48</v>
      </c>
      <c r="E2219" s="8" t="n">
        <v>0</v>
      </c>
      <c r="F2219" s="8" t="n">
        <v>0</v>
      </c>
    </row>
    <row r="2220" customFormat="false" ht="15" hidden="false" customHeight="true" outlineLevel="0" collapsed="false">
      <c r="A2220" s="8" t="s">
        <v>197</v>
      </c>
      <c r="B2220" s="8" t="s">
        <v>1222</v>
      </c>
      <c r="C2220" s="8" t="n">
        <v>11</v>
      </c>
      <c r="D2220" s="8" t="n">
        <v>715</v>
      </c>
      <c r="E2220" s="8" t="n">
        <v>0</v>
      </c>
      <c r="F2220" s="8" t="n">
        <v>0</v>
      </c>
    </row>
    <row r="2221" customFormat="false" ht="15" hidden="false" customHeight="true" outlineLevel="0" collapsed="false">
      <c r="A2221" s="8" t="s">
        <v>253</v>
      </c>
      <c r="B2221" s="8" t="s">
        <v>1222</v>
      </c>
      <c r="C2221" s="8" t="n">
        <v>4</v>
      </c>
      <c r="D2221" s="8" t="n">
        <v>260</v>
      </c>
      <c r="E2221" s="8" t="n">
        <v>0</v>
      </c>
      <c r="F2221" s="8" t="n">
        <v>0</v>
      </c>
    </row>
    <row r="2222" customFormat="false" ht="15" hidden="false" customHeight="true" outlineLevel="0" collapsed="false">
      <c r="A2222" s="8" t="s">
        <v>207</v>
      </c>
      <c r="B2222" s="8" t="s">
        <v>1222</v>
      </c>
      <c r="C2222" s="8" t="n">
        <v>7</v>
      </c>
      <c r="D2222" s="8" t="n">
        <v>455</v>
      </c>
      <c r="E2222" s="8" t="n">
        <v>0</v>
      </c>
      <c r="F2222" s="8" t="n">
        <v>0</v>
      </c>
    </row>
    <row r="2223" customFormat="false" ht="15" hidden="false" customHeight="true" outlineLevel="0" collapsed="false">
      <c r="A2223" s="8" t="s">
        <v>163</v>
      </c>
      <c r="B2223" s="8" t="s">
        <v>897</v>
      </c>
      <c r="C2223" s="8" t="n">
        <v>1</v>
      </c>
      <c r="D2223" s="8" t="n">
        <v>65</v>
      </c>
      <c r="E2223" s="8" t="n">
        <v>2</v>
      </c>
      <c r="F2223" s="8" t="n">
        <v>130</v>
      </c>
    </row>
    <row r="2224" customFormat="false" ht="15" hidden="false" customHeight="true" outlineLevel="0" collapsed="false">
      <c r="A2224" s="8" t="s">
        <v>290</v>
      </c>
      <c r="B2224" s="8" t="s">
        <v>897</v>
      </c>
      <c r="C2224" s="8" t="n">
        <v>0</v>
      </c>
      <c r="D2224" s="8" t="n">
        <v>0</v>
      </c>
      <c r="E2224" s="8" t="n">
        <v>1</v>
      </c>
      <c r="F2224" s="8" t="n">
        <v>65</v>
      </c>
    </row>
    <row r="2225" customFormat="false" ht="15" hidden="false" customHeight="true" outlineLevel="0" collapsed="false">
      <c r="A2225" s="8" t="s">
        <v>165</v>
      </c>
      <c r="B2225" s="8" t="s">
        <v>897</v>
      </c>
      <c r="C2225" s="8" t="n">
        <v>4</v>
      </c>
      <c r="D2225" s="8" t="n">
        <v>260</v>
      </c>
      <c r="E2225" s="8" t="n">
        <v>0</v>
      </c>
      <c r="F2225" s="8" t="n">
        <v>0</v>
      </c>
    </row>
    <row r="2226" customFormat="false" ht="15" hidden="false" customHeight="true" outlineLevel="0" collapsed="false">
      <c r="A2226" s="8" t="s">
        <v>173</v>
      </c>
      <c r="B2226" s="8" t="s">
        <v>1244</v>
      </c>
      <c r="C2226" s="8" t="n">
        <v>3</v>
      </c>
      <c r="D2226" s="8" t="n">
        <v>526.5</v>
      </c>
      <c r="E2226" s="8" t="n">
        <v>0</v>
      </c>
      <c r="F2226" s="8" t="n">
        <v>0</v>
      </c>
    </row>
    <row r="2227" customFormat="false" ht="15" hidden="false" customHeight="true" outlineLevel="0" collapsed="false">
      <c r="A2227" s="8" t="s">
        <v>221</v>
      </c>
      <c r="B2227" s="8" t="s">
        <v>1179</v>
      </c>
      <c r="C2227" s="8" t="n">
        <v>4</v>
      </c>
      <c r="D2227" s="8" t="n">
        <v>289.36</v>
      </c>
      <c r="E2227" s="8" t="n">
        <v>0</v>
      </c>
      <c r="F2227" s="8" t="n">
        <v>0</v>
      </c>
    </row>
    <row r="2228" customFormat="false" ht="15" hidden="false" customHeight="true" outlineLevel="0" collapsed="false">
      <c r="A2228" s="8" t="s">
        <v>245</v>
      </c>
      <c r="B2228" s="8" t="s">
        <v>1179</v>
      </c>
      <c r="C2228" s="8" t="n">
        <v>1</v>
      </c>
      <c r="D2228" s="8" t="n">
        <v>72.34</v>
      </c>
      <c r="E2228" s="8" t="n">
        <v>0</v>
      </c>
      <c r="F2228" s="8" t="n">
        <v>0</v>
      </c>
    </row>
    <row r="2229" customFormat="false" ht="15" hidden="false" customHeight="true" outlineLevel="0" collapsed="false">
      <c r="A2229" s="8" t="s">
        <v>191</v>
      </c>
      <c r="B2229" s="8" t="s">
        <v>1179</v>
      </c>
      <c r="C2229" s="8" t="n">
        <v>1</v>
      </c>
      <c r="D2229" s="8" t="n">
        <v>72.34</v>
      </c>
      <c r="E2229" s="8" t="n">
        <v>1</v>
      </c>
      <c r="F2229" s="8" t="n">
        <v>72.34</v>
      </c>
    </row>
    <row r="2230" customFormat="false" ht="15" hidden="false" customHeight="true" outlineLevel="0" collapsed="false">
      <c r="A2230" s="8" t="s">
        <v>204</v>
      </c>
      <c r="B2230" s="8" t="s">
        <v>1179</v>
      </c>
      <c r="C2230" s="8" t="n">
        <v>5</v>
      </c>
      <c r="D2230" s="8" t="n">
        <v>361.7</v>
      </c>
      <c r="E2230" s="8" t="n">
        <v>0</v>
      </c>
      <c r="F2230" s="8" t="n">
        <v>0</v>
      </c>
    </row>
    <row r="2231" customFormat="false" ht="15" hidden="false" customHeight="true" outlineLevel="0" collapsed="false">
      <c r="A2231" s="8" t="s">
        <v>283</v>
      </c>
      <c r="B2231" s="8" t="s">
        <v>1223</v>
      </c>
      <c r="C2231" s="8" t="n">
        <v>3</v>
      </c>
      <c r="D2231" s="8" t="n">
        <v>233.4</v>
      </c>
      <c r="E2231" s="8" t="n">
        <v>0</v>
      </c>
      <c r="F2231" s="8" t="n">
        <v>0</v>
      </c>
    </row>
    <row r="2232" customFormat="false" ht="15" hidden="false" customHeight="true" outlineLevel="0" collapsed="false">
      <c r="A2232" s="8" t="s">
        <v>216</v>
      </c>
      <c r="B2232" s="8" t="s">
        <v>1223</v>
      </c>
      <c r="C2232" s="8" t="n">
        <v>0</v>
      </c>
      <c r="D2232" s="8" t="n">
        <v>0</v>
      </c>
      <c r="E2232" s="8" t="n">
        <v>2</v>
      </c>
      <c r="F2232" s="8" t="n">
        <v>155.6</v>
      </c>
    </row>
    <row r="2233" customFormat="false" ht="15" hidden="false" customHeight="true" outlineLevel="0" collapsed="false">
      <c r="A2233" s="8" t="s">
        <v>236</v>
      </c>
      <c r="B2233" s="8" t="s">
        <v>1223</v>
      </c>
      <c r="C2233" s="8" t="n">
        <v>2</v>
      </c>
      <c r="D2233" s="8" t="n">
        <v>155.6</v>
      </c>
      <c r="E2233" s="8" t="n">
        <v>0</v>
      </c>
      <c r="F2233" s="8" t="n">
        <v>0</v>
      </c>
    </row>
    <row r="2234" customFormat="false" ht="15" hidden="false" customHeight="true" outlineLevel="0" collapsed="false">
      <c r="A2234" s="8" t="s">
        <v>190</v>
      </c>
      <c r="B2234" s="8" t="s">
        <v>1224</v>
      </c>
      <c r="C2234" s="8" t="n">
        <v>4</v>
      </c>
      <c r="D2234" s="8" t="n">
        <v>97.72</v>
      </c>
      <c r="E2234" s="8" t="n">
        <v>3</v>
      </c>
      <c r="F2234" s="8" t="n">
        <v>73.29</v>
      </c>
    </row>
    <row r="2235" customFormat="false" ht="15" hidden="false" customHeight="true" outlineLevel="0" collapsed="false">
      <c r="A2235" s="8" t="s">
        <v>183</v>
      </c>
      <c r="B2235" s="8" t="s">
        <v>1224</v>
      </c>
      <c r="C2235" s="8" t="n">
        <v>4</v>
      </c>
      <c r="D2235" s="8" t="n">
        <v>97.72</v>
      </c>
      <c r="E2235" s="8" t="n">
        <v>3</v>
      </c>
      <c r="F2235" s="8" t="n">
        <v>73.29</v>
      </c>
    </row>
    <row r="2236" customFormat="false" ht="15" hidden="false" customHeight="true" outlineLevel="0" collapsed="false">
      <c r="A2236" s="8" t="s">
        <v>218</v>
      </c>
      <c r="B2236" s="8" t="s">
        <v>1224</v>
      </c>
      <c r="C2236" s="8" t="n">
        <v>2</v>
      </c>
      <c r="D2236" s="8" t="n">
        <v>48.86</v>
      </c>
      <c r="E2236" s="8" t="n">
        <v>1</v>
      </c>
      <c r="F2236" s="8" t="n">
        <v>24.43</v>
      </c>
    </row>
    <row r="2237" customFormat="false" ht="15" hidden="false" customHeight="true" outlineLevel="0" collapsed="false">
      <c r="A2237" s="8" t="s">
        <v>231</v>
      </c>
      <c r="B2237" s="8" t="s">
        <v>1224</v>
      </c>
      <c r="C2237" s="8" t="n">
        <v>4</v>
      </c>
      <c r="D2237" s="8" t="n">
        <v>97.72</v>
      </c>
      <c r="E2237" s="8" t="n">
        <v>3</v>
      </c>
      <c r="F2237" s="8" t="n">
        <v>73.29</v>
      </c>
    </row>
    <row r="2238" customFormat="false" ht="15" hidden="false" customHeight="true" outlineLevel="0" collapsed="false">
      <c r="A2238" s="8" t="s">
        <v>161</v>
      </c>
      <c r="B2238" s="8" t="s">
        <v>1208</v>
      </c>
      <c r="C2238" s="8" t="n">
        <v>15</v>
      </c>
      <c r="D2238" s="8" t="n">
        <v>682.5</v>
      </c>
      <c r="E2238" s="8" t="n">
        <v>6</v>
      </c>
      <c r="F2238" s="8" t="n">
        <v>273</v>
      </c>
    </row>
    <row r="2239" customFormat="false" ht="15" hidden="false" customHeight="true" outlineLevel="0" collapsed="false">
      <c r="A2239" s="8" t="s">
        <v>162</v>
      </c>
      <c r="B2239" s="8" t="s">
        <v>1209</v>
      </c>
      <c r="C2239" s="8" t="n">
        <v>10</v>
      </c>
      <c r="D2239" s="8" t="n">
        <v>778</v>
      </c>
      <c r="E2239" s="8" t="n">
        <v>6</v>
      </c>
      <c r="F2239" s="8" t="n">
        <v>466.8</v>
      </c>
    </row>
    <row r="2240" customFormat="false" ht="15" hidden="false" customHeight="true" outlineLevel="0" collapsed="false">
      <c r="A2240" s="8" t="s">
        <v>171</v>
      </c>
      <c r="B2240" s="8" t="s">
        <v>1210</v>
      </c>
      <c r="C2240" s="8" t="n">
        <v>5</v>
      </c>
      <c r="D2240" s="8" t="n">
        <v>236.15</v>
      </c>
      <c r="E2240" s="8" t="n">
        <v>0</v>
      </c>
      <c r="F2240" s="8" t="n">
        <v>0</v>
      </c>
    </row>
    <row r="2241" customFormat="false" ht="15" hidden="false" customHeight="true" outlineLevel="0" collapsed="false">
      <c r="A2241" s="8" t="s">
        <v>166</v>
      </c>
      <c r="B2241" s="8" t="s">
        <v>1211</v>
      </c>
      <c r="C2241" s="8" t="n">
        <v>0</v>
      </c>
      <c r="D2241" s="8" t="n">
        <v>0</v>
      </c>
      <c r="E2241" s="8" t="n">
        <v>1</v>
      </c>
      <c r="F2241" s="8" t="n">
        <v>63.27</v>
      </c>
    </row>
    <row r="2242" customFormat="false" ht="15" hidden="false" customHeight="true" outlineLevel="0" collapsed="false">
      <c r="A2242" s="8" t="s">
        <v>164</v>
      </c>
      <c r="B2242" s="8" t="s">
        <v>1211</v>
      </c>
      <c r="C2242" s="8" t="n">
        <v>3</v>
      </c>
      <c r="D2242" s="8" t="n">
        <v>189.81</v>
      </c>
      <c r="E2242" s="8" t="n">
        <v>0</v>
      </c>
      <c r="F2242" s="8" t="n">
        <v>0</v>
      </c>
    </row>
    <row r="2243" customFormat="false" ht="15" hidden="false" customHeight="true" outlineLevel="0" collapsed="false">
      <c r="A2243" s="8" t="s">
        <v>222</v>
      </c>
      <c r="B2243" s="8" t="s">
        <v>1211</v>
      </c>
      <c r="C2243" s="8" t="n">
        <v>2</v>
      </c>
      <c r="D2243" s="8" t="n">
        <v>126.54</v>
      </c>
      <c r="E2243" s="8" t="n">
        <v>0</v>
      </c>
      <c r="F2243" s="8" t="n">
        <v>0</v>
      </c>
    </row>
    <row r="2244" customFormat="false" ht="15" hidden="false" customHeight="true" outlineLevel="0" collapsed="false">
      <c r="A2244" s="8" t="s">
        <v>187</v>
      </c>
      <c r="B2244" s="8" t="s">
        <v>1211</v>
      </c>
      <c r="C2244" s="8" t="n">
        <v>1</v>
      </c>
      <c r="D2244" s="8" t="n">
        <v>63.27</v>
      </c>
      <c r="E2244" s="8" t="n">
        <v>0</v>
      </c>
      <c r="F2244" s="8" t="n">
        <v>0</v>
      </c>
    </row>
    <row r="2245" customFormat="false" ht="15" hidden="false" customHeight="true" outlineLevel="0" collapsed="false">
      <c r="A2245" s="8" t="s">
        <v>270</v>
      </c>
      <c r="B2245" s="8" t="s">
        <v>1251</v>
      </c>
      <c r="C2245" s="8" t="n">
        <v>9</v>
      </c>
      <c r="D2245" s="8" t="n">
        <v>88.38</v>
      </c>
      <c r="E2245" s="8" t="n">
        <v>0</v>
      </c>
      <c r="F2245" s="8" t="n">
        <v>0</v>
      </c>
    </row>
    <row r="2246" customFormat="false" ht="15" hidden="false" customHeight="true" outlineLevel="0" collapsed="false">
      <c r="A2246" s="8" t="s">
        <v>307</v>
      </c>
      <c r="B2246" s="8" t="s">
        <v>1252</v>
      </c>
      <c r="C2246" s="8" t="n">
        <v>4</v>
      </c>
      <c r="D2246" s="8" t="n">
        <v>57.12</v>
      </c>
      <c r="E2246" s="8" t="n">
        <v>0</v>
      </c>
      <c r="F2246" s="8" t="n">
        <v>0</v>
      </c>
    </row>
    <row r="2247" customFormat="false" ht="15" hidden="false" customHeight="true" outlineLevel="0" collapsed="false">
      <c r="A2247" s="8" t="s">
        <v>263</v>
      </c>
      <c r="B2247" s="8" t="s">
        <v>407</v>
      </c>
      <c r="C2247" s="8" t="n">
        <v>9</v>
      </c>
      <c r="D2247" s="8" t="n">
        <v>115.38</v>
      </c>
      <c r="E2247" s="8" t="n">
        <v>0</v>
      </c>
      <c r="F2247" s="8" t="n">
        <v>0</v>
      </c>
    </row>
    <row r="2248" customFormat="false" ht="15" hidden="false" customHeight="true" outlineLevel="0" collapsed="false">
      <c r="A2248" s="8" t="s">
        <v>188</v>
      </c>
      <c r="B2248" s="8" t="s">
        <v>1225</v>
      </c>
      <c r="C2248" s="8" t="n">
        <v>16</v>
      </c>
      <c r="D2248" s="8" t="n">
        <v>462.88</v>
      </c>
      <c r="E2248" s="8" t="n">
        <v>0</v>
      </c>
      <c r="F2248" s="8" t="n">
        <v>0</v>
      </c>
    </row>
    <row r="2249" customFormat="false" ht="15" hidden="false" customHeight="true" outlineLevel="0" collapsed="false">
      <c r="A2249" s="8" t="s">
        <v>186</v>
      </c>
      <c r="B2249" s="8" t="s">
        <v>1225</v>
      </c>
      <c r="C2249" s="8" t="n">
        <v>2</v>
      </c>
      <c r="D2249" s="8" t="n">
        <v>57.86</v>
      </c>
      <c r="E2249" s="8" t="n">
        <v>0</v>
      </c>
      <c r="F2249" s="8" t="n">
        <v>0</v>
      </c>
    </row>
    <row r="2250" customFormat="false" ht="15" hidden="false" customHeight="true" outlineLevel="0" collapsed="false">
      <c r="A2250" s="8" t="s">
        <v>239</v>
      </c>
      <c r="B2250" s="8" t="s">
        <v>1225</v>
      </c>
      <c r="C2250" s="8" t="n">
        <v>4</v>
      </c>
      <c r="D2250" s="8" t="n">
        <v>115.72</v>
      </c>
      <c r="E2250" s="8" t="n">
        <v>0</v>
      </c>
      <c r="F2250" s="8" t="n">
        <v>0</v>
      </c>
    </row>
    <row r="2251" customFormat="false" ht="15" hidden="false" customHeight="true" outlineLevel="0" collapsed="false">
      <c r="A2251" s="8" t="s">
        <v>210</v>
      </c>
      <c r="B2251" s="8" t="s">
        <v>1225</v>
      </c>
      <c r="C2251" s="8" t="n">
        <v>7</v>
      </c>
      <c r="D2251" s="8" t="n">
        <v>202.51</v>
      </c>
      <c r="E2251" s="8" t="n">
        <v>0</v>
      </c>
      <c r="F2251" s="8" t="n">
        <v>0</v>
      </c>
    </row>
    <row r="2252" customFormat="false" ht="15" hidden="false" customHeight="true" outlineLevel="0" collapsed="false">
      <c r="A2252" s="8" t="s">
        <v>320</v>
      </c>
      <c r="B2252" s="8" t="s">
        <v>1225</v>
      </c>
      <c r="C2252" s="8" t="n">
        <v>3</v>
      </c>
      <c r="D2252" s="8" t="n">
        <v>86.79</v>
      </c>
      <c r="E2252" s="8" t="n">
        <v>0</v>
      </c>
      <c r="F2252" s="8" t="n">
        <v>0</v>
      </c>
    </row>
    <row r="2253" customFormat="false" ht="15" hidden="false" customHeight="true" outlineLevel="0" collapsed="false">
      <c r="A2253" s="8" t="s">
        <v>278</v>
      </c>
      <c r="B2253" s="8" t="s">
        <v>1225</v>
      </c>
      <c r="C2253" s="8" t="n">
        <v>5</v>
      </c>
      <c r="D2253" s="8" t="n">
        <v>144.65</v>
      </c>
      <c r="E2253" s="8" t="n">
        <v>2</v>
      </c>
      <c r="F2253" s="8" t="n">
        <v>57.86</v>
      </c>
    </row>
    <row r="2254" customFormat="false" ht="15" hidden="false" customHeight="true" outlineLevel="0" collapsed="false">
      <c r="A2254" s="8" t="s">
        <v>238</v>
      </c>
      <c r="B2254" s="8" t="s">
        <v>1226</v>
      </c>
      <c r="C2254" s="8" t="n">
        <v>4</v>
      </c>
      <c r="D2254" s="8" t="n">
        <v>168.68</v>
      </c>
      <c r="E2254" s="8" t="n">
        <v>0</v>
      </c>
      <c r="F2254" s="8" t="n">
        <v>0</v>
      </c>
    </row>
    <row r="2255" customFormat="false" ht="15" hidden="false" customHeight="true" outlineLevel="0" collapsed="false">
      <c r="A2255" s="8" t="s">
        <v>201</v>
      </c>
      <c r="B2255" s="8" t="s">
        <v>1226</v>
      </c>
      <c r="C2255" s="8" t="n">
        <v>3</v>
      </c>
      <c r="D2255" s="8" t="n">
        <v>126.51</v>
      </c>
      <c r="E2255" s="8" t="n">
        <v>0</v>
      </c>
      <c r="F2255" s="8" t="n">
        <v>0</v>
      </c>
    </row>
    <row r="2256" customFormat="false" ht="15" hidden="false" customHeight="true" outlineLevel="0" collapsed="false">
      <c r="A2256" s="8" t="s">
        <v>314</v>
      </c>
      <c r="B2256" s="8" t="s">
        <v>1226</v>
      </c>
      <c r="C2256" s="8" t="n">
        <v>3</v>
      </c>
      <c r="D2256" s="8" t="n">
        <v>126.51</v>
      </c>
      <c r="E2256" s="8" t="n">
        <v>0</v>
      </c>
      <c r="F2256" s="8" t="n">
        <v>0</v>
      </c>
    </row>
    <row r="2257" customFormat="false" ht="15" hidden="false" customHeight="true" outlineLevel="0" collapsed="false">
      <c r="A2257" s="8" t="s">
        <v>214</v>
      </c>
      <c r="B2257" s="8" t="s">
        <v>1226</v>
      </c>
      <c r="C2257" s="8" t="n">
        <v>2</v>
      </c>
      <c r="D2257" s="8" t="n">
        <v>84.34</v>
      </c>
      <c r="E2257" s="8" t="n">
        <v>0</v>
      </c>
      <c r="F2257" s="8" t="n">
        <v>0</v>
      </c>
    </row>
    <row r="2258" customFormat="false" ht="15" hidden="false" customHeight="true" outlineLevel="0" collapsed="false">
      <c r="A2258" s="8" t="s">
        <v>309</v>
      </c>
      <c r="B2258" s="8" t="s">
        <v>1226</v>
      </c>
      <c r="C2258" s="8" t="n">
        <v>3</v>
      </c>
      <c r="D2258" s="8" t="n">
        <v>126.51</v>
      </c>
      <c r="E2258" s="8" t="n">
        <v>0</v>
      </c>
      <c r="F2258" s="8" t="n">
        <v>0</v>
      </c>
    </row>
    <row r="2259" customFormat="false" ht="15" hidden="false" customHeight="true" outlineLevel="0" collapsed="false">
      <c r="A2259" s="8" t="s">
        <v>241</v>
      </c>
      <c r="B2259" s="8" t="s">
        <v>1227</v>
      </c>
      <c r="C2259" s="8" t="n">
        <v>3</v>
      </c>
      <c r="D2259" s="8" t="n">
        <v>51</v>
      </c>
      <c r="E2259" s="8" t="n">
        <v>0</v>
      </c>
      <c r="F2259" s="8" t="n">
        <v>0</v>
      </c>
    </row>
    <row r="2260" customFormat="false" ht="15" hidden="false" customHeight="true" outlineLevel="0" collapsed="false">
      <c r="A2260" s="8" t="s">
        <v>219</v>
      </c>
      <c r="B2260" s="8" t="s">
        <v>1227</v>
      </c>
      <c r="C2260" s="8" t="n">
        <v>4</v>
      </c>
      <c r="D2260" s="8" t="n">
        <v>68</v>
      </c>
      <c r="E2260" s="8" t="n">
        <v>4</v>
      </c>
      <c r="F2260" s="8" t="n">
        <v>68</v>
      </c>
    </row>
    <row r="2261" customFormat="false" ht="15" hidden="false" customHeight="true" outlineLevel="0" collapsed="false">
      <c r="A2261" s="8" t="s">
        <v>292</v>
      </c>
      <c r="B2261" s="8" t="s">
        <v>1227</v>
      </c>
      <c r="C2261" s="8" t="n">
        <v>9</v>
      </c>
      <c r="D2261" s="8" t="n">
        <v>153</v>
      </c>
      <c r="E2261" s="8" t="n">
        <v>0</v>
      </c>
      <c r="F2261" s="8" t="n">
        <v>0</v>
      </c>
    </row>
    <row r="2262" customFormat="false" ht="15" hidden="false" customHeight="true" outlineLevel="0" collapsed="false">
      <c r="A2262" s="8" t="s">
        <v>223</v>
      </c>
      <c r="B2262" s="8" t="s">
        <v>1227</v>
      </c>
      <c r="C2262" s="8" t="n">
        <v>15</v>
      </c>
      <c r="D2262" s="8" t="n">
        <v>255</v>
      </c>
      <c r="E2262" s="8" t="n">
        <v>0</v>
      </c>
      <c r="F2262" s="8" t="n">
        <v>0</v>
      </c>
    </row>
    <row r="2263" customFormat="false" ht="15" hidden="false" customHeight="true" outlineLevel="0" collapsed="false">
      <c r="A2263" s="8" t="s">
        <v>287</v>
      </c>
      <c r="B2263" s="8" t="s">
        <v>1227</v>
      </c>
      <c r="C2263" s="8" t="n">
        <v>2</v>
      </c>
      <c r="D2263" s="8" t="n">
        <v>34</v>
      </c>
      <c r="E2263" s="8" t="n">
        <v>2</v>
      </c>
      <c r="F2263" s="8" t="n">
        <v>34</v>
      </c>
    </row>
    <row r="2264" customFormat="false" ht="15" hidden="false" customHeight="true" outlineLevel="0" collapsed="false">
      <c r="A2264" s="8" t="s">
        <v>229</v>
      </c>
      <c r="B2264" s="8" t="s">
        <v>881</v>
      </c>
      <c r="C2264" s="8" t="n">
        <v>5</v>
      </c>
      <c r="D2264" s="8" t="n">
        <v>206</v>
      </c>
      <c r="E2264" s="8" t="n">
        <v>0</v>
      </c>
      <c r="F2264" s="8" t="n">
        <v>0</v>
      </c>
    </row>
    <row r="2265" customFormat="false" ht="15" hidden="false" customHeight="true" outlineLevel="0" collapsed="false">
      <c r="A2265" s="8" t="s">
        <v>237</v>
      </c>
      <c r="B2265" s="8" t="s">
        <v>1259</v>
      </c>
      <c r="C2265" s="8" t="n">
        <v>5</v>
      </c>
      <c r="D2265" s="8" t="n">
        <v>92.25</v>
      </c>
      <c r="E2265" s="8" t="n">
        <v>0</v>
      </c>
      <c r="F2265" s="8" t="n">
        <v>0</v>
      </c>
    </row>
    <row r="2266" customFormat="false" ht="15" hidden="false" customHeight="true" outlineLevel="0" collapsed="false">
      <c r="A2266" s="8" t="s">
        <v>266</v>
      </c>
      <c r="B2266" s="8" t="s">
        <v>1228</v>
      </c>
      <c r="C2266" s="8" t="n">
        <v>1</v>
      </c>
      <c r="D2266" s="8" t="n">
        <v>19.92</v>
      </c>
      <c r="E2266" s="8" t="n">
        <v>0</v>
      </c>
      <c r="F2266" s="8" t="n">
        <v>0</v>
      </c>
    </row>
    <row r="2267" customFormat="false" ht="15" hidden="false" customHeight="true" outlineLevel="0" collapsed="false">
      <c r="A2267" s="8" t="s">
        <v>246</v>
      </c>
      <c r="B2267" s="8" t="s">
        <v>1261</v>
      </c>
      <c r="C2267" s="8" t="n">
        <v>9</v>
      </c>
      <c r="D2267" s="8" t="n">
        <v>156.15</v>
      </c>
      <c r="E2267" s="8" t="n">
        <v>0</v>
      </c>
      <c r="F2267" s="8" t="n">
        <v>0</v>
      </c>
    </row>
    <row r="2268" customFormat="false" ht="15" hidden="false" customHeight="true" outlineLevel="0" collapsed="false">
      <c r="A2268" s="8" t="s">
        <v>202</v>
      </c>
      <c r="B2268" s="8" t="s">
        <v>1212</v>
      </c>
      <c r="C2268" s="8" t="n">
        <v>1</v>
      </c>
      <c r="D2268" s="8" t="n">
        <v>9.5</v>
      </c>
      <c r="E2268" s="8" t="n">
        <v>2</v>
      </c>
      <c r="F2268" s="8" t="n">
        <v>19</v>
      </c>
    </row>
    <row r="2269" customFormat="false" ht="15" hidden="false" customHeight="true" outlineLevel="0" collapsed="false">
      <c r="A2269" s="8" t="s">
        <v>244</v>
      </c>
      <c r="B2269" s="8" t="s">
        <v>1213</v>
      </c>
      <c r="C2269" s="8" t="n">
        <v>4</v>
      </c>
      <c r="D2269" s="8" t="n">
        <v>38</v>
      </c>
      <c r="E2269" s="8" t="n">
        <v>0</v>
      </c>
      <c r="F2269" s="8" t="n">
        <v>0</v>
      </c>
    </row>
    <row r="2270" customFormat="false" ht="15" hidden="false" customHeight="true" outlineLevel="0" collapsed="false">
      <c r="A2270" s="8" t="s">
        <v>243</v>
      </c>
      <c r="B2270" s="8" t="s">
        <v>1253</v>
      </c>
      <c r="C2270" s="8" t="n">
        <v>8</v>
      </c>
      <c r="D2270" s="8" t="n">
        <v>103.6</v>
      </c>
      <c r="E2270" s="8" t="n">
        <v>0</v>
      </c>
      <c r="F2270" s="8" t="n">
        <v>0</v>
      </c>
    </row>
    <row r="2271" customFormat="false" ht="15" hidden="false" customHeight="true" outlineLevel="0" collapsed="false">
      <c r="A2271" s="8" t="s">
        <v>251</v>
      </c>
      <c r="B2271" s="8" t="s">
        <v>1262</v>
      </c>
      <c r="C2271" s="8" t="n">
        <v>10</v>
      </c>
      <c r="D2271" s="8" t="n">
        <v>97.1</v>
      </c>
      <c r="E2271" s="8" t="n">
        <v>0</v>
      </c>
      <c r="F2271" s="8" t="n">
        <v>0</v>
      </c>
    </row>
    <row r="2272" customFormat="false" ht="15" hidden="false" customHeight="true" outlineLevel="0" collapsed="false">
      <c r="A2272" s="8" t="s">
        <v>308</v>
      </c>
      <c r="B2272" s="8" t="s">
        <v>1229</v>
      </c>
      <c r="C2272" s="8" t="n">
        <v>3</v>
      </c>
      <c r="D2272" s="8" t="n">
        <v>24.24</v>
      </c>
      <c r="E2272" s="8" t="n">
        <v>0</v>
      </c>
      <c r="F2272" s="8" t="n">
        <v>0</v>
      </c>
    </row>
    <row r="2273" customFormat="false" ht="15" hidden="false" customHeight="true" outlineLevel="0" collapsed="false">
      <c r="A2273" s="8" t="s">
        <v>172</v>
      </c>
      <c r="B2273" s="8" t="s">
        <v>1214</v>
      </c>
      <c r="C2273" s="8" t="n">
        <v>3</v>
      </c>
      <c r="D2273" s="8" t="n">
        <v>36.54</v>
      </c>
      <c r="E2273" s="8" t="n">
        <v>1</v>
      </c>
      <c r="F2273" s="8" t="n">
        <v>12.18</v>
      </c>
    </row>
    <row r="2274" customFormat="false" ht="15" hidden="false" customHeight="true" outlineLevel="0" collapsed="false">
      <c r="A2274" s="8" t="s">
        <v>242</v>
      </c>
      <c r="B2274" s="8" t="s">
        <v>1230</v>
      </c>
      <c r="C2274" s="8" t="n">
        <v>3</v>
      </c>
      <c r="D2274" s="8" t="n">
        <v>116.1</v>
      </c>
      <c r="E2274" s="8" t="n">
        <v>0</v>
      </c>
      <c r="F2274" s="8" t="n">
        <v>0</v>
      </c>
    </row>
    <row r="2275" customFormat="false" ht="15" hidden="false" customHeight="true" outlineLevel="0" collapsed="false">
      <c r="A2275" s="8" t="s">
        <v>261</v>
      </c>
      <c r="B2275" s="8" t="s">
        <v>1215</v>
      </c>
      <c r="C2275" s="8" t="n">
        <v>9</v>
      </c>
      <c r="D2275" s="8" t="n">
        <v>190.89</v>
      </c>
      <c r="E2275" s="8" t="n">
        <v>0</v>
      </c>
      <c r="F2275" s="8" t="n">
        <v>0</v>
      </c>
    </row>
    <row r="2276" customFormat="false" ht="15" hidden="false" customHeight="true" outlineLevel="0" collapsed="false">
      <c r="A2276" s="8" t="s">
        <v>269</v>
      </c>
      <c r="B2276" s="8" t="s">
        <v>1231</v>
      </c>
      <c r="C2276" s="8" t="n">
        <v>3</v>
      </c>
      <c r="D2276" s="8" t="n">
        <v>33.99</v>
      </c>
      <c r="E2276" s="8" t="n">
        <v>0</v>
      </c>
      <c r="F2276" s="8" t="n">
        <v>0</v>
      </c>
    </row>
    <row r="2277" customFormat="false" ht="15" hidden="false" customHeight="true" outlineLevel="0" collapsed="false">
      <c r="A2277" s="8" t="s">
        <v>213</v>
      </c>
      <c r="B2277" s="8" t="s">
        <v>1232</v>
      </c>
      <c r="C2277" s="8" t="n">
        <v>4</v>
      </c>
      <c r="D2277" s="8" t="n">
        <v>110.2</v>
      </c>
      <c r="E2277" s="8" t="n">
        <v>0</v>
      </c>
      <c r="F2277" s="8" t="n">
        <v>0</v>
      </c>
    </row>
    <row r="2278" customFormat="false" ht="15" hidden="false" customHeight="true" outlineLevel="0" collapsed="false">
      <c r="A2278" s="8" t="s">
        <v>288</v>
      </c>
      <c r="B2278" s="8" t="s">
        <v>939</v>
      </c>
      <c r="C2278" s="8" t="n">
        <v>7</v>
      </c>
      <c r="D2278" s="8" t="n">
        <v>141.68</v>
      </c>
      <c r="E2278" s="8" t="n">
        <v>0</v>
      </c>
      <c r="F2278" s="8" t="n">
        <v>0</v>
      </c>
    </row>
    <row r="2279" customFormat="false" ht="15" hidden="false" customHeight="true" outlineLevel="0" collapsed="false">
      <c r="A2279" s="8" t="s">
        <v>232</v>
      </c>
      <c r="B2279" s="8" t="s">
        <v>1233</v>
      </c>
      <c r="C2279" s="8" t="n">
        <v>7</v>
      </c>
      <c r="D2279" s="8" t="n">
        <v>113.4</v>
      </c>
      <c r="E2279" s="8" t="n">
        <v>0</v>
      </c>
      <c r="F2279" s="8" t="n">
        <v>0</v>
      </c>
    </row>
    <row r="2280" customFormat="false" ht="15" hidden="false" customHeight="true" outlineLevel="0" collapsed="false">
      <c r="A2280" s="8" t="s">
        <v>215</v>
      </c>
      <c r="B2280" s="8" t="s">
        <v>1233</v>
      </c>
      <c r="C2280" s="8" t="n">
        <v>4</v>
      </c>
      <c r="D2280" s="8" t="n">
        <v>71.28</v>
      </c>
      <c r="E2280" s="8" t="n">
        <v>0</v>
      </c>
      <c r="F2280" s="8" t="n">
        <v>0</v>
      </c>
    </row>
    <row r="2281" customFormat="false" ht="15" hidden="false" customHeight="true" outlineLevel="0" collapsed="false">
      <c r="A2281" s="8" t="s">
        <v>299</v>
      </c>
      <c r="B2281" s="8" t="s">
        <v>1263</v>
      </c>
      <c r="C2281" s="8" t="n">
        <v>1</v>
      </c>
      <c r="D2281" s="8" t="n">
        <v>53.53</v>
      </c>
      <c r="E2281" s="8" t="n">
        <v>0</v>
      </c>
      <c r="F2281" s="8" t="n">
        <v>0</v>
      </c>
    </row>
    <row r="2282" customFormat="false" ht="15" hidden="false" customHeight="true" outlineLevel="0" collapsed="false">
      <c r="A2282" s="8" t="s">
        <v>317</v>
      </c>
      <c r="B2282" s="8" t="s">
        <v>621</v>
      </c>
      <c r="C2282" s="8" t="n">
        <v>2</v>
      </c>
      <c r="D2282" s="8" t="n">
        <v>98.6</v>
      </c>
      <c r="E2282" s="8" t="n">
        <v>0</v>
      </c>
      <c r="F2282" s="8" t="n">
        <v>0</v>
      </c>
    </row>
    <row r="2283" customFormat="false" ht="15" hidden="false" customHeight="true" outlineLevel="0" collapsed="false">
      <c r="A2283" s="8" t="s">
        <v>225</v>
      </c>
      <c r="B2283" s="8" t="s">
        <v>1237</v>
      </c>
      <c r="C2283" s="8" t="n">
        <v>4</v>
      </c>
      <c r="D2283" s="8" t="n">
        <v>73.6</v>
      </c>
      <c r="E2283" s="8" t="n">
        <v>0</v>
      </c>
      <c r="F2283" s="8" t="n">
        <v>0</v>
      </c>
    </row>
    <row r="2284" customFormat="false" ht="15" hidden="false" customHeight="true" outlineLevel="0" collapsed="false">
      <c r="A2284" s="8" t="s">
        <v>217</v>
      </c>
      <c r="B2284" s="8" t="s">
        <v>1237</v>
      </c>
      <c r="C2284" s="8" t="n">
        <v>2</v>
      </c>
      <c r="D2284" s="8" t="n">
        <v>36.8</v>
      </c>
      <c r="E2284" s="8" t="n">
        <v>0</v>
      </c>
      <c r="F2284" s="8" t="n">
        <v>0</v>
      </c>
    </row>
    <row r="2285" customFormat="false" ht="15" hidden="false" customHeight="true" outlineLevel="0" collapsed="false">
      <c r="A2285" s="8" t="s">
        <v>325</v>
      </c>
      <c r="B2285" s="8" t="s">
        <v>1264</v>
      </c>
      <c r="C2285" s="8" t="n">
        <v>1</v>
      </c>
      <c r="D2285" s="8" t="n">
        <v>18.4</v>
      </c>
      <c r="E2285" s="8" t="n">
        <v>1</v>
      </c>
      <c r="F2285" s="8" t="n">
        <v>18.4</v>
      </c>
    </row>
    <row r="2286" customFormat="false" ht="15" hidden="false" customHeight="true" outlineLevel="0" collapsed="false">
      <c r="A2286" s="8" t="s">
        <v>268</v>
      </c>
      <c r="B2286" s="8" t="s">
        <v>1234</v>
      </c>
      <c r="C2286" s="8" t="n">
        <v>1</v>
      </c>
      <c r="D2286" s="8" t="n">
        <v>35.67</v>
      </c>
      <c r="E2286" s="8" t="n">
        <v>1</v>
      </c>
      <c r="F2286" s="8" t="n">
        <v>35.67</v>
      </c>
    </row>
    <row r="2287" customFormat="false" ht="15" hidden="false" customHeight="true" outlineLevel="0" collapsed="false">
      <c r="A2287" s="8" t="s">
        <v>209</v>
      </c>
      <c r="B2287" s="8" t="s">
        <v>1245</v>
      </c>
      <c r="C2287" s="8" t="n">
        <v>1</v>
      </c>
      <c r="D2287" s="8" t="n">
        <v>64.89</v>
      </c>
      <c r="E2287" s="8" t="n">
        <v>0</v>
      </c>
      <c r="F2287" s="8" t="n">
        <v>0</v>
      </c>
    </row>
    <row r="2288" customFormat="false" ht="15" hidden="false" customHeight="true" outlineLevel="0" collapsed="false">
      <c r="A2288" s="8" t="s">
        <v>180</v>
      </c>
      <c r="B2288" s="8" t="s">
        <v>1216</v>
      </c>
      <c r="C2288" s="8" t="n">
        <v>5</v>
      </c>
      <c r="D2288" s="8" t="n">
        <v>82.5</v>
      </c>
      <c r="E2288" s="8" t="n">
        <v>0</v>
      </c>
      <c r="F2288" s="8" t="n">
        <v>0</v>
      </c>
    </row>
    <row r="2289" customFormat="false" ht="15" hidden="false" customHeight="true" outlineLevel="0" collapsed="false">
      <c r="A2289" s="8" t="s">
        <v>189</v>
      </c>
      <c r="B2289" s="8" t="s">
        <v>1216</v>
      </c>
      <c r="C2289" s="8" t="n">
        <v>6</v>
      </c>
      <c r="D2289" s="8" t="n">
        <v>99</v>
      </c>
      <c r="E2289" s="8" t="n">
        <v>5</v>
      </c>
      <c r="F2289" s="8" t="n">
        <v>82.5</v>
      </c>
    </row>
    <row r="2290" customFormat="false" ht="15" hidden="false" customHeight="true" outlineLevel="0" collapsed="false">
      <c r="A2290" s="8" t="s">
        <v>267</v>
      </c>
      <c r="B2290" s="8" t="s">
        <v>1216</v>
      </c>
      <c r="C2290" s="8" t="n">
        <v>2</v>
      </c>
      <c r="D2290" s="8" t="n">
        <v>33</v>
      </c>
      <c r="E2290" s="8" t="n">
        <v>0</v>
      </c>
      <c r="F2290" s="8" t="n">
        <v>0</v>
      </c>
    </row>
    <row r="2291" customFormat="false" ht="15" hidden="false" customHeight="true" outlineLevel="0" collapsed="false">
      <c r="A2291" s="8" t="s">
        <v>199</v>
      </c>
      <c r="B2291" s="8" t="s">
        <v>1216</v>
      </c>
      <c r="C2291" s="8" t="n">
        <v>14</v>
      </c>
      <c r="D2291" s="8" t="n">
        <v>231</v>
      </c>
      <c r="E2291" s="8" t="n">
        <v>0</v>
      </c>
      <c r="F2291" s="8" t="n">
        <v>0</v>
      </c>
    </row>
    <row r="2292" customFormat="false" ht="15" hidden="false" customHeight="true" outlineLevel="0" collapsed="false">
      <c r="A2292" s="8" t="s">
        <v>250</v>
      </c>
      <c r="B2292" s="8" t="s">
        <v>1216</v>
      </c>
      <c r="C2292" s="8" t="n">
        <v>10</v>
      </c>
      <c r="D2292" s="8" t="n">
        <v>165</v>
      </c>
      <c r="E2292" s="8" t="n">
        <v>0</v>
      </c>
      <c r="F2292" s="8" t="n">
        <v>0</v>
      </c>
    </row>
    <row r="2293" customFormat="false" ht="15" hidden="false" customHeight="true" outlineLevel="0" collapsed="false">
      <c r="A2293" s="8" t="s">
        <v>198</v>
      </c>
      <c r="B2293" s="8" t="s">
        <v>1217</v>
      </c>
      <c r="C2293" s="8" t="n">
        <v>2</v>
      </c>
      <c r="D2293" s="8" t="n">
        <v>41</v>
      </c>
      <c r="E2293" s="8" t="n">
        <v>4</v>
      </c>
      <c r="F2293" s="8" t="n">
        <v>82</v>
      </c>
    </row>
    <row r="2294" customFormat="false" ht="15" hidden="false" customHeight="true" outlineLevel="0" collapsed="false">
      <c r="A2294" s="8" t="s">
        <v>193</v>
      </c>
      <c r="B2294" s="8" t="s">
        <v>1217</v>
      </c>
      <c r="C2294" s="8" t="n">
        <v>4</v>
      </c>
      <c r="D2294" s="8" t="n">
        <v>82</v>
      </c>
      <c r="E2294" s="8" t="n">
        <v>0</v>
      </c>
      <c r="F2294" s="8" t="n">
        <v>0</v>
      </c>
    </row>
    <row r="2295" customFormat="false" ht="15" hidden="false" customHeight="true" outlineLevel="0" collapsed="false">
      <c r="A2295" s="8" t="s">
        <v>302</v>
      </c>
      <c r="B2295" s="8" t="s">
        <v>1217</v>
      </c>
      <c r="C2295" s="8" t="n">
        <v>0</v>
      </c>
      <c r="D2295" s="8" t="n">
        <v>0</v>
      </c>
      <c r="E2295" s="8" t="n">
        <v>1</v>
      </c>
      <c r="F2295" s="8" t="n">
        <v>20.5</v>
      </c>
    </row>
    <row r="2296" customFormat="false" ht="15" hidden="false" customHeight="true" outlineLevel="0" collapsed="false">
      <c r="A2296" s="8" t="s">
        <v>205</v>
      </c>
      <c r="B2296" s="8" t="s">
        <v>1217</v>
      </c>
      <c r="C2296" s="8" t="n">
        <v>9</v>
      </c>
      <c r="D2296" s="8" t="n">
        <v>184.5</v>
      </c>
      <c r="E2296" s="8" t="n">
        <v>0</v>
      </c>
      <c r="F2296" s="8" t="n">
        <v>0</v>
      </c>
    </row>
    <row r="2297" customFormat="false" ht="15" hidden="false" customHeight="true" outlineLevel="0" collapsed="false">
      <c r="A2297" s="8" t="s">
        <v>256</v>
      </c>
      <c r="B2297" s="8" t="s">
        <v>1217</v>
      </c>
      <c r="C2297" s="8" t="n">
        <v>2</v>
      </c>
      <c r="D2297" s="8" t="n">
        <v>41</v>
      </c>
      <c r="E2297" s="8" t="n">
        <v>0</v>
      </c>
      <c r="F2297" s="8" t="n">
        <v>0</v>
      </c>
    </row>
    <row r="2298" customFormat="false" ht="15" hidden="false" customHeight="true" outlineLevel="0" collapsed="false">
      <c r="A2298" s="8" t="s">
        <v>228</v>
      </c>
      <c r="B2298" s="8" t="s">
        <v>1275</v>
      </c>
      <c r="C2298" s="8" t="n">
        <v>6</v>
      </c>
      <c r="D2298" s="8" t="n">
        <v>85.5</v>
      </c>
      <c r="E2298" s="8" t="n">
        <v>0</v>
      </c>
      <c r="F2298" s="8" t="n">
        <v>0</v>
      </c>
    </row>
    <row r="2299" customFormat="false" ht="15" hidden="false" customHeight="true" outlineLevel="0" collapsed="false">
      <c r="A2299" s="8" t="s">
        <v>113</v>
      </c>
      <c r="B2299" s="8" t="s">
        <v>1247</v>
      </c>
      <c r="C2299" s="8" t="n">
        <v>2</v>
      </c>
      <c r="D2299" s="8" t="n">
        <v>50</v>
      </c>
      <c r="E2299" s="8" t="n">
        <v>0</v>
      </c>
      <c r="F2299" s="8" t="n">
        <v>0</v>
      </c>
    </row>
    <row r="2300" customFormat="false" ht="15" hidden="false" customHeight="true" outlineLevel="0" collapsed="false">
      <c r="A2300" s="8" t="s">
        <v>99</v>
      </c>
      <c r="B2300" s="8" t="s">
        <v>1247</v>
      </c>
      <c r="C2300" s="8" t="n">
        <v>5</v>
      </c>
      <c r="D2300" s="8" t="n">
        <v>125</v>
      </c>
      <c r="E2300" s="8" t="n">
        <v>0</v>
      </c>
      <c r="F2300" s="8" t="n">
        <v>0</v>
      </c>
    </row>
    <row r="2301" customFormat="false" ht="15" hidden="false" customHeight="true" outlineLevel="0" collapsed="false">
      <c r="A2301" s="8" t="s">
        <v>120</v>
      </c>
      <c r="B2301" s="8" t="s">
        <v>1247</v>
      </c>
      <c r="C2301" s="8" t="n">
        <v>2</v>
      </c>
      <c r="D2301" s="8" t="n">
        <v>50</v>
      </c>
      <c r="E2301" s="8" t="n">
        <v>0</v>
      </c>
      <c r="F2301" s="8" t="n">
        <v>0</v>
      </c>
    </row>
    <row r="2302" customFormat="false" ht="15" hidden="false" customHeight="true" outlineLevel="0" collapsed="false">
      <c r="A2302" s="8" t="s">
        <v>257</v>
      </c>
      <c r="B2302" s="8" t="s">
        <v>1284</v>
      </c>
      <c r="C2302" s="8" t="n">
        <v>1</v>
      </c>
      <c r="D2302" s="8" t="n">
        <v>32.43</v>
      </c>
      <c r="E2302" s="8" t="n">
        <v>3</v>
      </c>
      <c r="F2302" s="8" t="n">
        <v>97.29</v>
      </c>
    </row>
    <row r="2303" customFormat="false" ht="15" hidden="false" customHeight="true" outlineLevel="0" collapsed="false">
      <c r="A2303" s="8" t="s">
        <v>178</v>
      </c>
      <c r="B2303" s="8" t="s">
        <v>1236</v>
      </c>
      <c r="C2303" s="8" t="n">
        <v>4</v>
      </c>
      <c r="D2303" s="8" t="n">
        <v>140</v>
      </c>
      <c r="E2303" s="8" t="n">
        <v>0</v>
      </c>
      <c r="F2303" s="8" t="n">
        <v>0</v>
      </c>
    </row>
    <row r="2304" customFormat="false" ht="15" hidden="false" customHeight="true" outlineLevel="0" collapsed="false">
      <c r="A2304" s="8" t="s">
        <v>176</v>
      </c>
      <c r="B2304" s="8" t="s">
        <v>1236</v>
      </c>
      <c r="C2304" s="8" t="n">
        <v>0</v>
      </c>
      <c r="D2304" s="8" t="n">
        <v>0</v>
      </c>
      <c r="E2304" s="8" t="n">
        <v>1</v>
      </c>
      <c r="F2304" s="8" t="n">
        <v>35</v>
      </c>
    </row>
    <row r="2305" customFormat="false" ht="15" hidden="false" customHeight="true" outlineLevel="0" collapsed="false">
      <c r="A2305" s="8" t="s">
        <v>235</v>
      </c>
      <c r="B2305" s="8" t="s">
        <v>1236</v>
      </c>
      <c r="C2305" s="8" t="n">
        <v>4</v>
      </c>
      <c r="D2305" s="8" t="n">
        <v>140</v>
      </c>
      <c r="E2305" s="8" t="n">
        <v>0</v>
      </c>
      <c r="F2305" s="8" t="n">
        <v>0</v>
      </c>
    </row>
    <row r="2306" customFormat="false" ht="15" hidden="false" customHeight="true" outlineLevel="0" collapsed="false">
      <c r="A2306" s="8" t="s">
        <v>224</v>
      </c>
      <c r="B2306" s="8" t="s">
        <v>1236</v>
      </c>
      <c r="C2306" s="8" t="n">
        <v>1</v>
      </c>
      <c r="D2306" s="8" t="n">
        <v>35</v>
      </c>
      <c r="E2306" s="8" t="n">
        <v>2</v>
      </c>
      <c r="F2306" s="8" t="n">
        <v>70</v>
      </c>
    </row>
    <row r="2307" customFormat="false" ht="15" hidden="false" customHeight="true" outlineLevel="0" collapsed="false">
      <c r="A2307" s="8" t="s">
        <v>179</v>
      </c>
      <c r="B2307" s="8" t="s">
        <v>1218</v>
      </c>
      <c r="C2307" s="8" t="n">
        <v>6</v>
      </c>
      <c r="D2307" s="8" t="n">
        <v>759</v>
      </c>
      <c r="E2307" s="8" t="n">
        <v>1</v>
      </c>
      <c r="F2307" s="8" t="n">
        <v>126.5</v>
      </c>
    </row>
    <row r="2308" customFormat="false" ht="15" hidden="false" customHeight="true" outlineLevel="0" collapsed="false">
      <c r="A2308" s="8" t="s">
        <v>185</v>
      </c>
      <c r="B2308" s="8" t="s">
        <v>1218</v>
      </c>
      <c r="C2308" s="8" t="n">
        <v>2</v>
      </c>
      <c r="D2308" s="8" t="n">
        <v>253</v>
      </c>
      <c r="E2308" s="8" t="n">
        <v>0</v>
      </c>
      <c r="F2308" s="8" t="n">
        <v>0</v>
      </c>
    </row>
    <row r="2309" customFormat="false" ht="15" hidden="false" customHeight="true" outlineLevel="0" collapsed="false">
      <c r="A2309" s="8" t="s">
        <v>360</v>
      </c>
      <c r="B2309" s="8" t="s">
        <v>1218</v>
      </c>
      <c r="C2309" s="8" t="n">
        <v>2</v>
      </c>
      <c r="D2309" s="8" t="n">
        <v>253</v>
      </c>
      <c r="E2309" s="8" t="n">
        <v>0</v>
      </c>
      <c r="F2309" s="8" t="n">
        <v>0</v>
      </c>
    </row>
    <row r="2310" customFormat="false" ht="15" hidden="false" customHeight="true" outlineLevel="0" collapsed="false">
      <c r="A2310" s="8" t="s">
        <v>195</v>
      </c>
      <c r="B2310" s="8" t="s">
        <v>1218</v>
      </c>
      <c r="C2310" s="8" t="n">
        <v>4</v>
      </c>
      <c r="D2310" s="8" t="n">
        <v>506</v>
      </c>
      <c r="E2310" s="8" t="n">
        <v>0</v>
      </c>
      <c r="F2310" s="8" t="n">
        <v>0</v>
      </c>
    </row>
    <row r="2311" customFormat="false" ht="15" hidden="false" customHeight="true" outlineLevel="0" collapsed="false">
      <c r="A2311" s="8" t="s">
        <v>240</v>
      </c>
      <c r="B2311" s="8" t="s">
        <v>769</v>
      </c>
      <c r="C2311" s="8" t="n">
        <v>7</v>
      </c>
      <c r="D2311" s="8" t="n">
        <v>119</v>
      </c>
      <c r="E2311" s="8" t="n">
        <v>3</v>
      </c>
      <c r="F2311" s="8" t="n">
        <v>51</v>
      </c>
    </row>
    <row r="2312" customFormat="false" ht="15" hidden="false" customHeight="true" outlineLevel="0" collapsed="false">
      <c r="A2312" s="8" t="s">
        <v>234</v>
      </c>
      <c r="B2312" s="8" t="s">
        <v>769</v>
      </c>
      <c r="C2312" s="8" t="n">
        <v>11</v>
      </c>
      <c r="D2312" s="8" t="n">
        <v>187</v>
      </c>
      <c r="E2312" s="8" t="n">
        <v>0</v>
      </c>
      <c r="F2312" s="8" t="n">
        <v>0</v>
      </c>
    </row>
    <row r="2313" customFormat="false" ht="15" hidden="false" customHeight="true" outlineLevel="0" collapsed="false">
      <c r="A2313" s="8" t="s">
        <v>247</v>
      </c>
      <c r="B2313" s="8" t="s">
        <v>769</v>
      </c>
      <c r="C2313" s="8" t="n">
        <v>1</v>
      </c>
      <c r="D2313" s="8" t="n">
        <v>17</v>
      </c>
      <c r="E2313" s="8" t="n">
        <v>0</v>
      </c>
      <c r="F2313" s="8" t="n">
        <v>0</v>
      </c>
    </row>
    <row r="2314" customFormat="false" ht="15" hidden="false" customHeight="true" outlineLevel="0" collapsed="false">
      <c r="A2314" s="8" t="s">
        <v>300</v>
      </c>
      <c r="B2314" s="8" t="s">
        <v>769</v>
      </c>
      <c r="C2314" s="8" t="n">
        <v>2</v>
      </c>
      <c r="D2314" s="8" t="n">
        <v>34</v>
      </c>
      <c r="E2314" s="8" t="n">
        <v>3</v>
      </c>
      <c r="F2314" s="8" t="n">
        <v>51</v>
      </c>
    </row>
    <row r="2315" customFormat="false" ht="15" hidden="false" customHeight="true" outlineLevel="0" collapsed="false">
      <c r="A2315" s="8" t="s">
        <v>328</v>
      </c>
      <c r="B2315" s="8" t="s">
        <v>769</v>
      </c>
      <c r="C2315" s="8" t="n">
        <v>3</v>
      </c>
      <c r="D2315" s="8" t="n">
        <v>51</v>
      </c>
      <c r="E2315" s="8" t="n">
        <v>0</v>
      </c>
      <c r="F2315" s="8" t="n">
        <v>0</v>
      </c>
    </row>
    <row r="2316" customFormat="false" ht="15" hidden="false" customHeight="true" outlineLevel="0" collapsed="false">
      <c r="A2316" s="8" t="s">
        <v>182</v>
      </c>
      <c r="B2316" s="8" t="s">
        <v>799</v>
      </c>
      <c r="C2316" s="8" t="n">
        <v>9</v>
      </c>
      <c r="D2316" s="8" t="n">
        <v>180</v>
      </c>
      <c r="E2316" s="8" t="n">
        <v>4</v>
      </c>
      <c r="F2316" s="8" t="n">
        <v>80</v>
      </c>
    </row>
    <row r="2317" customFormat="false" ht="15" hidden="false" customHeight="true" outlineLevel="0" collapsed="false">
      <c r="A2317" s="8" t="s">
        <v>274</v>
      </c>
      <c r="B2317" s="8" t="s">
        <v>1219</v>
      </c>
      <c r="C2317" s="8" t="n">
        <v>6</v>
      </c>
      <c r="D2317" s="8" t="n">
        <v>52.38</v>
      </c>
      <c r="E2317" s="8" t="n">
        <v>2</v>
      </c>
      <c r="F2317" s="8" t="n">
        <v>17.46</v>
      </c>
    </row>
    <row r="2318" customFormat="false" ht="15" hidden="false" customHeight="true" outlineLevel="0" collapsed="false">
      <c r="A2318" s="8" t="s">
        <v>170</v>
      </c>
      <c r="B2318" s="8" t="s">
        <v>1220</v>
      </c>
      <c r="C2318" s="8" t="n">
        <v>6</v>
      </c>
      <c r="D2318" s="8" t="n">
        <v>88.8</v>
      </c>
      <c r="E2318" s="8" t="n">
        <v>0</v>
      </c>
      <c r="F2318" s="8" t="n">
        <v>0</v>
      </c>
    </row>
    <row r="2319" customFormat="false" ht="15" hidden="false" customHeight="true" outlineLevel="0" collapsed="false">
      <c r="A2319" s="8" t="s">
        <v>167</v>
      </c>
      <c r="B2319" s="8" t="s">
        <v>1238</v>
      </c>
      <c r="C2319" s="8" t="n">
        <v>4</v>
      </c>
      <c r="D2319" s="8" t="n">
        <v>53.6</v>
      </c>
      <c r="E2319" s="8" t="n">
        <v>1</v>
      </c>
      <c r="F2319" s="8" t="n">
        <v>13.4</v>
      </c>
    </row>
    <row r="2320" customFormat="false" ht="15" hidden="false" customHeight="true" outlineLevel="0" collapsed="false">
      <c r="A2320" s="8" t="s">
        <v>334</v>
      </c>
      <c r="B2320" s="8" t="s">
        <v>1276</v>
      </c>
      <c r="C2320" s="8" t="n">
        <v>4</v>
      </c>
      <c r="D2320" s="8" t="n">
        <v>64.8</v>
      </c>
      <c r="E2320" s="8" t="n">
        <v>0</v>
      </c>
      <c r="F2320" s="8" t="n">
        <v>0</v>
      </c>
    </row>
    <row r="2321" customFormat="false" ht="15" hidden="false" customHeight="true" outlineLevel="0" collapsed="false">
      <c r="A2321" s="8" t="s">
        <v>258</v>
      </c>
      <c r="B2321" s="8" t="s">
        <v>562</v>
      </c>
      <c r="C2321" s="8" t="n">
        <v>4</v>
      </c>
      <c r="D2321" s="8" t="n">
        <v>144</v>
      </c>
      <c r="E2321" s="8" t="n">
        <v>0</v>
      </c>
      <c r="F2321" s="8" t="n">
        <v>0</v>
      </c>
    </row>
    <row r="2322" customFormat="false" ht="15" hidden="false" customHeight="true" outlineLevel="0" collapsed="false">
      <c r="A2322" s="8" t="s">
        <v>252</v>
      </c>
      <c r="B2322" s="8" t="s">
        <v>1177</v>
      </c>
      <c r="C2322" s="8" t="n">
        <v>2</v>
      </c>
      <c r="D2322" s="8" t="n">
        <v>33.2</v>
      </c>
      <c r="E2322" s="8" t="n">
        <v>2</v>
      </c>
      <c r="F2322" s="8" t="n">
        <v>33.2</v>
      </c>
    </row>
    <row r="2323" customFormat="false" ht="15" hidden="false" customHeight="true" outlineLevel="0" collapsed="false">
      <c r="A2323" s="8" t="s">
        <v>203</v>
      </c>
      <c r="B2323" s="8" t="s">
        <v>1177</v>
      </c>
      <c r="C2323" s="8" t="n">
        <v>5</v>
      </c>
      <c r="D2323" s="8" t="n">
        <v>92.5</v>
      </c>
      <c r="E2323" s="8" t="n">
        <v>4</v>
      </c>
      <c r="F2323" s="8" t="n">
        <v>74</v>
      </c>
    </row>
    <row r="2324" customFormat="false" ht="15" hidden="false" customHeight="true" outlineLevel="0" collapsed="false">
      <c r="A2324" s="8" t="s">
        <v>211</v>
      </c>
      <c r="B2324" s="8" t="s">
        <v>1250</v>
      </c>
      <c r="C2324" s="8" t="n">
        <v>6</v>
      </c>
      <c r="D2324" s="8" t="n">
        <v>150</v>
      </c>
      <c r="E2324" s="8" t="n">
        <v>0</v>
      </c>
      <c r="F2324" s="8" t="n">
        <v>0</v>
      </c>
    </row>
    <row r="2325" customFormat="false" ht="15" hidden="false" customHeight="true" outlineLevel="0" collapsed="false">
      <c r="A2325" s="8" t="s">
        <v>248</v>
      </c>
      <c r="B2325" s="8" t="s">
        <v>1242</v>
      </c>
      <c r="C2325" s="8" t="n">
        <v>2</v>
      </c>
      <c r="D2325" s="8" t="n">
        <v>42</v>
      </c>
      <c r="E2325" s="8" t="n">
        <v>0</v>
      </c>
      <c r="F2325" s="8" t="n">
        <v>0</v>
      </c>
    </row>
    <row r="2326" customFormat="false" ht="15" hidden="false" customHeight="true" outlineLevel="0" collapsed="false">
      <c r="A2326" s="8" t="s">
        <v>196</v>
      </c>
      <c r="B2326" s="8" t="s">
        <v>1243</v>
      </c>
      <c r="C2326" s="8" t="n">
        <v>4</v>
      </c>
      <c r="D2326" s="8" t="n">
        <v>214</v>
      </c>
      <c r="E2326" s="8" t="n">
        <v>0</v>
      </c>
      <c r="F2326" s="8" t="n">
        <v>0</v>
      </c>
    </row>
    <row r="2327" customFormat="false" ht="15" hidden="false" customHeight="true" outlineLevel="0" collapsed="false">
      <c r="A2327" s="8" t="s">
        <v>226</v>
      </c>
      <c r="B2327" s="8" t="s">
        <v>566</v>
      </c>
      <c r="C2327" s="8" t="n">
        <v>2</v>
      </c>
      <c r="D2327" s="8" t="n">
        <v>41.6</v>
      </c>
      <c r="E2327" s="8" t="n">
        <v>2</v>
      </c>
      <c r="F2327" s="8" t="n">
        <v>41.6</v>
      </c>
    </row>
    <row r="2328" customFormat="false" ht="15" hidden="false" customHeight="true" outlineLevel="0" collapsed="false">
      <c r="A2328" s="8" t="s">
        <v>262</v>
      </c>
      <c r="B2328" s="8" t="s">
        <v>1267</v>
      </c>
      <c r="C2328" s="8" t="n">
        <v>1</v>
      </c>
      <c r="D2328" s="8" t="n">
        <v>128.71</v>
      </c>
      <c r="E2328" s="8" t="n">
        <v>0</v>
      </c>
      <c r="F2328" s="8" t="n">
        <v>0</v>
      </c>
    </row>
    <row r="2329" customFormat="false" ht="15" hidden="false" customHeight="true" outlineLevel="0" collapsed="false">
      <c r="A2329" s="8" t="s">
        <v>349</v>
      </c>
      <c r="B2329" s="8" t="s">
        <v>1267</v>
      </c>
      <c r="C2329" s="8" t="n">
        <v>1</v>
      </c>
      <c r="D2329" s="8" t="n">
        <v>128.71</v>
      </c>
      <c r="E2329" s="8" t="n">
        <v>2</v>
      </c>
      <c r="F2329" s="8" t="n">
        <v>257.42</v>
      </c>
    </row>
    <row r="2330" customFormat="false" ht="15" hidden="false" customHeight="true" outlineLevel="0" collapsed="false">
      <c r="A2330" s="8" t="s">
        <v>163</v>
      </c>
      <c r="B2330" s="8" t="s">
        <v>897</v>
      </c>
      <c r="C2330" s="8" t="n">
        <v>2</v>
      </c>
      <c r="D2330" s="8" t="n">
        <v>130</v>
      </c>
      <c r="E2330" s="8" t="n">
        <v>0</v>
      </c>
      <c r="F2330" s="8" t="n">
        <v>0</v>
      </c>
    </row>
    <row r="2331" customFormat="false" ht="15" hidden="false" customHeight="true" outlineLevel="0" collapsed="false">
      <c r="A2331" s="8" t="s">
        <v>181</v>
      </c>
      <c r="B2331" s="8" t="s">
        <v>897</v>
      </c>
      <c r="C2331" s="8" t="n">
        <v>4</v>
      </c>
      <c r="D2331" s="8" t="n">
        <v>260</v>
      </c>
      <c r="E2331" s="8" t="n">
        <v>0</v>
      </c>
      <c r="F2331" s="8" t="n">
        <v>0</v>
      </c>
    </row>
    <row r="2332" customFormat="false" ht="15" hidden="false" customHeight="true" outlineLevel="0" collapsed="false">
      <c r="A2332" s="8" t="s">
        <v>165</v>
      </c>
      <c r="B2332" s="8" t="s">
        <v>897</v>
      </c>
      <c r="C2332" s="8" t="n">
        <v>0</v>
      </c>
      <c r="D2332" s="8" t="n">
        <v>0</v>
      </c>
      <c r="E2332" s="8" t="n">
        <v>1</v>
      </c>
      <c r="F2332" s="8" t="n">
        <v>65</v>
      </c>
    </row>
    <row r="2333" customFormat="false" ht="15" hidden="false" customHeight="true" outlineLevel="0" collapsed="false">
      <c r="A2333" s="8" t="s">
        <v>191</v>
      </c>
      <c r="B2333" s="8" t="s">
        <v>1179</v>
      </c>
      <c r="C2333" s="8" t="n">
        <v>1</v>
      </c>
      <c r="D2333" s="8" t="n">
        <v>72.34</v>
      </c>
      <c r="E2333" s="8" t="n">
        <v>0</v>
      </c>
      <c r="F2333" s="8" t="n">
        <v>0</v>
      </c>
    </row>
    <row r="2334" customFormat="false" ht="15" hidden="false" customHeight="true" outlineLevel="0" collapsed="false">
      <c r="A2334" s="8" t="s">
        <v>183</v>
      </c>
      <c r="B2334" s="8" t="s">
        <v>1224</v>
      </c>
      <c r="C2334" s="8" t="n">
        <v>2</v>
      </c>
      <c r="D2334" s="8" t="n">
        <v>48.86</v>
      </c>
      <c r="E2334" s="8" t="n">
        <v>3</v>
      </c>
      <c r="F2334" s="8" t="n">
        <v>73.29</v>
      </c>
    </row>
    <row r="2335" customFormat="false" ht="15" hidden="false" customHeight="true" outlineLevel="0" collapsed="false">
      <c r="A2335" s="8" t="s">
        <v>218</v>
      </c>
      <c r="B2335" s="8" t="s">
        <v>1224</v>
      </c>
      <c r="C2335" s="8" t="n">
        <v>2</v>
      </c>
      <c r="D2335" s="8" t="n">
        <v>48.86</v>
      </c>
      <c r="E2335" s="8" t="n">
        <v>0</v>
      </c>
      <c r="F2335" s="8" t="n">
        <v>0</v>
      </c>
    </row>
    <row r="2336" customFormat="false" ht="15" hidden="false" customHeight="true" outlineLevel="0" collapsed="false">
      <c r="A2336" s="8" t="s">
        <v>161</v>
      </c>
      <c r="B2336" s="8" t="s">
        <v>1208</v>
      </c>
      <c r="C2336" s="8" t="n">
        <v>4</v>
      </c>
      <c r="D2336" s="8" t="n">
        <v>182</v>
      </c>
      <c r="E2336" s="8" t="n">
        <v>3</v>
      </c>
      <c r="F2336" s="8" t="n">
        <v>136.5</v>
      </c>
    </row>
    <row r="2337" customFormat="false" ht="15" hidden="false" customHeight="true" outlineLevel="0" collapsed="false">
      <c r="A2337" s="8" t="s">
        <v>241</v>
      </c>
      <c r="B2337" s="8" t="s">
        <v>1227</v>
      </c>
      <c r="C2337" s="8" t="n">
        <v>3</v>
      </c>
      <c r="D2337" s="8" t="n">
        <v>51</v>
      </c>
      <c r="E2337" s="8" t="n">
        <v>1</v>
      </c>
      <c r="F2337" s="8" t="n">
        <v>17</v>
      </c>
    </row>
    <row r="2338" customFormat="false" ht="15" hidden="false" customHeight="true" outlineLevel="0" collapsed="false">
      <c r="A2338" s="8" t="s">
        <v>219</v>
      </c>
      <c r="B2338" s="8" t="s">
        <v>1227</v>
      </c>
      <c r="C2338" s="8" t="n">
        <v>4</v>
      </c>
      <c r="D2338" s="8" t="n">
        <v>68</v>
      </c>
      <c r="E2338" s="8" t="n">
        <v>0</v>
      </c>
      <c r="F2338" s="8" t="n">
        <v>0</v>
      </c>
    </row>
    <row r="2339" customFormat="false" ht="15" hidden="false" customHeight="true" outlineLevel="0" collapsed="false">
      <c r="A2339" s="8" t="s">
        <v>172</v>
      </c>
      <c r="B2339" s="8" t="s">
        <v>1214</v>
      </c>
      <c r="C2339" s="8" t="n">
        <v>2</v>
      </c>
      <c r="D2339" s="8" t="n">
        <v>24.36</v>
      </c>
      <c r="E2339" s="8" t="n">
        <v>0</v>
      </c>
      <c r="F2339" s="8" t="n">
        <v>0</v>
      </c>
    </row>
    <row r="2340" customFormat="false" ht="15" hidden="false" customHeight="true" outlineLevel="0" collapsed="false">
      <c r="A2340" s="8" t="s">
        <v>255</v>
      </c>
      <c r="B2340" s="8" t="s">
        <v>1273</v>
      </c>
      <c r="C2340" s="8" t="n">
        <v>2</v>
      </c>
      <c r="D2340" s="8" t="n">
        <v>16.4</v>
      </c>
      <c r="E2340" s="8" t="n">
        <v>2</v>
      </c>
      <c r="F2340" s="8" t="n">
        <v>16.4</v>
      </c>
    </row>
    <row r="2341" customFormat="false" ht="15" hidden="false" customHeight="true" outlineLevel="0" collapsed="false">
      <c r="A2341" s="8" t="s">
        <v>180</v>
      </c>
      <c r="B2341" s="8" t="s">
        <v>1216</v>
      </c>
      <c r="C2341" s="8" t="n">
        <v>4</v>
      </c>
      <c r="D2341" s="8" t="n">
        <v>66</v>
      </c>
      <c r="E2341" s="8" t="n">
        <v>4</v>
      </c>
      <c r="F2341" s="8" t="n">
        <v>66</v>
      </c>
    </row>
    <row r="2342" customFormat="false" ht="15" hidden="false" customHeight="true" outlineLevel="0" collapsed="false">
      <c r="A2342" s="8" t="s">
        <v>189</v>
      </c>
      <c r="B2342" s="8" t="s">
        <v>1216</v>
      </c>
      <c r="C2342" s="8" t="n">
        <v>4</v>
      </c>
      <c r="D2342" s="8" t="n">
        <v>66</v>
      </c>
      <c r="E2342" s="8" t="n">
        <v>2</v>
      </c>
      <c r="F2342" s="8" t="n">
        <v>33</v>
      </c>
    </row>
    <row r="2343" customFormat="false" ht="15" hidden="false" customHeight="true" outlineLevel="0" collapsed="false">
      <c r="A2343" s="8" t="s">
        <v>199</v>
      </c>
      <c r="B2343" s="8" t="s">
        <v>1216</v>
      </c>
      <c r="C2343" s="8" t="n">
        <v>2</v>
      </c>
      <c r="D2343" s="8" t="n">
        <v>33</v>
      </c>
      <c r="E2343" s="8" t="n">
        <v>1</v>
      </c>
      <c r="F2343" s="8" t="n">
        <v>16.5</v>
      </c>
    </row>
    <row r="2344" customFormat="false" ht="15" hidden="false" customHeight="true" outlineLevel="0" collapsed="false">
      <c r="A2344" s="8" t="s">
        <v>198</v>
      </c>
      <c r="B2344" s="8" t="s">
        <v>1217</v>
      </c>
      <c r="C2344" s="8" t="n">
        <v>2</v>
      </c>
      <c r="D2344" s="8" t="n">
        <v>41</v>
      </c>
      <c r="E2344" s="8" t="n">
        <v>0</v>
      </c>
      <c r="F2344" s="8" t="n">
        <v>0</v>
      </c>
    </row>
    <row r="2345" customFormat="false" ht="15" hidden="false" customHeight="true" outlineLevel="0" collapsed="false">
      <c r="A2345" s="8" t="s">
        <v>182</v>
      </c>
      <c r="B2345" s="8" t="s">
        <v>799</v>
      </c>
      <c r="C2345" s="8" t="n">
        <v>5</v>
      </c>
      <c r="D2345" s="8" t="n">
        <v>100</v>
      </c>
      <c r="E2345" s="8" t="n">
        <v>0</v>
      </c>
      <c r="F2345" s="8" t="n">
        <v>0</v>
      </c>
    </row>
    <row r="2346" customFormat="false" ht="15" hidden="false" customHeight="true" outlineLevel="0" collapsed="false">
      <c r="A2346" s="8" t="s">
        <v>170</v>
      </c>
      <c r="B2346" s="8" t="s">
        <v>1220</v>
      </c>
      <c r="C2346" s="8" t="n">
        <v>6</v>
      </c>
      <c r="D2346" s="8" t="n">
        <v>88.8</v>
      </c>
      <c r="E2346" s="8" t="n">
        <v>6</v>
      </c>
      <c r="F2346" s="8" t="n">
        <v>88.8</v>
      </c>
    </row>
    <row r="2347" customFormat="false" ht="15" hidden="false" customHeight="true" outlineLevel="0" collapsed="false">
      <c r="A2347" s="8" t="s">
        <v>191</v>
      </c>
      <c r="B2347" s="8" t="s">
        <v>1179</v>
      </c>
      <c r="C2347" s="8" t="n">
        <v>2</v>
      </c>
      <c r="D2347" s="8" t="n">
        <v>144.68</v>
      </c>
      <c r="E2347" s="8" t="n">
        <v>2</v>
      </c>
      <c r="F2347" s="8" t="n">
        <v>144.68</v>
      </c>
    </row>
    <row r="2348" customFormat="false" ht="15" hidden="false" customHeight="true" outlineLevel="0" collapsed="false">
      <c r="A2348" s="8" t="s">
        <v>305</v>
      </c>
      <c r="B2348" s="8" t="s">
        <v>1268</v>
      </c>
      <c r="C2348" s="8" t="n">
        <v>1</v>
      </c>
      <c r="D2348" s="8" t="n">
        <v>113.58</v>
      </c>
      <c r="E2348" s="8" t="n">
        <v>0</v>
      </c>
      <c r="F2348" s="8" t="n">
        <v>0</v>
      </c>
    </row>
    <row r="2349" customFormat="false" ht="15" hidden="false" customHeight="true" outlineLevel="0" collapsed="false">
      <c r="A2349" s="8" t="s">
        <v>298</v>
      </c>
      <c r="B2349" s="8" t="s">
        <v>1282</v>
      </c>
      <c r="C2349" s="8" t="n">
        <v>2</v>
      </c>
      <c r="D2349" s="8" t="n">
        <v>214.18</v>
      </c>
      <c r="E2349" s="8" t="n">
        <v>0</v>
      </c>
      <c r="F2349" s="8" t="n">
        <v>0</v>
      </c>
    </row>
    <row r="2350" customFormat="false" ht="15" hidden="false" customHeight="true" outlineLevel="0" collapsed="false">
      <c r="A2350" s="8" t="s">
        <v>291</v>
      </c>
      <c r="B2350" s="8" t="s">
        <v>1286</v>
      </c>
      <c r="C2350" s="8" t="n">
        <v>5</v>
      </c>
      <c r="D2350" s="8" t="n">
        <v>324.45</v>
      </c>
      <c r="E2350" s="8" t="n">
        <v>0</v>
      </c>
      <c r="F2350" s="8" t="n">
        <v>0</v>
      </c>
    </row>
    <row r="2351" customFormat="false" ht="15" hidden="false" customHeight="true" outlineLevel="0" collapsed="false">
      <c r="A2351" s="8" t="s">
        <v>339</v>
      </c>
      <c r="B2351" s="8" t="s">
        <v>1286</v>
      </c>
      <c r="C2351" s="8" t="n">
        <v>2</v>
      </c>
      <c r="D2351" s="8" t="n">
        <v>129.78</v>
      </c>
      <c r="E2351" s="8" t="n">
        <v>0</v>
      </c>
      <c r="F2351" s="8" t="n">
        <v>0</v>
      </c>
    </row>
    <row r="2352" customFormat="false" ht="15" hidden="false" customHeight="true" outlineLevel="0" collapsed="false">
      <c r="A2352" s="8" t="s">
        <v>283</v>
      </c>
      <c r="B2352" s="8" t="s">
        <v>1223</v>
      </c>
      <c r="C2352" s="8" t="n">
        <v>1</v>
      </c>
      <c r="D2352" s="8" t="n">
        <v>77.8</v>
      </c>
      <c r="E2352" s="8" t="n">
        <v>0</v>
      </c>
      <c r="F2352" s="8" t="n">
        <v>0</v>
      </c>
    </row>
    <row r="2353" customFormat="false" ht="15" hidden="false" customHeight="true" outlineLevel="0" collapsed="false">
      <c r="A2353" s="8" t="s">
        <v>216</v>
      </c>
      <c r="B2353" s="8" t="s">
        <v>1223</v>
      </c>
      <c r="C2353" s="8" t="n">
        <v>1</v>
      </c>
      <c r="D2353" s="8" t="n">
        <v>77.8</v>
      </c>
      <c r="E2353" s="8" t="n">
        <v>0</v>
      </c>
      <c r="F2353" s="8" t="n">
        <v>0</v>
      </c>
    </row>
    <row r="2354" customFormat="false" ht="15" hidden="false" customHeight="true" outlineLevel="0" collapsed="false">
      <c r="A2354" s="8" t="s">
        <v>190</v>
      </c>
      <c r="B2354" s="8" t="s">
        <v>1224</v>
      </c>
      <c r="C2354" s="8" t="n">
        <v>3</v>
      </c>
      <c r="D2354" s="8" t="n">
        <v>73.29</v>
      </c>
      <c r="E2354" s="8" t="n">
        <v>0</v>
      </c>
      <c r="F2354" s="8" t="n">
        <v>0</v>
      </c>
    </row>
    <row r="2355" customFormat="false" ht="15" hidden="false" customHeight="true" outlineLevel="0" collapsed="false">
      <c r="A2355" s="8" t="s">
        <v>183</v>
      </c>
      <c r="B2355" s="8" t="s">
        <v>1224</v>
      </c>
      <c r="C2355" s="8" t="n">
        <v>5</v>
      </c>
      <c r="D2355" s="8" t="n">
        <v>122.15</v>
      </c>
      <c r="E2355" s="8" t="n">
        <v>7</v>
      </c>
      <c r="F2355" s="8" t="n">
        <v>171.01</v>
      </c>
    </row>
    <row r="2356" customFormat="false" ht="15" hidden="false" customHeight="true" outlineLevel="0" collapsed="false">
      <c r="A2356" s="8" t="s">
        <v>218</v>
      </c>
      <c r="B2356" s="8" t="s">
        <v>1224</v>
      </c>
      <c r="C2356" s="8" t="n">
        <v>14</v>
      </c>
      <c r="D2356" s="8" t="n">
        <v>342.02</v>
      </c>
      <c r="E2356" s="8" t="n">
        <v>0</v>
      </c>
      <c r="F2356" s="8" t="n">
        <v>0</v>
      </c>
    </row>
    <row r="2357" customFormat="false" ht="15" hidden="false" customHeight="true" outlineLevel="0" collapsed="false">
      <c r="A2357" s="8" t="s">
        <v>231</v>
      </c>
      <c r="B2357" s="8" t="s">
        <v>1224</v>
      </c>
      <c r="C2357" s="8" t="n">
        <v>0</v>
      </c>
      <c r="D2357" s="8" t="n">
        <v>0</v>
      </c>
      <c r="E2357" s="8" t="n">
        <v>3</v>
      </c>
      <c r="F2357" s="8" t="n">
        <v>73.29</v>
      </c>
    </row>
    <row r="2358" customFormat="false" ht="15" hidden="false" customHeight="true" outlineLevel="0" collapsed="false">
      <c r="A2358" s="8" t="s">
        <v>161</v>
      </c>
      <c r="B2358" s="8" t="s">
        <v>1208</v>
      </c>
      <c r="C2358" s="8" t="n">
        <v>11</v>
      </c>
      <c r="D2358" s="8" t="n">
        <v>500.5</v>
      </c>
      <c r="E2358" s="8" t="n">
        <v>4</v>
      </c>
      <c r="F2358" s="8" t="n">
        <v>182</v>
      </c>
    </row>
    <row r="2359" customFormat="false" ht="15" hidden="false" customHeight="true" outlineLevel="0" collapsed="false">
      <c r="A2359" s="8" t="s">
        <v>162</v>
      </c>
      <c r="B2359" s="8" t="s">
        <v>1209</v>
      </c>
      <c r="C2359" s="8" t="n">
        <v>7</v>
      </c>
      <c r="D2359" s="8" t="n">
        <v>544.6</v>
      </c>
      <c r="E2359" s="8" t="n">
        <v>3</v>
      </c>
      <c r="F2359" s="8" t="n">
        <v>233.4</v>
      </c>
    </row>
    <row r="2360" customFormat="false" ht="15" hidden="false" customHeight="true" outlineLevel="0" collapsed="false">
      <c r="A2360" s="8" t="s">
        <v>171</v>
      </c>
      <c r="B2360" s="8" t="s">
        <v>1210</v>
      </c>
      <c r="C2360" s="8" t="n">
        <v>10</v>
      </c>
      <c r="D2360" s="8" t="n">
        <v>472.3</v>
      </c>
      <c r="E2360" s="8" t="n">
        <v>5</v>
      </c>
      <c r="F2360" s="8" t="n">
        <v>236.15</v>
      </c>
    </row>
    <row r="2361" customFormat="false" ht="15" hidden="false" customHeight="true" outlineLevel="0" collapsed="false">
      <c r="A2361" s="8" t="s">
        <v>174</v>
      </c>
      <c r="B2361" s="8" t="s">
        <v>1210</v>
      </c>
      <c r="C2361" s="8" t="n">
        <v>27</v>
      </c>
      <c r="D2361" s="8" t="n">
        <v>1275.21</v>
      </c>
      <c r="E2361" s="8" t="n">
        <v>0</v>
      </c>
      <c r="F2361" s="8" t="n">
        <v>0</v>
      </c>
    </row>
    <row r="2362" customFormat="false" ht="15" hidden="false" customHeight="true" outlineLevel="0" collapsed="false">
      <c r="A2362" s="8" t="s">
        <v>166</v>
      </c>
      <c r="B2362" s="8" t="s">
        <v>1211</v>
      </c>
      <c r="C2362" s="8" t="n">
        <v>17</v>
      </c>
      <c r="D2362" s="8" t="n">
        <v>1075.59</v>
      </c>
      <c r="E2362" s="8" t="n">
        <v>0</v>
      </c>
      <c r="F2362" s="8" t="n">
        <v>0</v>
      </c>
    </row>
    <row r="2363" customFormat="false" ht="15" hidden="false" customHeight="true" outlineLevel="0" collapsed="false">
      <c r="A2363" s="8" t="s">
        <v>164</v>
      </c>
      <c r="B2363" s="8" t="s">
        <v>1211</v>
      </c>
      <c r="C2363" s="8" t="n">
        <v>15</v>
      </c>
      <c r="D2363" s="8" t="n">
        <v>949.05</v>
      </c>
      <c r="E2363" s="8" t="n">
        <v>0</v>
      </c>
      <c r="F2363" s="8" t="n">
        <v>0</v>
      </c>
    </row>
    <row r="2364" customFormat="false" ht="15" hidden="false" customHeight="true" outlineLevel="0" collapsed="false">
      <c r="A2364" s="8" t="s">
        <v>222</v>
      </c>
      <c r="B2364" s="8" t="s">
        <v>1211</v>
      </c>
      <c r="C2364" s="8" t="n">
        <v>5</v>
      </c>
      <c r="D2364" s="8" t="n">
        <v>316.35</v>
      </c>
      <c r="E2364" s="8" t="n">
        <v>0</v>
      </c>
      <c r="F2364" s="8" t="n">
        <v>0</v>
      </c>
    </row>
    <row r="2365" customFormat="false" ht="15" hidden="false" customHeight="true" outlineLevel="0" collapsed="false">
      <c r="A2365" s="8" t="s">
        <v>187</v>
      </c>
      <c r="B2365" s="8" t="s">
        <v>1211</v>
      </c>
      <c r="C2365" s="8" t="n">
        <v>7</v>
      </c>
      <c r="D2365" s="8" t="n">
        <v>442.89</v>
      </c>
      <c r="E2365" s="8" t="n">
        <v>0</v>
      </c>
      <c r="F2365" s="8" t="n">
        <v>0</v>
      </c>
    </row>
    <row r="2366" customFormat="false" ht="15" hidden="false" customHeight="true" outlineLevel="0" collapsed="false">
      <c r="A2366" s="8" t="s">
        <v>270</v>
      </c>
      <c r="B2366" s="8" t="s">
        <v>1251</v>
      </c>
      <c r="C2366" s="8" t="n">
        <v>0</v>
      </c>
      <c r="D2366" s="8" t="n">
        <v>0</v>
      </c>
      <c r="E2366" s="8" t="n">
        <v>5</v>
      </c>
      <c r="F2366" s="8" t="n">
        <v>49.1</v>
      </c>
    </row>
    <row r="2367" customFormat="false" ht="15" hidden="false" customHeight="true" outlineLevel="0" collapsed="false">
      <c r="A2367" s="8" t="s">
        <v>263</v>
      </c>
      <c r="B2367" s="8" t="s">
        <v>407</v>
      </c>
      <c r="C2367" s="8" t="n">
        <v>5</v>
      </c>
      <c r="D2367" s="8" t="n">
        <v>64.1</v>
      </c>
      <c r="E2367" s="8" t="n">
        <v>0</v>
      </c>
      <c r="F2367" s="8" t="n">
        <v>0</v>
      </c>
    </row>
    <row r="2368" customFormat="false" ht="15" hidden="false" customHeight="true" outlineLevel="0" collapsed="false">
      <c r="A2368" s="8" t="s">
        <v>188</v>
      </c>
      <c r="B2368" s="8" t="s">
        <v>1225</v>
      </c>
      <c r="C2368" s="8" t="n">
        <v>3</v>
      </c>
      <c r="D2368" s="8" t="n">
        <v>86.79</v>
      </c>
      <c r="E2368" s="8" t="n">
        <v>8</v>
      </c>
      <c r="F2368" s="8" t="n">
        <v>231.44</v>
      </c>
    </row>
    <row r="2369" customFormat="false" ht="15" hidden="false" customHeight="true" outlineLevel="0" collapsed="false">
      <c r="A2369" s="8" t="s">
        <v>186</v>
      </c>
      <c r="B2369" s="8" t="s">
        <v>1225</v>
      </c>
      <c r="C2369" s="8" t="n">
        <v>14</v>
      </c>
      <c r="D2369" s="8" t="n">
        <v>405.02</v>
      </c>
      <c r="E2369" s="8" t="n">
        <v>0</v>
      </c>
      <c r="F2369" s="8" t="n">
        <v>0</v>
      </c>
    </row>
    <row r="2370" customFormat="false" ht="15" hidden="false" customHeight="true" outlineLevel="0" collapsed="false">
      <c r="A2370" s="8" t="s">
        <v>239</v>
      </c>
      <c r="B2370" s="8" t="s">
        <v>1225</v>
      </c>
      <c r="C2370" s="8" t="n">
        <v>4</v>
      </c>
      <c r="D2370" s="8" t="n">
        <v>115.72</v>
      </c>
      <c r="E2370" s="8" t="n">
        <v>0</v>
      </c>
      <c r="F2370" s="8" t="n">
        <v>0</v>
      </c>
    </row>
    <row r="2371" customFormat="false" ht="15" hidden="false" customHeight="true" outlineLevel="0" collapsed="false">
      <c r="A2371" s="8" t="s">
        <v>210</v>
      </c>
      <c r="B2371" s="8" t="s">
        <v>1225</v>
      </c>
      <c r="C2371" s="8" t="n">
        <v>3</v>
      </c>
      <c r="D2371" s="8" t="n">
        <v>86.79</v>
      </c>
      <c r="E2371" s="8" t="n">
        <v>0</v>
      </c>
      <c r="F2371" s="8" t="n">
        <v>0</v>
      </c>
    </row>
    <row r="2372" customFormat="false" ht="15" hidden="false" customHeight="true" outlineLevel="0" collapsed="false">
      <c r="A2372" s="8" t="s">
        <v>238</v>
      </c>
      <c r="B2372" s="8" t="s">
        <v>1226</v>
      </c>
      <c r="C2372" s="8" t="n">
        <v>5</v>
      </c>
      <c r="D2372" s="8" t="n">
        <v>210.85</v>
      </c>
      <c r="E2372" s="8" t="n">
        <v>6</v>
      </c>
      <c r="F2372" s="8" t="n">
        <v>253.02</v>
      </c>
    </row>
    <row r="2373" customFormat="false" ht="15" hidden="false" customHeight="true" outlineLevel="0" collapsed="false">
      <c r="A2373" s="8" t="s">
        <v>201</v>
      </c>
      <c r="B2373" s="8" t="s">
        <v>1226</v>
      </c>
      <c r="C2373" s="8" t="n">
        <v>7</v>
      </c>
      <c r="D2373" s="8" t="n">
        <v>295.19</v>
      </c>
      <c r="E2373" s="8" t="n">
        <v>0</v>
      </c>
      <c r="F2373" s="8" t="n">
        <v>0</v>
      </c>
    </row>
    <row r="2374" customFormat="false" ht="15" hidden="false" customHeight="true" outlineLevel="0" collapsed="false">
      <c r="A2374" s="8" t="s">
        <v>314</v>
      </c>
      <c r="B2374" s="8" t="s">
        <v>1226</v>
      </c>
      <c r="C2374" s="8" t="n">
        <v>3</v>
      </c>
      <c r="D2374" s="8" t="n">
        <v>126.51</v>
      </c>
      <c r="E2374" s="8" t="n">
        <v>0</v>
      </c>
      <c r="F2374" s="8" t="n">
        <v>0</v>
      </c>
    </row>
    <row r="2375" customFormat="false" ht="15" hidden="false" customHeight="true" outlineLevel="0" collapsed="false">
      <c r="A2375" s="8" t="s">
        <v>214</v>
      </c>
      <c r="B2375" s="8" t="s">
        <v>1226</v>
      </c>
      <c r="C2375" s="8" t="n">
        <v>3</v>
      </c>
      <c r="D2375" s="8" t="n">
        <v>126.51</v>
      </c>
      <c r="E2375" s="8" t="n">
        <v>0</v>
      </c>
      <c r="F2375" s="8" t="n">
        <v>0</v>
      </c>
    </row>
    <row r="2376" customFormat="false" ht="15" hidden="false" customHeight="true" outlineLevel="0" collapsed="false">
      <c r="A2376" s="8" t="s">
        <v>246</v>
      </c>
      <c r="B2376" s="8" t="s">
        <v>1261</v>
      </c>
      <c r="C2376" s="8" t="n">
        <v>0</v>
      </c>
      <c r="D2376" s="8" t="n">
        <v>0</v>
      </c>
      <c r="E2376" s="8" t="n">
        <v>6</v>
      </c>
      <c r="F2376" s="8" t="n">
        <v>104.1</v>
      </c>
    </row>
    <row r="2377" customFormat="false" ht="15" hidden="false" customHeight="true" outlineLevel="0" collapsed="false">
      <c r="A2377" s="8" t="s">
        <v>202</v>
      </c>
      <c r="B2377" s="8" t="s">
        <v>1212</v>
      </c>
      <c r="C2377" s="8" t="n">
        <v>5</v>
      </c>
      <c r="D2377" s="8" t="n">
        <v>47.5</v>
      </c>
      <c r="E2377" s="8" t="n">
        <v>0</v>
      </c>
      <c r="F2377" s="8" t="n">
        <v>0</v>
      </c>
    </row>
    <row r="2378" customFormat="false" ht="15" hidden="false" customHeight="true" outlineLevel="0" collapsed="false">
      <c r="A2378" s="8" t="s">
        <v>251</v>
      </c>
      <c r="B2378" s="8" t="s">
        <v>1262</v>
      </c>
      <c r="C2378" s="8" t="n">
        <v>5</v>
      </c>
      <c r="D2378" s="8" t="n">
        <v>48.55</v>
      </c>
      <c r="E2378" s="8" t="n">
        <v>0</v>
      </c>
      <c r="F2378" s="8" t="n">
        <v>0</v>
      </c>
    </row>
    <row r="2379" customFormat="false" ht="15" hidden="false" customHeight="true" outlineLevel="0" collapsed="false">
      <c r="A2379" s="8" t="s">
        <v>308</v>
      </c>
      <c r="B2379" s="8" t="s">
        <v>1229</v>
      </c>
      <c r="C2379" s="8" t="n">
        <v>5</v>
      </c>
      <c r="D2379" s="8" t="n">
        <v>40.4</v>
      </c>
      <c r="E2379" s="8" t="n">
        <v>0</v>
      </c>
      <c r="F2379" s="8" t="n">
        <v>0</v>
      </c>
    </row>
    <row r="2380" customFormat="false" ht="15" hidden="false" customHeight="true" outlineLevel="0" collapsed="false">
      <c r="A2380" s="8" t="s">
        <v>172</v>
      </c>
      <c r="B2380" s="8" t="s">
        <v>1214</v>
      </c>
      <c r="C2380" s="8" t="n">
        <v>5</v>
      </c>
      <c r="D2380" s="8" t="n">
        <v>60.9</v>
      </c>
      <c r="E2380" s="8" t="n">
        <v>3</v>
      </c>
      <c r="F2380" s="8" t="n">
        <v>36.54</v>
      </c>
    </row>
    <row r="2381" customFormat="false" ht="15" hidden="false" customHeight="true" outlineLevel="0" collapsed="false">
      <c r="A2381" s="8" t="s">
        <v>242</v>
      </c>
      <c r="B2381" s="8" t="s">
        <v>1230</v>
      </c>
      <c r="C2381" s="8" t="n">
        <v>5</v>
      </c>
      <c r="D2381" s="8" t="n">
        <v>193.5</v>
      </c>
      <c r="E2381" s="8" t="n">
        <v>0</v>
      </c>
      <c r="F2381" s="8" t="n">
        <v>0</v>
      </c>
    </row>
    <row r="2382" customFormat="false" ht="15" hidden="false" customHeight="true" outlineLevel="0" collapsed="false">
      <c r="A2382" s="8" t="s">
        <v>288</v>
      </c>
      <c r="B2382" s="8" t="s">
        <v>939</v>
      </c>
      <c r="C2382" s="8" t="n">
        <v>5</v>
      </c>
      <c r="D2382" s="8" t="n">
        <v>101.2</v>
      </c>
      <c r="E2382" s="8" t="n">
        <v>0</v>
      </c>
      <c r="F2382" s="8" t="n">
        <v>0</v>
      </c>
    </row>
    <row r="2383" customFormat="false" ht="15" hidden="false" customHeight="true" outlineLevel="0" collapsed="false">
      <c r="A2383" s="8" t="s">
        <v>281</v>
      </c>
      <c r="B2383" s="8" t="s">
        <v>1254</v>
      </c>
      <c r="C2383" s="8" t="n">
        <v>5</v>
      </c>
      <c r="D2383" s="8" t="n">
        <v>69.2</v>
      </c>
      <c r="E2383" s="8" t="n">
        <v>0</v>
      </c>
      <c r="F2383" s="8" t="n">
        <v>0</v>
      </c>
    </row>
    <row r="2384" customFormat="false" ht="15" hidden="false" customHeight="true" outlineLevel="0" collapsed="false">
      <c r="A2384" s="8" t="s">
        <v>232</v>
      </c>
      <c r="B2384" s="8" t="s">
        <v>1233</v>
      </c>
      <c r="C2384" s="8" t="n">
        <v>5</v>
      </c>
      <c r="D2384" s="8" t="n">
        <v>81</v>
      </c>
      <c r="E2384" s="8" t="n">
        <v>0</v>
      </c>
      <c r="F2384" s="8" t="n">
        <v>0</v>
      </c>
    </row>
    <row r="2385" customFormat="false" ht="15" hidden="false" customHeight="true" outlineLevel="0" collapsed="false">
      <c r="A2385" s="8" t="s">
        <v>215</v>
      </c>
      <c r="B2385" s="8" t="s">
        <v>1233</v>
      </c>
      <c r="C2385" s="8" t="n">
        <v>5</v>
      </c>
      <c r="D2385" s="8" t="n">
        <v>89.1</v>
      </c>
      <c r="E2385" s="8" t="n">
        <v>0</v>
      </c>
      <c r="F2385" s="8" t="n">
        <v>0</v>
      </c>
    </row>
    <row r="2386" customFormat="false" ht="15" hidden="false" customHeight="true" outlineLevel="0" collapsed="false">
      <c r="A2386" s="8" t="s">
        <v>255</v>
      </c>
      <c r="B2386" s="8" t="s">
        <v>1273</v>
      </c>
      <c r="C2386" s="8" t="n">
        <v>18</v>
      </c>
      <c r="D2386" s="8" t="n">
        <v>147.6</v>
      </c>
      <c r="E2386" s="8" t="n">
        <v>0</v>
      </c>
      <c r="F2386" s="8" t="n">
        <v>0</v>
      </c>
    </row>
    <row r="2387" customFormat="false" ht="15" hidden="false" customHeight="true" outlineLevel="0" collapsed="false">
      <c r="A2387" s="8" t="s">
        <v>194</v>
      </c>
      <c r="B2387" s="8" t="s">
        <v>1239</v>
      </c>
      <c r="C2387" s="8" t="n">
        <v>32</v>
      </c>
      <c r="D2387" s="8" t="n">
        <v>314.24</v>
      </c>
      <c r="E2387" s="8" t="n">
        <v>-2</v>
      </c>
      <c r="F2387" s="8" t="n">
        <v>-19.64</v>
      </c>
    </row>
    <row r="2388" customFormat="false" ht="15" hidden="false" customHeight="true" outlineLevel="0" collapsed="false">
      <c r="A2388" s="8" t="s">
        <v>326</v>
      </c>
      <c r="B2388" s="8" t="s">
        <v>1281</v>
      </c>
      <c r="C2388" s="8" t="n">
        <v>10</v>
      </c>
      <c r="D2388" s="8" t="n">
        <v>236</v>
      </c>
      <c r="E2388" s="8" t="n">
        <v>0</v>
      </c>
      <c r="F2388" s="8" t="n">
        <v>0</v>
      </c>
    </row>
    <row r="2389" customFormat="false" ht="15" hidden="false" customHeight="true" outlineLevel="0" collapsed="false">
      <c r="A2389" s="8" t="s">
        <v>338</v>
      </c>
      <c r="B2389" s="8" t="s">
        <v>1281</v>
      </c>
      <c r="C2389" s="8" t="n">
        <v>0</v>
      </c>
      <c r="D2389" s="8" t="n">
        <v>0</v>
      </c>
      <c r="E2389" s="8" t="n">
        <v>3</v>
      </c>
      <c r="F2389" s="8" t="n">
        <v>70.8</v>
      </c>
    </row>
    <row r="2390" customFormat="false" ht="15" hidden="false" customHeight="true" outlineLevel="0" collapsed="false">
      <c r="A2390" s="8" t="s">
        <v>331</v>
      </c>
      <c r="B2390" s="8" t="s">
        <v>1255</v>
      </c>
      <c r="C2390" s="8" t="n">
        <v>10</v>
      </c>
      <c r="D2390" s="8" t="n">
        <v>236</v>
      </c>
      <c r="E2390" s="8" t="n">
        <v>0</v>
      </c>
      <c r="F2390" s="8" t="n">
        <v>0</v>
      </c>
    </row>
    <row r="2391" customFormat="false" ht="15" hidden="false" customHeight="true" outlineLevel="0" collapsed="false">
      <c r="A2391" s="8" t="s">
        <v>321</v>
      </c>
      <c r="B2391" s="8" t="s">
        <v>1256</v>
      </c>
      <c r="C2391" s="8" t="n">
        <v>10</v>
      </c>
      <c r="D2391" s="8" t="n">
        <v>236</v>
      </c>
      <c r="E2391" s="8" t="n">
        <v>0</v>
      </c>
      <c r="F2391" s="8" t="n">
        <v>0</v>
      </c>
    </row>
    <row r="2392" customFormat="false" ht="15" hidden="false" customHeight="true" outlineLevel="0" collapsed="false">
      <c r="A2392" s="8" t="s">
        <v>318</v>
      </c>
      <c r="B2392" s="8" t="s">
        <v>1256</v>
      </c>
      <c r="C2392" s="8" t="n">
        <v>6</v>
      </c>
      <c r="D2392" s="8" t="n">
        <v>141.6</v>
      </c>
      <c r="E2392" s="8" t="n">
        <v>0</v>
      </c>
      <c r="F2392" s="8" t="n">
        <v>0</v>
      </c>
    </row>
    <row r="2393" customFormat="false" ht="15" hidden="false" customHeight="true" outlineLevel="0" collapsed="false">
      <c r="A2393" s="8" t="s">
        <v>285</v>
      </c>
      <c r="B2393" s="8" t="s">
        <v>1237</v>
      </c>
      <c r="C2393" s="8" t="n">
        <v>5</v>
      </c>
      <c r="D2393" s="8" t="n">
        <v>92</v>
      </c>
      <c r="E2393" s="8" t="n">
        <v>0</v>
      </c>
      <c r="F2393" s="8" t="n">
        <v>0</v>
      </c>
    </row>
    <row r="2394" customFormat="false" ht="15" hidden="false" customHeight="true" outlineLevel="0" collapsed="false">
      <c r="A2394" s="8" t="s">
        <v>225</v>
      </c>
      <c r="B2394" s="8" t="s">
        <v>1237</v>
      </c>
      <c r="C2394" s="8" t="n">
        <v>10</v>
      </c>
      <c r="D2394" s="8" t="n">
        <v>184</v>
      </c>
      <c r="E2394" s="8" t="n">
        <v>0</v>
      </c>
      <c r="F2394" s="8" t="n">
        <v>0</v>
      </c>
    </row>
    <row r="2395" customFormat="false" ht="15" hidden="false" customHeight="true" outlineLevel="0" collapsed="false">
      <c r="A2395" s="8" t="s">
        <v>217</v>
      </c>
      <c r="B2395" s="8" t="s">
        <v>1237</v>
      </c>
      <c r="C2395" s="8" t="n">
        <v>15</v>
      </c>
      <c r="D2395" s="8" t="n">
        <v>276</v>
      </c>
      <c r="E2395" s="8" t="n">
        <v>0</v>
      </c>
      <c r="F2395" s="8" t="n">
        <v>0</v>
      </c>
    </row>
    <row r="2396" customFormat="false" ht="15" hidden="false" customHeight="true" outlineLevel="0" collapsed="false">
      <c r="A2396" s="8" t="s">
        <v>313</v>
      </c>
      <c r="B2396" s="8" t="s">
        <v>1294</v>
      </c>
      <c r="C2396" s="8" t="n">
        <v>5</v>
      </c>
      <c r="D2396" s="8" t="n">
        <v>92</v>
      </c>
      <c r="E2396" s="8" t="n">
        <v>0</v>
      </c>
      <c r="F2396" s="8" t="n">
        <v>0</v>
      </c>
    </row>
    <row r="2397" customFormat="false" ht="15" hidden="false" customHeight="true" outlineLevel="0" collapsed="false">
      <c r="A2397" s="8" t="s">
        <v>316</v>
      </c>
      <c r="B2397" s="8" t="s">
        <v>1294</v>
      </c>
      <c r="C2397" s="8" t="n">
        <v>10</v>
      </c>
      <c r="D2397" s="8" t="n">
        <v>184</v>
      </c>
      <c r="E2397" s="8" t="n">
        <v>0</v>
      </c>
      <c r="F2397" s="8" t="n">
        <v>0</v>
      </c>
    </row>
    <row r="2398" customFormat="false" ht="15" hidden="false" customHeight="true" outlineLevel="0" collapsed="false">
      <c r="A2398" s="8" t="s">
        <v>322</v>
      </c>
      <c r="B2398" s="8" t="s">
        <v>1264</v>
      </c>
      <c r="C2398" s="8" t="n">
        <v>5</v>
      </c>
      <c r="D2398" s="8" t="n">
        <v>92</v>
      </c>
      <c r="E2398" s="8" t="n">
        <v>0</v>
      </c>
      <c r="F2398" s="8" t="n">
        <v>0</v>
      </c>
    </row>
    <row r="2399" customFormat="false" ht="15" hidden="false" customHeight="true" outlineLevel="0" collapsed="false">
      <c r="A2399" s="8" t="s">
        <v>325</v>
      </c>
      <c r="B2399" s="8" t="s">
        <v>1264</v>
      </c>
      <c r="C2399" s="8" t="n">
        <v>5</v>
      </c>
      <c r="D2399" s="8" t="n">
        <v>92</v>
      </c>
      <c r="E2399" s="8" t="n">
        <v>0</v>
      </c>
      <c r="F2399" s="8" t="n">
        <v>0</v>
      </c>
    </row>
    <row r="2400" customFormat="false" ht="15" hidden="false" customHeight="true" outlineLevel="0" collapsed="false">
      <c r="A2400" s="8" t="s">
        <v>168</v>
      </c>
      <c r="B2400" s="8" t="s">
        <v>1240</v>
      </c>
      <c r="C2400" s="8" t="n">
        <v>9</v>
      </c>
      <c r="D2400" s="8" t="n">
        <v>376.29</v>
      </c>
      <c r="E2400" s="8" t="n">
        <v>0</v>
      </c>
      <c r="F2400" s="8" t="n">
        <v>0</v>
      </c>
    </row>
    <row r="2401" customFormat="false" ht="15" hidden="false" customHeight="true" outlineLevel="0" collapsed="false">
      <c r="A2401" s="8" t="s">
        <v>169</v>
      </c>
      <c r="B2401" s="8" t="s">
        <v>1240</v>
      </c>
      <c r="C2401" s="8" t="n">
        <v>13</v>
      </c>
      <c r="D2401" s="8" t="n">
        <v>543.53</v>
      </c>
      <c r="E2401" s="8" t="n">
        <v>0</v>
      </c>
      <c r="F2401" s="8" t="n">
        <v>0</v>
      </c>
    </row>
    <row r="2402" customFormat="false" ht="15" hidden="false" customHeight="true" outlineLevel="0" collapsed="false">
      <c r="A2402" s="8" t="s">
        <v>180</v>
      </c>
      <c r="B2402" s="8" t="s">
        <v>1216</v>
      </c>
      <c r="C2402" s="8" t="n">
        <v>14</v>
      </c>
      <c r="D2402" s="8" t="n">
        <v>231</v>
      </c>
      <c r="E2402" s="8" t="n">
        <v>0</v>
      </c>
      <c r="F2402" s="8" t="n">
        <v>0</v>
      </c>
    </row>
    <row r="2403" customFormat="false" ht="15" hidden="false" customHeight="true" outlineLevel="0" collapsed="false">
      <c r="A2403" s="8" t="s">
        <v>189</v>
      </c>
      <c r="B2403" s="8" t="s">
        <v>1216</v>
      </c>
      <c r="C2403" s="8" t="n">
        <v>5</v>
      </c>
      <c r="D2403" s="8" t="n">
        <v>82.5</v>
      </c>
      <c r="E2403" s="8" t="n">
        <v>4</v>
      </c>
      <c r="F2403" s="8" t="n">
        <v>66</v>
      </c>
    </row>
    <row r="2404" customFormat="false" ht="15" hidden="false" customHeight="true" outlineLevel="0" collapsed="false">
      <c r="A2404" s="8" t="s">
        <v>250</v>
      </c>
      <c r="B2404" s="8" t="s">
        <v>1216</v>
      </c>
      <c r="C2404" s="8" t="n">
        <v>6</v>
      </c>
      <c r="D2404" s="8" t="n">
        <v>99</v>
      </c>
      <c r="E2404" s="8" t="n">
        <v>0</v>
      </c>
      <c r="F2404" s="8" t="n">
        <v>0</v>
      </c>
    </row>
    <row r="2405" customFormat="false" ht="15" hidden="false" customHeight="true" outlineLevel="0" collapsed="false">
      <c r="A2405" s="8" t="s">
        <v>198</v>
      </c>
      <c r="B2405" s="8" t="s">
        <v>1217</v>
      </c>
      <c r="C2405" s="8" t="n">
        <v>10</v>
      </c>
      <c r="D2405" s="8" t="n">
        <v>205</v>
      </c>
      <c r="E2405" s="8" t="n">
        <v>8</v>
      </c>
      <c r="F2405" s="8" t="n">
        <v>164</v>
      </c>
    </row>
    <row r="2406" customFormat="false" ht="15" hidden="false" customHeight="true" outlineLevel="0" collapsed="false">
      <c r="A2406" s="8" t="s">
        <v>193</v>
      </c>
      <c r="B2406" s="8" t="s">
        <v>1217</v>
      </c>
      <c r="C2406" s="8" t="n">
        <v>7</v>
      </c>
      <c r="D2406" s="8" t="n">
        <v>143.5</v>
      </c>
      <c r="E2406" s="8" t="n">
        <v>0</v>
      </c>
      <c r="F2406" s="8" t="n">
        <v>0</v>
      </c>
    </row>
    <row r="2407" customFormat="false" ht="15" hidden="false" customHeight="true" outlineLevel="0" collapsed="false">
      <c r="A2407" s="8" t="s">
        <v>302</v>
      </c>
      <c r="B2407" s="8" t="s">
        <v>1217</v>
      </c>
      <c r="C2407" s="8" t="n">
        <v>5</v>
      </c>
      <c r="D2407" s="8" t="n">
        <v>102.5</v>
      </c>
      <c r="E2407" s="8" t="n">
        <v>0</v>
      </c>
      <c r="F2407" s="8" t="n">
        <v>0</v>
      </c>
    </row>
    <row r="2408" customFormat="false" ht="15" hidden="false" customHeight="true" outlineLevel="0" collapsed="false">
      <c r="A2408" s="8" t="s">
        <v>205</v>
      </c>
      <c r="B2408" s="8" t="s">
        <v>1217</v>
      </c>
      <c r="C2408" s="8" t="n">
        <v>7</v>
      </c>
      <c r="D2408" s="8" t="n">
        <v>143.5</v>
      </c>
      <c r="E2408" s="8" t="n">
        <v>0</v>
      </c>
      <c r="F2408" s="8" t="n">
        <v>0</v>
      </c>
    </row>
    <row r="2409" customFormat="false" ht="15" hidden="false" customHeight="true" outlineLevel="0" collapsed="false">
      <c r="A2409" s="8" t="s">
        <v>256</v>
      </c>
      <c r="B2409" s="8" t="s">
        <v>1217</v>
      </c>
      <c r="C2409" s="8" t="n">
        <v>6</v>
      </c>
      <c r="D2409" s="8" t="n">
        <v>123</v>
      </c>
      <c r="E2409" s="8" t="n">
        <v>0</v>
      </c>
      <c r="F2409" s="8" t="n">
        <v>0</v>
      </c>
    </row>
    <row r="2410" customFormat="false" ht="15" hidden="false" customHeight="true" outlineLevel="0" collapsed="false">
      <c r="A2410" s="8" t="s">
        <v>378</v>
      </c>
      <c r="B2410" s="8" t="s">
        <v>767</v>
      </c>
      <c r="C2410" s="8" t="n">
        <v>5</v>
      </c>
      <c r="D2410" s="8" t="n">
        <v>105</v>
      </c>
      <c r="E2410" s="8" t="n">
        <v>0</v>
      </c>
      <c r="F2410" s="8" t="n">
        <v>0</v>
      </c>
    </row>
    <row r="2411" customFormat="false" ht="15" hidden="false" customHeight="true" outlineLevel="0" collapsed="false">
      <c r="A2411" s="8" t="s">
        <v>306</v>
      </c>
      <c r="B2411" s="8" t="s">
        <v>1283</v>
      </c>
      <c r="C2411" s="8" t="n">
        <v>2</v>
      </c>
      <c r="D2411" s="8" t="n">
        <v>391.46</v>
      </c>
      <c r="E2411" s="8" t="n">
        <v>0</v>
      </c>
      <c r="F2411" s="8" t="n">
        <v>0</v>
      </c>
    </row>
    <row r="2412" customFormat="false" ht="15" hidden="false" customHeight="true" outlineLevel="0" collapsed="false">
      <c r="A2412" s="8" t="s">
        <v>272</v>
      </c>
      <c r="B2412" s="8" t="s">
        <v>1246</v>
      </c>
      <c r="C2412" s="8" t="n">
        <v>2</v>
      </c>
      <c r="D2412" s="8" t="n">
        <v>253.14</v>
      </c>
      <c r="E2412" s="8" t="n">
        <v>0</v>
      </c>
      <c r="F2412" s="8" t="n">
        <v>0</v>
      </c>
    </row>
    <row r="2413" customFormat="false" ht="15" hidden="false" customHeight="true" outlineLevel="0" collapsed="false">
      <c r="A2413" s="8" t="s">
        <v>330</v>
      </c>
      <c r="B2413" s="8" t="s">
        <v>1295</v>
      </c>
      <c r="C2413" s="8" t="n">
        <v>2</v>
      </c>
      <c r="D2413" s="8" t="n">
        <v>259.62</v>
      </c>
      <c r="E2413" s="8" t="n">
        <v>0</v>
      </c>
      <c r="F2413" s="8" t="n">
        <v>0</v>
      </c>
    </row>
    <row r="2414" customFormat="false" ht="15" hidden="false" customHeight="true" outlineLevel="0" collapsed="false">
      <c r="A2414" s="8" t="s">
        <v>257</v>
      </c>
      <c r="B2414" s="8" t="s">
        <v>1284</v>
      </c>
      <c r="C2414" s="8" t="n">
        <v>5</v>
      </c>
      <c r="D2414" s="8" t="n">
        <v>162.15</v>
      </c>
      <c r="E2414" s="8" t="n">
        <v>0</v>
      </c>
      <c r="F2414" s="8" t="n">
        <v>0</v>
      </c>
    </row>
    <row r="2415" customFormat="false" ht="15" hidden="false" customHeight="true" outlineLevel="0" collapsed="false">
      <c r="A2415" s="8" t="s">
        <v>178</v>
      </c>
      <c r="B2415" s="8" t="s">
        <v>1236</v>
      </c>
      <c r="C2415" s="8" t="n">
        <v>3</v>
      </c>
      <c r="D2415" s="8" t="n">
        <v>105</v>
      </c>
      <c r="E2415" s="8" t="n">
        <v>0</v>
      </c>
      <c r="F2415" s="8" t="n">
        <v>0</v>
      </c>
    </row>
    <row r="2416" customFormat="false" ht="15" hidden="false" customHeight="true" outlineLevel="0" collapsed="false">
      <c r="A2416" s="8" t="s">
        <v>176</v>
      </c>
      <c r="B2416" s="8" t="s">
        <v>1236</v>
      </c>
      <c r="C2416" s="8" t="n">
        <v>3</v>
      </c>
      <c r="D2416" s="8" t="n">
        <v>105</v>
      </c>
      <c r="E2416" s="8" t="n">
        <v>0</v>
      </c>
      <c r="F2416" s="8" t="n">
        <v>0</v>
      </c>
    </row>
    <row r="2417" customFormat="false" ht="15" hidden="false" customHeight="true" outlineLevel="0" collapsed="false">
      <c r="A2417" s="8" t="s">
        <v>235</v>
      </c>
      <c r="B2417" s="8" t="s">
        <v>1236</v>
      </c>
      <c r="C2417" s="8" t="n">
        <v>3</v>
      </c>
      <c r="D2417" s="8" t="n">
        <v>105</v>
      </c>
      <c r="E2417" s="8" t="n">
        <v>3</v>
      </c>
      <c r="F2417" s="8" t="n">
        <v>105</v>
      </c>
    </row>
    <row r="2418" customFormat="false" ht="15" hidden="false" customHeight="true" outlineLevel="0" collapsed="false">
      <c r="A2418" s="8" t="s">
        <v>179</v>
      </c>
      <c r="B2418" s="8" t="s">
        <v>1218</v>
      </c>
      <c r="C2418" s="8" t="n">
        <v>4</v>
      </c>
      <c r="D2418" s="8" t="n">
        <v>506</v>
      </c>
      <c r="E2418" s="8" t="n">
        <v>0</v>
      </c>
      <c r="F2418" s="8" t="n">
        <v>0</v>
      </c>
    </row>
    <row r="2419" customFormat="false" ht="15" hidden="false" customHeight="true" outlineLevel="0" collapsed="false">
      <c r="A2419" s="8" t="s">
        <v>185</v>
      </c>
      <c r="B2419" s="8" t="s">
        <v>1218</v>
      </c>
      <c r="C2419" s="8" t="n">
        <v>2</v>
      </c>
      <c r="D2419" s="8" t="n">
        <v>253</v>
      </c>
      <c r="E2419" s="8" t="n">
        <v>0</v>
      </c>
      <c r="F2419" s="8" t="n">
        <v>0</v>
      </c>
    </row>
    <row r="2420" customFormat="false" ht="15" hidden="false" customHeight="true" outlineLevel="0" collapsed="false">
      <c r="A2420" s="8" t="s">
        <v>195</v>
      </c>
      <c r="B2420" s="8" t="s">
        <v>1218</v>
      </c>
      <c r="C2420" s="8" t="n">
        <v>6</v>
      </c>
      <c r="D2420" s="8" t="n">
        <v>759</v>
      </c>
      <c r="E2420" s="8" t="n">
        <v>-3</v>
      </c>
      <c r="F2420" s="8" t="n">
        <v>-379.5</v>
      </c>
    </row>
    <row r="2421" customFormat="false" ht="15" hidden="false" customHeight="true" outlineLevel="0" collapsed="false">
      <c r="A2421" s="8" t="s">
        <v>240</v>
      </c>
      <c r="B2421" s="8" t="s">
        <v>769</v>
      </c>
      <c r="C2421" s="8" t="n">
        <v>0</v>
      </c>
      <c r="D2421" s="8" t="n">
        <v>0</v>
      </c>
      <c r="E2421" s="8" t="n">
        <v>8</v>
      </c>
      <c r="F2421" s="8" t="n">
        <v>136</v>
      </c>
    </row>
    <row r="2422" customFormat="false" ht="15" hidden="false" customHeight="true" outlineLevel="0" collapsed="false">
      <c r="A2422" s="8" t="s">
        <v>234</v>
      </c>
      <c r="B2422" s="8" t="s">
        <v>769</v>
      </c>
      <c r="C2422" s="8" t="n">
        <v>5</v>
      </c>
      <c r="D2422" s="8" t="n">
        <v>85</v>
      </c>
      <c r="E2422" s="8" t="n">
        <v>5</v>
      </c>
      <c r="F2422" s="8" t="n">
        <v>85</v>
      </c>
    </row>
    <row r="2423" customFormat="false" ht="15" hidden="false" customHeight="true" outlineLevel="0" collapsed="false">
      <c r="A2423" s="8" t="s">
        <v>247</v>
      </c>
      <c r="B2423" s="8" t="s">
        <v>769</v>
      </c>
      <c r="C2423" s="8" t="n">
        <v>6</v>
      </c>
      <c r="D2423" s="8" t="n">
        <v>102</v>
      </c>
      <c r="E2423" s="8" t="n">
        <v>3</v>
      </c>
      <c r="F2423" s="8" t="n">
        <v>51</v>
      </c>
    </row>
    <row r="2424" customFormat="false" ht="15" hidden="false" customHeight="true" outlineLevel="0" collapsed="false">
      <c r="A2424" s="8" t="s">
        <v>170</v>
      </c>
      <c r="B2424" s="8" t="s">
        <v>1220</v>
      </c>
      <c r="C2424" s="8" t="n">
        <v>12</v>
      </c>
      <c r="D2424" s="8" t="n">
        <v>177.6</v>
      </c>
      <c r="E2424" s="8" t="n">
        <v>6</v>
      </c>
      <c r="F2424" s="8" t="n">
        <v>88.8</v>
      </c>
    </row>
    <row r="2425" customFormat="false" ht="15" hidden="false" customHeight="true" outlineLevel="0" collapsed="false">
      <c r="A2425" s="8" t="s">
        <v>167</v>
      </c>
      <c r="B2425" s="8" t="s">
        <v>1238</v>
      </c>
      <c r="C2425" s="8" t="n">
        <v>20</v>
      </c>
      <c r="D2425" s="8" t="n">
        <v>268</v>
      </c>
      <c r="E2425" s="8" t="n">
        <v>10</v>
      </c>
      <c r="F2425" s="8" t="n">
        <v>134</v>
      </c>
    </row>
    <row r="2426" customFormat="false" ht="15" hidden="false" customHeight="true" outlineLevel="0" collapsed="false">
      <c r="A2426" s="8" t="s">
        <v>323</v>
      </c>
      <c r="B2426" s="8" t="s">
        <v>875</v>
      </c>
      <c r="C2426" s="8" t="n">
        <v>15</v>
      </c>
      <c r="D2426" s="8" t="n">
        <v>238.65</v>
      </c>
      <c r="E2426" s="8" t="n">
        <v>0</v>
      </c>
      <c r="F2426" s="8" t="n">
        <v>0</v>
      </c>
    </row>
    <row r="2427" customFormat="false" ht="15" hidden="false" customHeight="true" outlineLevel="0" collapsed="false">
      <c r="A2427" s="8" t="s">
        <v>315</v>
      </c>
      <c r="B2427" s="8" t="s">
        <v>1266</v>
      </c>
      <c r="C2427" s="8" t="n">
        <v>10</v>
      </c>
      <c r="D2427" s="8" t="n">
        <v>159.1</v>
      </c>
      <c r="E2427" s="8" t="n">
        <v>0</v>
      </c>
      <c r="F2427" s="8" t="n">
        <v>0</v>
      </c>
    </row>
    <row r="2428" customFormat="false" ht="15" hidden="false" customHeight="true" outlineLevel="0" collapsed="false">
      <c r="A2428" s="8" t="s">
        <v>359</v>
      </c>
      <c r="B2428" s="8" t="s">
        <v>1291</v>
      </c>
      <c r="C2428" s="8" t="n">
        <v>2</v>
      </c>
      <c r="D2428" s="8" t="n">
        <v>64.28</v>
      </c>
      <c r="E2428" s="8" t="n">
        <v>0</v>
      </c>
      <c r="F2428" s="8" t="n">
        <v>0</v>
      </c>
    </row>
    <row r="2429" customFormat="false" ht="15" hidden="false" customHeight="true" outlineLevel="0" collapsed="false">
      <c r="A2429" s="8" t="s">
        <v>264</v>
      </c>
      <c r="B2429" s="8" t="s">
        <v>1221</v>
      </c>
      <c r="C2429" s="8" t="n">
        <v>18</v>
      </c>
      <c r="D2429" s="8" t="n">
        <v>104.58</v>
      </c>
      <c r="E2429" s="8" t="n">
        <v>0</v>
      </c>
      <c r="F2429" s="8" t="n">
        <v>0</v>
      </c>
    </row>
    <row r="2430" customFormat="false" ht="15" hidden="false" customHeight="true" outlineLevel="0" collapsed="false">
      <c r="A2430" s="8" t="s">
        <v>344</v>
      </c>
      <c r="B2430" s="8" t="s">
        <v>1293</v>
      </c>
      <c r="C2430" s="8" t="n">
        <v>0</v>
      </c>
      <c r="D2430" s="8" t="n">
        <v>0</v>
      </c>
      <c r="E2430" s="8" t="n">
        <v>3</v>
      </c>
      <c r="F2430" s="8" t="n">
        <v>221.4</v>
      </c>
    </row>
    <row r="2431" customFormat="false" ht="15" hidden="false" customHeight="true" outlineLevel="0" collapsed="false">
      <c r="A2431" s="8" t="s">
        <v>262</v>
      </c>
      <c r="B2431" s="8" t="s">
        <v>1267</v>
      </c>
      <c r="C2431" s="8" t="n">
        <v>1</v>
      </c>
      <c r="D2431" s="8" t="n">
        <v>128.71</v>
      </c>
      <c r="E2431" s="8" t="n">
        <v>0</v>
      </c>
      <c r="F2431" s="8" t="n">
        <v>0</v>
      </c>
    </row>
    <row r="2432" customFormat="false" ht="15" hidden="false" customHeight="true" outlineLevel="0" collapsed="false">
      <c r="A2432" s="8" t="s">
        <v>387</v>
      </c>
      <c r="B2432" s="8" t="s">
        <v>1267</v>
      </c>
      <c r="C2432" s="8" t="n">
        <v>1</v>
      </c>
      <c r="D2432" s="8" t="n">
        <v>128.71</v>
      </c>
      <c r="E2432" s="8" t="n">
        <v>0</v>
      </c>
      <c r="F2432" s="8" t="n">
        <v>0</v>
      </c>
    </row>
    <row r="2433" customFormat="false" ht="15" hidden="false" customHeight="true" outlineLevel="0" collapsed="false">
      <c r="A2433" s="8" t="s">
        <v>284</v>
      </c>
      <c r="B2433" s="8" t="s">
        <v>1267</v>
      </c>
      <c r="C2433" s="8" t="n">
        <v>5</v>
      </c>
      <c r="D2433" s="8" t="n">
        <v>643.55</v>
      </c>
      <c r="E2433" s="8" t="n">
        <v>0</v>
      </c>
      <c r="F2433" s="8" t="n">
        <v>0</v>
      </c>
    </row>
    <row r="2434" customFormat="false" ht="15" hidden="false" customHeight="true" outlineLevel="0" collapsed="false">
      <c r="A2434" s="8" t="s">
        <v>200</v>
      </c>
      <c r="B2434" s="8" t="s">
        <v>1279</v>
      </c>
      <c r="C2434" s="8" t="n">
        <v>2</v>
      </c>
      <c r="D2434" s="8" t="n">
        <v>154.48</v>
      </c>
      <c r="E2434" s="8" t="n">
        <v>0</v>
      </c>
      <c r="F2434" s="8" t="n">
        <v>0</v>
      </c>
    </row>
    <row r="2435" customFormat="false" ht="15" hidden="false" customHeight="true" outlineLevel="0" collapsed="false">
      <c r="A2435" s="8" t="s">
        <v>162</v>
      </c>
      <c r="B2435" s="8" t="s">
        <v>1209</v>
      </c>
      <c r="C2435" s="8" t="n">
        <v>0</v>
      </c>
      <c r="D2435" s="8" t="n">
        <v>0</v>
      </c>
      <c r="E2435" s="8" t="n">
        <v>2</v>
      </c>
      <c r="F2435" s="8" t="n">
        <v>155.6</v>
      </c>
    </row>
    <row r="2436" customFormat="false" ht="15" hidden="false" customHeight="true" outlineLevel="0" collapsed="false">
      <c r="A2436" s="8" t="s">
        <v>166</v>
      </c>
      <c r="B2436" s="8" t="s">
        <v>1211</v>
      </c>
      <c r="C2436" s="8" t="n">
        <v>5</v>
      </c>
      <c r="D2436" s="8" t="n">
        <v>316.35</v>
      </c>
      <c r="E2436" s="8" t="n">
        <v>0</v>
      </c>
      <c r="F2436" s="8" t="n">
        <v>0</v>
      </c>
    </row>
    <row r="2437" customFormat="false" ht="15" hidden="false" customHeight="true" outlineLevel="0" collapsed="false">
      <c r="A2437" s="8" t="s">
        <v>187</v>
      </c>
      <c r="B2437" s="8" t="s">
        <v>1211</v>
      </c>
      <c r="C2437" s="8" t="n">
        <v>3</v>
      </c>
      <c r="D2437" s="8" t="n">
        <v>189.81</v>
      </c>
      <c r="E2437" s="8" t="n">
        <v>0</v>
      </c>
      <c r="F2437" s="8" t="n">
        <v>0</v>
      </c>
    </row>
    <row r="2438" customFormat="false" ht="15" hidden="false" customHeight="true" outlineLevel="0" collapsed="false">
      <c r="A2438" s="8" t="s">
        <v>180</v>
      </c>
      <c r="B2438" s="8" t="s">
        <v>1216</v>
      </c>
      <c r="C2438" s="8" t="n">
        <v>0</v>
      </c>
      <c r="D2438" s="8" t="n">
        <v>0</v>
      </c>
      <c r="E2438" s="8" t="n">
        <v>4</v>
      </c>
      <c r="F2438" s="8" t="n">
        <v>66</v>
      </c>
    </row>
    <row r="2439" customFormat="false" ht="15" hidden="false" customHeight="true" outlineLevel="0" collapsed="false">
      <c r="A2439" s="8" t="s">
        <v>189</v>
      </c>
      <c r="B2439" s="8" t="s">
        <v>1216</v>
      </c>
      <c r="C2439" s="8" t="n">
        <v>0</v>
      </c>
      <c r="D2439" s="8" t="n">
        <v>0</v>
      </c>
      <c r="E2439" s="8" t="n">
        <v>4</v>
      </c>
      <c r="F2439" s="8" t="n">
        <v>66</v>
      </c>
    </row>
    <row r="2440" customFormat="false" ht="15" hidden="false" customHeight="true" outlineLevel="0" collapsed="false">
      <c r="A2440" s="8" t="s">
        <v>170</v>
      </c>
      <c r="B2440" s="8" t="s">
        <v>1220</v>
      </c>
      <c r="C2440" s="8" t="n">
        <v>6</v>
      </c>
      <c r="D2440" s="8" t="n">
        <v>88.8</v>
      </c>
      <c r="E2440" s="8" t="n">
        <v>6</v>
      </c>
      <c r="F2440" s="8" t="n">
        <v>88.8</v>
      </c>
    </row>
    <row r="2441" customFormat="false" ht="15" hidden="false" customHeight="true" outlineLevel="0" collapsed="false">
      <c r="A2441" s="8" t="s">
        <v>196</v>
      </c>
      <c r="B2441" s="8" t="s">
        <v>1243</v>
      </c>
      <c r="C2441" s="8" t="n">
        <v>6</v>
      </c>
      <c r="D2441" s="8" t="n">
        <v>321</v>
      </c>
      <c r="E2441" s="8" t="n">
        <v>2</v>
      </c>
      <c r="F2441" s="8" t="n">
        <v>107</v>
      </c>
    </row>
    <row r="2442" customFormat="false" ht="15" hidden="false" customHeight="true" outlineLevel="0" collapsed="false">
      <c r="A2442" s="8" t="s">
        <v>188</v>
      </c>
      <c r="B2442" s="8" t="s">
        <v>1225</v>
      </c>
      <c r="C2442" s="8" t="n">
        <v>3</v>
      </c>
      <c r="D2442" s="8" t="n">
        <v>86.79</v>
      </c>
      <c r="E2442" s="8" t="n">
        <v>0</v>
      </c>
      <c r="F2442" s="8" t="n">
        <v>0</v>
      </c>
    </row>
    <row r="2443" customFormat="false" ht="15" hidden="false" customHeight="true" outlineLevel="0" collapsed="false">
      <c r="A2443" s="8" t="s">
        <v>186</v>
      </c>
      <c r="B2443" s="8" t="s">
        <v>1225</v>
      </c>
      <c r="C2443" s="8" t="n">
        <v>3</v>
      </c>
      <c r="D2443" s="8" t="n">
        <v>86.79</v>
      </c>
      <c r="E2443" s="8" t="n">
        <v>0</v>
      </c>
      <c r="F2443" s="8" t="n">
        <v>0</v>
      </c>
    </row>
    <row r="2444" customFormat="false" ht="15" hidden="false" customHeight="true" outlineLevel="0" collapsed="false">
      <c r="A2444" s="8" t="s">
        <v>239</v>
      </c>
      <c r="B2444" s="8" t="s">
        <v>1225</v>
      </c>
      <c r="C2444" s="8" t="n">
        <v>3</v>
      </c>
      <c r="D2444" s="8" t="n">
        <v>86.79</v>
      </c>
      <c r="E2444" s="8" t="n">
        <v>0</v>
      </c>
      <c r="F2444" s="8" t="n">
        <v>0</v>
      </c>
    </row>
    <row r="2445" customFormat="false" ht="15" hidden="false" customHeight="true" outlineLevel="0" collapsed="false">
      <c r="A2445" s="8" t="s">
        <v>210</v>
      </c>
      <c r="B2445" s="8" t="s">
        <v>1225</v>
      </c>
      <c r="C2445" s="8" t="n">
        <v>3</v>
      </c>
      <c r="D2445" s="8" t="n">
        <v>86.79</v>
      </c>
      <c r="E2445" s="8" t="n">
        <v>0</v>
      </c>
      <c r="F2445" s="8" t="n">
        <v>0</v>
      </c>
    </row>
    <row r="2446" customFormat="false" ht="15" hidden="false" customHeight="true" outlineLevel="0" collapsed="false">
      <c r="A2446" s="8" t="s">
        <v>255</v>
      </c>
      <c r="B2446" s="8" t="s">
        <v>1273</v>
      </c>
      <c r="C2446" s="8" t="n">
        <v>2</v>
      </c>
      <c r="D2446" s="8" t="n">
        <v>16.4</v>
      </c>
      <c r="E2446" s="8" t="n">
        <v>0</v>
      </c>
      <c r="F2446" s="8" t="n">
        <v>0</v>
      </c>
    </row>
    <row r="2447" customFormat="false" ht="15" hidden="false" customHeight="true" outlineLevel="0" collapsed="false">
      <c r="A2447" s="8" t="s">
        <v>194</v>
      </c>
      <c r="B2447" s="8" t="s">
        <v>1239</v>
      </c>
      <c r="C2447" s="8" t="n">
        <v>2</v>
      </c>
      <c r="D2447" s="8" t="n">
        <v>19.64</v>
      </c>
      <c r="E2447" s="8" t="n">
        <v>0</v>
      </c>
      <c r="F2447" s="8" t="n">
        <v>0</v>
      </c>
    </row>
    <row r="2448" customFormat="false" ht="15" hidden="false" customHeight="true" outlineLevel="0" collapsed="false">
      <c r="A2448" s="8" t="s">
        <v>279</v>
      </c>
      <c r="B2448" s="8" t="s">
        <v>1274</v>
      </c>
      <c r="C2448" s="8" t="n">
        <v>2</v>
      </c>
      <c r="D2448" s="8" t="n">
        <v>19.64</v>
      </c>
      <c r="E2448" s="8" t="n">
        <v>0</v>
      </c>
      <c r="F2448" s="8" t="n">
        <v>0</v>
      </c>
    </row>
    <row r="2449" customFormat="false" ht="15" hidden="false" customHeight="true" outlineLevel="0" collapsed="false">
      <c r="A2449" s="8" t="s">
        <v>228</v>
      </c>
      <c r="B2449" s="8" t="s">
        <v>1275</v>
      </c>
      <c r="C2449" s="8" t="n">
        <v>3</v>
      </c>
      <c r="D2449" s="8" t="n">
        <v>42.75</v>
      </c>
      <c r="E2449" s="8" t="n">
        <v>0</v>
      </c>
      <c r="F2449" s="8" t="n">
        <v>0</v>
      </c>
    </row>
    <row r="2450" customFormat="false" ht="15" hidden="false" customHeight="true" outlineLevel="0" collapsed="false">
      <c r="A2450" s="8" t="s">
        <v>113</v>
      </c>
      <c r="B2450" s="8" t="s">
        <v>1247</v>
      </c>
      <c r="C2450" s="8" t="n">
        <v>2</v>
      </c>
      <c r="D2450" s="8" t="n">
        <v>50</v>
      </c>
      <c r="E2450" s="8" t="n">
        <v>0</v>
      </c>
      <c r="F2450" s="8" t="n">
        <v>0</v>
      </c>
    </row>
    <row r="2451" customFormat="false" ht="15" hidden="false" customHeight="true" outlineLevel="0" collapsed="false">
      <c r="A2451" s="8" t="s">
        <v>99</v>
      </c>
      <c r="B2451" s="8" t="s">
        <v>1247</v>
      </c>
      <c r="C2451" s="8" t="n">
        <v>2</v>
      </c>
      <c r="D2451" s="8" t="n">
        <v>50</v>
      </c>
      <c r="E2451" s="8" t="n">
        <v>0</v>
      </c>
      <c r="F2451" s="8" t="n">
        <v>0</v>
      </c>
    </row>
    <row r="2452" customFormat="false" ht="15" hidden="false" customHeight="true" outlineLevel="0" collapsed="false">
      <c r="A2452" s="8" t="s">
        <v>120</v>
      </c>
      <c r="B2452" s="8" t="s">
        <v>1247</v>
      </c>
      <c r="C2452" s="8" t="n">
        <v>2</v>
      </c>
      <c r="D2452" s="8" t="n">
        <v>50</v>
      </c>
      <c r="E2452" s="8" t="n">
        <v>0</v>
      </c>
      <c r="F2452" s="8" t="n">
        <v>0</v>
      </c>
    </row>
    <row r="2453" customFormat="false" ht="15" hidden="false" customHeight="true" outlineLevel="0" collapsed="false">
      <c r="A2453" s="8" t="s">
        <v>170</v>
      </c>
      <c r="B2453" s="8" t="s">
        <v>1220</v>
      </c>
      <c r="C2453" s="8" t="n">
        <v>12</v>
      </c>
      <c r="D2453" s="8" t="n">
        <v>177.6</v>
      </c>
      <c r="E2453" s="8" t="n">
        <v>0</v>
      </c>
      <c r="F2453" s="8" t="n">
        <v>0</v>
      </c>
    </row>
    <row r="2454" customFormat="false" ht="15" hidden="false" customHeight="true" outlineLevel="0" collapsed="false">
      <c r="A2454" s="8" t="s">
        <v>220</v>
      </c>
      <c r="B2454" s="8" t="s">
        <v>1248</v>
      </c>
      <c r="C2454" s="8" t="n">
        <v>6</v>
      </c>
      <c r="D2454" s="8" t="n">
        <v>62.4</v>
      </c>
      <c r="E2454" s="8" t="n">
        <v>0</v>
      </c>
      <c r="F2454" s="8" t="n">
        <v>0</v>
      </c>
    </row>
    <row r="2455" customFormat="false" ht="15" hidden="false" customHeight="true" outlineLevel="0" collapsed="false">
      <c r="A2455" s="8" t="s">
        <v>275</v>
      </c>
      <c r="B2455" s="8" t="s">
        <v>1257</v>
      </c>
      <c r="C2455" s="8" t="n">
        <v>6</v>
      </c>
      <c r="D2455" s="8" t="n">
        <v>129.6</v>
      </c>
      <c r="E2455" s="8" t="n">
        <v>0</v>
      </c>
      <c r="F2455" s="8" t="n">
        <v>0</v>
      </c>
    </row>
    <row r="2456" customFormat="false" ht="15" hidden="false" customHeight="true" outlineLevel="0" collapsed="false">
      <c r="A2456" s="8" t="s">
        <v>233</v>
      </c>
      <c r="B2456" s="8" t="s">
        <v>1249</v>
      </c>
      <c r="C2456" s="8" t="n">
        <v>6</v>
      </c>
      <c r="D2456" s="8" t="n">
        <v>107.7</v>
      </c>
      <c r="E2456" s="8" t="n">
        <v>0</v>
      </c>
      <c r="F2456" s="8" t="n">
        <v>0</v>
      </c>
    </row>
    <row r="2457" customFormat="false" ht="15" hidden="false" customHeight="true" outlineLevel="0" collapsed="false">
      <c r="A2457" s="8" t="s">
        <v>264</v>
      </c>
      <c r="B2457" s="8" t="s">
        <v>1221</v>
      </c>
      <c r="C2457" s="8" t="n">
        <v>6</v>
      </c>
      <c r="D2457" s="8" t="n">
        <v>34.86</v>
      </c>
      <c r="E2457" s="8" t="n">
        <v>0</v>
      </c>
      <c r="F2457" s="8" t="n">
        <v>0</v>
      </c>
    </row>
    <row r="2458" customFormat="false" ht="15" hidden="false" customHeight="true" outlineLevel="0" collapsed="false">
      <c r="A2458" s="8" t="s">
        <v>348</v>
      </c>
      <c r="B2458" s="8" t="s">
        <v>1277</v>
      </c>
      <c r="C2458" s="8" t="n">
        <v>6</v>
      </c>
      <c r="D2458" s="8" t="n">
        <v>40.8</v>
      </c>
      <c r="E2458" s="8" t="n">
        <v>0</v>
      </c>
      <c r="F2458" s="8" t="n">
        <v>0</v>
      </c>
    </row>
    <row r="2459" customFormat="false" ht="15" hidden="false" customHeight="true" outlineLevel="0" collapsed="false">
      <c r="A2459" s="8" t="s">
        <v>237</v>
      </c>
      <c r="B2459" s="8" t="s">
        <v>1259</v>
      </c>
      <c r="C2459" s="8" t="n">
        <v>14</v>
      </c>
      <c r="D2459" s="8" t="n">
        <v>258.3</v>
      </c>
      <c r="E2459" s="8" t="n">
        <v>0</v>
      </c>
      <c r="F2459" s="8" t="n">
        <v>0</v>
      </c>
    </row>
    <row r="2460" customFormat="false" ht="15" hidden="false" customHeight="true" outlineLevel="0" collapsed="false">
      <c r="A2460" s="8" t="s">
        <v>213</v>
      </c>
      <c r="B2460" s="8" t="s">
        <v>1232</v>
      </c>
      <c r="C2460" s="8" t="n">
        <v>10</v>
      </c>
      <c r="D2460" s="8" t="n">
        <v>275.5</v>
      </c>
      <c r="E2460" s="8" t="n">
        <v>0</v>
      </c>
      <c r="F2460" s="8" t="n">
        <v>0</v>
      </c>
    </row>
    <row r="2461" customFormat="false" ht="15" hidden="false" customHeight="true" outlineLevel="0" collapsed="false">
      <c r="A2461" s="8" t="s">
        <v>232</v>
      </c>
      <c r="B2461" s="8" t="s">
        <v>1233</v>
      </c>
      <c r="C2461" s="8" t="n">
        <v>4</v>
      </c>
      <c r="D2461" s="8" t="n">
        <v>64.8</v>
      </c>
      <c r="E2461" s="8" t="n">
        <v>0</v>
      </c>
      <c r="F2461" s="8" t="n">
        <v>0</v>
      </c>
    </row>
    <row r="2462" customFormat="false" ht="15" hidden="false" customHeight="true" outlineLevel="0" collapsed="false">
      <c r="A2462" s="8" t="s">
        <v>167</v>
      </c>
      <c r="B2462" s="8" t="s">
        <v>1238</v>
      </c>
      <c r="C2462" s="8" t="n">
        <v>60</v>
      </c>
      <c r="D2462" s="8" t="n">
        <v>804</v>
      </c>
      <c r="E2462" s="8" t="n">
        <v>0</v>
      </c>
      <c r="F2462" s="8" t="n">
        <v>0</v>
      </c>
    </row>
    <row r="2463" customFormat="false" ht="15" hidden="false" customHeight="true" outlineLevel="0" collapsed="false">
      <c r="A2463" s="8" t="s">
        <v>230</v>
      </c>
      <c r="B2463" s="8" t="s">
        <v>1244</v>
      </c>
      <c r="C2463" s="8" t="n">
        <v>1</v>
      </c>
      <c r="D2463" s="8" t="n">
        <v>175.5</v>
      </c>
      <c r="E2463" s="8" t="n">
        <v>0</v>
      </c>
      <c r="F2463" s="8" t="n">
        <v>0</v>
      </c>
    </row>
    <row r="2464" customFormat="false" ht="15" hidden="false" customHeight="true" outlineLevel="0" collapsed="false">
      <c r="A2464" s="8" t="s">
        <v>166</v>
      </c>
      <c r="B2464" s="8" t="s">
        <v>1211</v>
      </c>
      <c r="C2464" s="8" t="n">
        <v>1</v>
      </c>
      <c r="D2464" s="8" t="n">
        <v>63.27</v>
      </c>
      <c r="E2464" s="8" t="n">
        <v>0</v>
      </c>
      <c r="F2464" s="8" t="n">
        <v>0</v>
      </c>
    </row>
    <row r="2465" customFormat="false" ht="15" hidden="false" customHeight="true" outlineLevel="0" collapsed="false">
      <c r="A2465" s="8" t="s">
        <v>164</v>
      </c>
      <c r="B2465" s="8" t="s">
        <v>1211</v>
      </c>
      <c r="C2465" s="8" t="n">
        <v>3</v>
      </c>
      <c r="D2465" s="8" t="n">
        <v>189.81</v>
      </c>
      <c r="E2465" s="8" t="n">
        <v>0</v>
      </c>
      <c r="F2465" s="8" t="n">
        <v>0</v>
      </c>
    </row>
    <row r="2466" customFormat="false" ht="15" hidden="false" customHeight="true" outlineLevel="0" collapsed="false">
      <c r="A2466" s="8" t="s">
        <v>222</v>
      </c>
      <c r="B2466" s="8" t="s">
        <v>1211</v>
      </c>
      <c r="C2466" s="8" t="n">
        <v>1</v>
      </c>
      <c r="D2466" s="8" t="n">
        <v>63.27</v>
      </c>
      <c r="E2466" s="8" t="n">
        <v>0</v>
      </c>
      <c r="F2466" s="8" t="n">
        <v>0</v>
      </c>
    </row>
    <row r="2467" customFormat="false" ht="15" hidden="false" customHeight="true" outlineLevel="0" collapsed="false">
      <c r="A2467" s="8" t="s">
        <v>308</v>
      </c>
      <c r="B2467" s="8" t="s">
        <v>1229</v>
      </c>
      <c r="C2467" s="8" t="n">
        <v>6</v>
      </c>
      <c r="D2467" s="8" t="n">
        <v>48.48</v>
      </c>
      <c r="E2467" s="8" t="n">
        <v>0</v>
      </c>
      <c r="F2467" s="8" t="n">
        <v>0</v>
      </c>
    </row>
    <row r="2468" customFormat="false" ht="15" hidden="false" customHeight="true" outlineLevel="0" collapsed="false">
      <c r="A2468" s="8" t="s">
        <v>296</v>
      </c>
      <c r="B2468" s="8" t="s">
        <v>1295</v>
      </c>
      <c r="C2468" s="8" t="n">
        <v>1</v>
      </c>
      <c r="D2468" s="8" t="n">
        <v>129.81</v>
      </c>
      <c r="E2468" s="8" t="n">
        <v>0</v>
      </c>
      <c r="F2468" s="8" t="n">
        <v>0</v>
      </c>
    </row>
    <row r="2469" customFormat="false" ht="15" hidden="false" customHeight="true" outlineLevel="0" collapsed="false">
      <c r="A2469" s="8" t="s">
        <v>179</v>
      </c>
      <c r="B2469" s="8" t="s">
        <v>1218</v>
      </c>
      <c r="C2469" s="8" t="n">
        <v>1</v>
      </c>
      <c r="D2469" s="8" t="n">
        <v>126.5</v>
      </c>
      <c r="E2469" s="8" t="n">
        <v>0</v>
      </c>
      <c r="F2469" s="8" t="n">
        <v>0</v>
      </c>
    </row>
    <row r="2470" customFormat="false" ht="15" hidden="false" customHeight="true" outlineLevel="0" collapsed="false">
      <c r="A2470" s="8" t="s">
        <v>163</v>
      </c>
      <c r="B2470" s="8" t="s">
        <v>897</v>
      </c>
      <c r="C2470" s="8" t="n">
        <v>4</v>
      </c>
      <c r="D2470" s="8" t="n">
        <v>260</v>
      </c>
      <c r="E2470" s="8" t="n">
        <v>2</v>
      </c>
      <c r="F2470" s="8" t="n">
        <v>130</v>
      </c>
    </row>
    <row r="2471" customFormat="false" ht="15" hidden="false" customHeight="true" outlineLevel="0" collapsed="false">
      <c r="A2471" s="8" t="s">
        <v>181</v>
      </c>
      <c r="B2471" s="8" t="s">
        <v>897</v>
      </c>
      <c r="C2471" s="8" t="n">
        <v>4</v>
      </c>
      <c r="D2471" s="8" t="n">
        <v>260</v>
      </c>
      <c r="E2471" s="8" t="n">
        <v>0</v>
      </c>
      <c r="F2471" s="8" t="n">
        <v>0</v>
      </c>
    </row>
    <row r="2472" customFormat="false" ht="15" hidden="false" customHeight="true" outlineLevel="0" collapsed="false">
      <c r="A2472" s="8" t="s">
        <v>165</v>
      </c>
      <c r="B2472" s="8" t="s">
        <v>897</v>
      </c>
      <c r="C2472" s="8" t="n">
        <v>2</v>
      </c>
      <c r="D2472" s="8" t="n">
        <v>130</v>
      </c>
      <c r="E2472" s="8" t="n">
        <v>0</v>
      </c>
      <c r="F2472" s="8" t="n">
        <v>0</v>
      </c>
    </row>
    <row r="2473" customFormat="false" ht="15" hidden="false" customHeight="true" outlineLevel="0" collapsed="false">
      <c r="A2473" s="8" t="s">
        <v>184</v>
      </c>
      <c r="B2473" s="8" t="s">
        <v>897</v>
      </c>
      <c r="C2473" s="8" t="n">
        <v>2</v>
      </c>
      <c r="D2473" s="8" t="n">
        <v>130</v>
      </c>
      <c r="E2473" s="8" t="n">
        <v>0</v>
      </c>
      <c r="F2473" s="8" t="n">
        <v>0</v>
      </c>
    </row>
    <row r="2474" customFormat="false" ht="15" hidden="false" customHeight="true" outlineLevel="0" collapsed="false">
      <c r="A2474" s="8" t="s">
        <v>183</v>
      </c>
      <c r="B2474" s="8" t="s">
        <v>1224</v>
      </c>
      <c r="C2474" s="8" t="n">
        <v>7</v>
      </c>
      <c r="D2474" s="8" t="n">
        <v>171.01</v>
      </c>
      <c r="E2474" s="8" t="n">
        <v>0</v>
      </c>
      <c r="F2474" s="8" t="n">
        <v>0</v>
      </c>
    </row>
    <row r="2475" customFormat="false" ht="15" hidden="false" customHeight="true" outlineLevel="0" collapsed="false">
      <c r="A2475" s="8" t="s">
        <v>218</v>
      </c>
      <c r="B2475" s="8" t="s">
        <v>1224</v>
      </c>
      <c r="C2475" s="8" t="n">
        <v>4</v>
      </c>
      <c r="D2475" s="8" t="n">
        <v>97.72</v>
      </c>
      <c r="E2475" s="8" t="n">
        <v>0</v>
      </c>
      <c r="F2475" s="8" t="n">
        <v>0</v>
      </c>
    </row>
    <row r="2476" customFormat="false" ht="15" hidden="false" customHeight="true" outlineLevel="0" collapsed="false">
      <c r="A2476" s="8" t="s">
        <v>286</v>
      </c>
      <c r="B2476" s="8" t="s">
        <v>1269</v>
      </c>
      <c r="C2476" s="8" t="n">
        <v>6</v>
      </c>
      <c r="D2476" s="8" t="n">
        <v>66</v>
      </c>
      <c r="E2476" s="8" t="n">
        <v>0</v>
      </c>
      <c r="F2476" s="8" t="n">
        <v>0</v>
      </c>
    </row>
    <row r="2477" customFormat="false" ht="15" hidden="false" customHeight="true" outlineLevel="0" collapsed="false">
      <c r="A2477" s="8" t="s">
        <v>289</v>
      </c>
      <c r="B2477" s="8" t="s">
        <v>1270</v>
      </c>
      <c r="C2477" s="8" t="n">
        <v>6</v>
      </c>
      <c r="D2477" s="8" t="n">
        <v>66</v>
      </c>
      <c r="E2477" s="8" t="n">
        <v>0</v>
      </c>
      <c r="F2477" s="8" t="n">
        <v>0</v>
      </c>
    </row>
    <row r="2478" customFormat="false" ht="15" hidden="false" customHeight="true" outlineLevel="0" collapsed="false">
      <c r="A2478" s="8" t="s">
        <v>161</v>
      </c>
      <c r="B2478" s="8" t="s">
        <v>1208</v>
      </c>
      <c r="C2478" s="8" t="n">
        <v>10</v>
      </c>
      <c r="D2478" s="8" t="n">
        <v>455</v>
      </c>
      <c r="E2478" s="8" t="n">
        <v>0</v>
      </c>
      <c r="F2478" s="8" t="n">
        <v>0</v>
      </c>
    </row>
    <row r="2479" customFormat="false" ht="15" hidden="false" customHeight="true" outlineLevel="0" collapsed="false">
      <c r="A2479" s="8" t="s">
        <v>166</v>
      </c>
      <c r="B2479" s="8" t="s">
        <v>1211</v>
      </c>
      <c r="C2479" s="8" t="n">
        <v>2</v>
      </c>
      <c r="D2479" s="8" t="n">
        <v>126.54</v>
      </c>
      <c r="E2479" s="8" t="n">
        <v>1</v>
      </c>
      <c r="F2479" s="8" t="n">
        <v>63.27</v>
      </c>
    </row>
    <row r="2480" customFormat="false" ht="15" hidden="false" customHeight="true" outlineLevel="0" collapsed="false">
      <c r="A2480" s="8" t="s">
        <v>164</v>
      </c>
      <c r="B2480" s="8" t="s">
        <v>1211</v>
      </c>
      <c r="C2480" s="8" t="n">
        <v>2</v>
      </c>
      <c r="D2480" s="8" t="n">
        <v>126.54</v>
      </c>
      <c r="E2480" s="8" t="n">
        <v>2</v>
      </c>
      <c r="F2480" s="8" t="n">
        <v>126.54</v>
      </c>
    </row>
    <row r="2481" customFormat="false" ht="15" hidden="false" customHeight="true" outlineLevel="0" collapsed="false">
      <c r="A2481" s="8" t="s">
        <v>187</v>
      </c>
      <c r="B2481" s="8" t="s">
        <v>1211</v>
      </c>
      <c r="C2481" s="8" t="n">
        <v>2</v>
      </c>
      <c r="D2481" s="8" t="n">
        <v>126.54</v>
      </c>
      <c r="E2481" s="8" t="n">
        <v>0</v>
      </c>
      <c r="F2481" s="8" t="n">
        <v>0</v>
      </c>
    </row>
    <row r="2482" customFormat="false" ht="15" hidden="false" customHeight="true" outlineLevel="0" collapsed="false">
      <c r="A2482" s="8" t="s">
        <v>188</v>
      </c>
      <c r="B2482" s="8" t="s">
        <v>1225</v>
      </c>
      <c r="C2482" s="8" t="n">
        <v>5</v>
      </c>
      <c r="D2482" s="8" t="n">
        <v>144.65</v>
      </c>
      <c r="E2482" s="8" t="n">
        <v>0</v>
      </c>
      <c r="F2482" s="8" t="n">
        <v>0</v>
      </c>
    </row>
    <row r="2483" customFormat="false" ht="15" hidden="false" customHeight="true" outlineLevel="0" collapsed="false">
      <c r="A2483" s="8" t="s">
        <v>186</v>
      </c>
      <c r="B2483" s="8" t="s">
        <v>1225</v>
      </c>
      <c r="C2483" s="8" t="n">
        <v>4</v>
      </c>
      <c r="D2483" s="8" t="n">
        <v>115.72</v>
      </c>
      <c r="E2483" s="8" t="n">
        <v>0</v>
      </c>
      <c r="F2483" s="8" t="n">
        <v>0</v>
      </c>
    </row>
    <row r="2484" customFormat="false" ht="15" hidden="false" customHeight="true" outlineLevel="0" collapsed="false">
      <c r="A2484" s="8" t="s">
        <v>239</v>
      </c>
      <c r="B2484" s="8" t="s">
        <v>1225</v>
      </c>
      <c r="C2484" s="8" t="n">
        <v>0</v>
      </c>
      <c r="D2484" s="8" t="n">
        <v>0</v>
      </c>
      <c r="E2484" s="8" t="n">
        <v>2</v>
      </c>
      <c r="F2484" s="8" t="n">
        <v>57.86</v>
      </c>
    </row>
    <row r="2485" customFormat="false" ht="15" hidden="false" customHeight="true" outlineLevel="0" collapsed="false">
      <c r="A2485" s="8" t="s">
        <v>201</v>
      </c>
      <c r="B2485" s="8" t="s">
        <v>1226</v>
      </c>
      <c r="C2485" s="8" t="n">
        <v>2</v>
      </c>
      <c r="D2485" s="8" t="n">
        <v>84.34</v>
      </c>
      <c r="E2485" s="8" t="n">
        <v>0</v>
      </c>
      <c r="F2485" s="8" t="n">
        <v>0</v>
      </c>
    </row>
    <row r="2486" customFormat="false" ht="15" hidden="false" customHeight="true" outlineLevel="0" collapsed="false">
      <c r="A2486" s="8" t="s">
        <v>214</v>
      </c>
      <c r="B2486" s="8" t="s">
        <v>1226</v>
      </c>
      <c r="C2486" s="8" t="n">
        <v>3</v>
      </c>
      <c r="D2486" s="8" t="n">
        <v>126.51</v>
      </c>
      <c r="E2486" s="8" t="n">
        <v>0</v>
      </c>
      <c r="F2486" s="8" t="n">
        <v>0</v>
      </c>
    </row>
    <row r="2487" customFormat="false" ht="15" hidden="false" customHeight="true" outlineLevel="0" collapsed="false">
      <c r="A2487" s="8" t="s">
        <v>241</v>
      </c>
      <c r="B2487" s="8" t="s">
        <v>1227</v>
      </c>
      <c r="C2487" s="8" t="n">
        <v>0</v>
      </c>
      <c r="D2487" s="8" t="n">
        <v>0</v>
      </c>
      <c r="E2487" s="8" t="n">
        <v>3</v>
      </c>
      <c r="F2487" s="8" t="n">
        <v>51</v>
      </c>
    </row>
    <row r="2488" customFormat="false" ht="15" hidden="false" customHeight="true" outlineLevel="0" collapsed="false">
      <c r="A2488" s="8" t="s">
        <v>219</v>
      </c>
      <c r="B2488" s="8" t="s">
        <v>1227</v>
      </c>
      <c r="C2488" s="8" t="n">
        <v>2</v>
      </c>
      <c r="D2488" s="8" t="n">
        <v>34</v>
      </c>
      <c r="E2488" s="8" t="n">
        <v>0</v>
      </c>
      <c r="F2488" s="8" t="n">
        <v>0</v>
      </c>
    </row>
    <row r="2489" customFormat="false" ht="15" hidden="false" customHeight="true" outlineLevel="0" collapsed="false">
      <c r="A2489" s="8" t="s">
        <v>223</v>
      </c>
      <c r="B2489" s="8" t="s">
        <v>1227</v>
      </c>
      <c r="C2489" s="8" t="n">
        <v>2</v>
      </c>
      <c r="D2489" s="8" t="n">
        <v>34</v>
      </c>
      <c r="E2489" s="8" t="n">
        <v>2</v>
      </c>
      <c r="F2489" s="8" t="n">
        <v>34</v>
      </c>
    </row>
    <row r="2490" customFormat="false" ht="15" hidden="false" customHeight="true" outlineLevel="0" collapsed="false">
      <c r="A2490" s="8" t="s">
        <v>237</v>
      </c>
      <c r="B2490" s="8" t="s">
        <v>1259</v>
      </c>
      <c r="C2490" s="8" t="n">
        <v>6</v>
      </c>
      <c r="D2490" s="8" t="n">
        <v>110.7</v>
      </c>
      <c r="E2490" s="8" t="n">
        <v>0</v>
      </c>
      <c r="F2490" s="8" t="n">
        <v>0</v>
      </c>
    </row>
    <row r="2491" customFormat="false" ht="15" hidden="false" customHeight="true" outlineLevel="0" collapsed="false">
      <c r="A2491" s="8" t="s">
        <v>246</v>
      </c>
      <c r="B2491" s="8" t="s">
        <v>1261</v>
      </c>
      <c r="C2491" s="8" t="n">
        <v>2</v>
      </c>
      <c r="D2491" s="8" t="n">
        <v>34.7</v>
      </c>
      <c r="E2491" s="8" t="n">
        <v>0</v>
      </c>
      <c r="F2491" s="8" t="n">
        <v>0</v>
      </c>
    </row>
    <row r="2492" customFormat="false" ht="15" hidden="false" customHeight="true" outlineLevel="0" collapsed="false">
      <c r="A2492" s="8" t="s">
        <v>202</v>
      </c>
      <c r="B2492" s="8" t="s">
        <v>1212</v>
      </c>
      <c r="C2492" s="8" t="n">
        <v>8</v>
      </c>
      <c r="D2492" s="8" t="n">
        <v>76</v>
      </c>
      <c r="E2492" s="8" t="n">
        <v>0</v>
      </c>
      <c r="F2492" s="8" t="n">
        <v>0</v>
      </c>
    </row>
    <row r="2493" customFormat="false" ht="15" hidden="false" customHeight="true" outlineLevel="0" collapsed="false">
      <c r="A2493" s="8" t="s">
        <v>172</v>
      </c>
      <c r="B2493" s="8" t="s">
        <v>1214</v>
      </c>
      <c r="C2493" s="8" t="n">
        <v>14</v>
      </c>
      <c r="D2493" s="8" t="n">
        <v>170.52</v>
      </c>
      <c r="E2493" s="8" t="n">
        <v>0</v>
      </c>
      <c r="F2493" s="8" t="n">
        <v>0</v>
      </c>
    </row>
    <row r="2494" customFormat="false" ht="15" hidden="false" customHeight="true" outlineLevel="0" collapsed="false">
      <c r="A2494" s="8" t="s">
        <v>261</v>
      </c>
      <c r="B2494" s="8" t="s">
        <v>1215</v>
      </c>
      <c r="C2494" s="8" t="n">
        <v>8</v>
      </c>
      <c r="D2494" s="8" t="n">
        <v>169.68</v>
      </c>
      <c r="E2494" s="8" t="n">
        <v>0</v>
      </c>
      <c r="F2494" s="8" t="n">
        <v>0</v>
      </c>
    </row>
    <row r="2495" customFormat="false" ht="15" hidden="false" customHeight="true" outlineLevel="0" collapsed="false">
      <c r="A2495" s="8" t="s">
        <v>213</v>
      </c>
      <c r="B2495" s="8" t="s">
        <v>1232</v>
      </c>
      <c r="C2495" s="8" t="n">
        <v>4</v>
      </c>
      <c r="D2495" s="8" t="n">
        <v>110.2</v>
      </c>
      <c r="E2495" s="8" t="n">
        <v>0</v>
      </c>
      <c r="F2495" s="8" t="n">
        <v>0</v>
      </c>
    </row>
    <row r="2496" customFormat="false" ht="15" hidden="false" customHeight="true" outlineLevel="0" collapsed="false">
      <c r="A2496" s="8" t="s">
        <v>288</v>
      </c>
      <c r="B2496" s="8" t="s">
        <v>939</v>
      </c>
      <c r="C2496" s="8" t="n">
        <v>5</v>
      </c>
      <c r="D2496" s="8" t="n">
        <v>101.2</v>
      </c>
      <c r="E2496" s="8" t="n">
        <v>0</v>
      </c>
      <c r="F2496" s="8" t="n">
        <v>0</v>
      </c>
    </row>
    <row r="2497" customFormat="false" ht="15" hidden="false" customHeight="true" outlineLevel="0" collapsed="false">
      <c r="A2497" s="8" t="s">
        <v>232</v>
      </c>
      <c r="B2497" s="8" t="s">
        <v>1233</v>
      </c>
      <c r="C2497" s="8" t="n">
        <v>2</v>
      </c>
      <c r="D2497" s="8" t="n">
        <v>32.4</v>
      </c>
      <c r="E2497" s="8" t="n">
        <v>3</v>
      </c>
      <c r="F2497" s="8" t="n">
        <v>48.6</v>
      </c>
    </row>
    <row r="2498" customFormat="false" ht="15" hidden="false" customHeight="true" outlineLevel="0" collapsed="false">
      <c r="A2498" s="8" t="s">
        <v>215</v>
      </c>
      <c r="B2498" s="8" t="s">
        <v>1233</v>
      </c>
      <c r="C2498" s="8" t="n">
        <v>2</v>
      </c>
      <c r="D2498" s="8" t="n">
        <v>35.64</v>
      </c>
      <c r="E2498" s="8" t="n">
        <v>2</v>
      </c>
      <c r="F2498" s="8" t="n">
        <v>35.64</v>
      </c>
    </row>
    <row r="2499" customFormat="false" ht="15" hidden="false" customHeight="true" outlineLevel="0" collapsed="false">
      <c r="A2499" s="8" t="s">
        <v>255</v>
      </c>
      <c r="B2499" s="8" t="s">
        <v>1273</v>
      </c>
      <c r="C2499" s="8" t="n">
        <v>2</v>
      </c>
      <c r="D2499" s="8" t="n">
        <v>16.4</v>
      </c>
      <c r="E2499" s="8" t="n">
        <v>0</v>
      </c>
      <c r="F2499" s="8" t="n">
        <v>0</v>
      </c>
    </row>
    <row r="2500" customFormat="false" ht="15" hidden="false" customHeight="true" outlineLevel="0" collapsed="false">
      <c r="A2500" s="8" t="s">
        <v>194</v>
      </c>
      <c r="B2500" s="8" t="s">
        <v>1239</v>
      </c>
      <c r="C2500" s="8" t="n">
        <v>11</v>
      </c>
      <c r="D2500" s="8" t="n">
        <v>108.02</v>
      </c>
      <c r="E2500" s="8" t="n">
        <v>4</v>
      </c>
      <c r="F2500" s="8" t="n">
        <v>39.28</v>
      </c>
    </row>
    <row r="2501" customFormat="false" ht="15" hidden="false" customHeight="true" outlineLevel="0" collapsed="false">
      <c r="A2501" s="8" t="s">
        <v>265</v>
      </c>
      <c r="B2501" s="8" t="s">
        <v>621</v>
      </c>
      <c r="C2501" s="8" t="n">
        <v>5</v>
      </c>
      <c r="D2501" s="8" t="n">
        <v>210</v>
      </c>
      <c r="E2501" s="8" t="n">
        <v>0</v>
      </c>
      <c r="F2501" s="8" t="n">
        <v>0</v>
      </c>
    </row>
    <row r="2502" customFormat="false" ht="15" hidden="false" customHeight="true" outlineLevel="0" collapsed="false">
      <c r="A2502" s="8" t="s">
        <v>276</v>
      </c>
      <c r="B2502" s="8" t="s">
        <v>621</v>
      </c>
      <c r="C2502" s="8" t="n">
        <v>1</v>
      </c>
      <c r="D2502" s="8" t="n">
        <v>42</v>
      </c>
      <c r="E2502" s="8" t="n">
        <v>0</v>
      </c>
      <c r="F2502" s="8" t="n">
        <v>0</v>
      </c>
    </row>
    <row r="2503" customFormat="false" ht="15" hidden="false" customHeight="true" outlineLevel="0" collapsed="false">
      <c r="A2503" s="8" t="s">
        <v>351</v>
      </c>
      <c r="B2503" s="8" t="s">
        <v>1281</v>
      </c>
      <c r="C2503" s="8" t="n">
        <v>2</v>
      </c>
      <c r="D2503" s="8" t="n">
        <v>47.2</v>
      </c>
      <c r="E2503" s="8" t="n">
        <v>0</v>
      </c>
      <c r="F2503" s="8" t="n">
        <v>0</v>
      </c>
    </row>
    <row r="2504" customFormat="false" ht="15" hidden="false" customHeight="true" outlineLevel="0" collapsed="false">
      <c r="A2504" s="8" t="s">
        <v>338</v>
      </c>
      <c r="B2504" s="8" t="s">
        <v>1281</v>
      </c>
      <c r="C2504" s="8" t="n">
        <v>4</v>
      </c>
      <c r="D2504" s="8" t="n">
        <v>94.4</v>
      </c>
      <c r="E2504" s="8" t="n">
        <v>0</v>
      </c>
      <c r="F2504" s="8" t="n">
        <v>0</v>
      </c>
    </row>
    <row r="2505" customFormat="false" ht="15" hidden="false" customHeight="true" outlineLevel="0" collapsed="false">
      <c r="A2505" s="8" t="s">
        <v>342</v>
      </c>
      <c r="B2505" s="8" t="s">
        <v>1255</v>
      </c>
      <c r="C2505" s="8" t="n">
        <v>3</v>
      </c>
      <c r="D2505" s="8" t="n">
        <v>70.8</v>
      </c>
      <c r="E2505" s="8" t="n">
        <v>0</v>
      </c>
      <c r="F2505" s="8" t="n">
        <v>0</v>
      </c>
    </row>
    <row r="2506" customFormat="false" ht="15" hidden="false" customHeight="true" outlineLevel="0" collapsed="false">
      <c r="A2506" s="8" t="s">
        <v>318</v>
      </c>
      <c r="B2506" s="8" t="s">
        <v>1256</v>
      </c>
      <c r="C2506" s="8" t="n">
        <v>3</v>
      </c>
      <c r="D2506" s="8" t="n">
        <v>70.8</v>
      </c>
      <c r="E2506" s="8" t="n">
        <v>0</v>
      </c>
      <c r="F2506" s="8" t="n">
        <v>0</v>
      </c>
    </row>
    <row r="2507" customFormat="false" ht="15" hidden="false" customHeight="true" outlineLevel="0" collapsed="false">
      <c r="A2507" s="8" t="s">
        <v>217</v>
      </c>
      <c r="B2507" s="8" t="s">
        <v>1237</v>
      </c>
      <c r="C2507" s="8" t="n">
        <v>14</v>
      </c>
      <c r="D2507" s="8" t="n">
        <v>257.6</v>
      </c>
      <c r="E2507" s="8" t="n">
        <v>0</v>
      </c>
      <c r="F2507" s="8" t="n">
        <v>0</v>
      </c>
    </row>
    <row r="2508" customFormat="false" ht="15" hidden="false" customHeight="true" outlineLevel="0" collapsed="false">
      <c r="A2508" s="8" t="s">
        <v>325</v>
      </c>
      <c r="B2508" s="8" t="s">
        <v>1264</v>
      </c>
      <c r="C2508" s="8" t="n">
        <v>4</v>
      </c>
      <c r="D2508" s="8" t="n">
        <v>73.6</v>
      </c>
      <c r="E2508" s="8" t="n">
        <v>0</v>
      </c>
      <c r="F2508" s="8" t="n">
        <v>0</v>
      </c>
    </row>
    <row r="2509" customFormat="false" ht="15" hidden="false" customHeight="true" outlineLevel="0" collapsed="false">
      <c r="A2509" s="8" t="s">
        <v>168</v>
      </c>
      <c r="B2509" s="8" t="s">
        <v>1240</v>
      </c>
      <c r="C2509" s="8" t="n">
        <v>2</v>
      </c>
      <c r="D2509" s="8" t="n">
        <v>83.62</v>
      </c>
      <c r="E2509" s="8" t="n">
        <v>0</v>
      </c>
      <c r="F2509" s="8" t="n">
        <v>0</v>
      </c>
    </row>
    <row r="2510" customFormat="false" ht="15" hidden="false" customHeight="true" outlineLevel="0" collapsed="false">
      <c r="A2510" s="8" t="s">
        <v>209</v>
      </c>
      <c r="B2510" s="8" t="s">
        <v>1245</v>
      </c>
      <c r="C2510" s="8" t="n">
        <v>0</v>
      </c>
      <c r="D2510" s="8" t="n">
        <v>0</v>
      </c>
      <c r="E2510" s="8" t="n">
        <v>3</v>
      </c>
      <c r="F2510" s="8" t="n">
        <v>194.67</v>
      </c>
    </row>
    <row r="2511" customFormat="false" ht="15" hidden="false" customHeight="true" outlineLevel="0" collapsed="false">
      <c r="A2511" s="8" t="s">
        <v>189</v>
      </c>
      <c r="B2511" s="8" t="s">
        <v>1216</v>
      </c>
      <c r="C2511" s="8" t="n">
        <v>4</v>
      </c>
      <c r="D2511" s="8" t="n">
        <v>66</v>
      </c>
      <c r="E2511" s="8" t="n">
        <v>0</v>
      </c>
      <c r="F2511" s="8" t="n">
        <v>0</v>
      </c>
    </row>
    <row r="2512" customFormat="false" ht="15" hidden="false" customHeight="true" outlineLevel="0" collapsed="false">
      <c r="A2512" s="8" t="s">
        <v>199</v>
      </c>
      <c r="B2512" s="8" t="s">
        <v>1216</v>
      </c>
      <c r="C2512" s="8" t="n">
        <v>8</v>
      </c>
      <c r="D2512" s="8" t="n">
        <v>132</v>
      </c>
      <c r="E2512" s="8" t="n">
        <v>0</v>
      </c>
      <c r="F2512" s="8" t="n">
        <v>0</v>
      </c>
    </row>
    <row r="2513" customFormat="false" ht="15" hidden="false" customHeight="true" outlineLevel="0" collapsed="false">
      <c r="A2513" s="8" t="s">
        <v>198</v>
      </c>
      <c r="B2513" s="8" t="s">
        <v>1217</v>
      </c>
      <c r="C2513" s="8" t="n">
        <v>10</v>
      </c>
      <c r="D2513" s="8" t="n">
        <v>205</v>
      </c>
      <c r="E2513" s="8" t="n">
        <v>2</v>
      </c>
      <c r="F2513" s="8" t="n">
        <v>41</v>
      </c>
    </row>
    <row r="2514" customFormat="false" ht="15" hidden="false" customHeight="true" outlineLevel="0" collapsed="false">
      <c r="A2514" s="8" t="s">
        <v>193</v>
      </c>
      <c r="B2514" s="8" t="s">
        <v>1217</v>
      </c>
      <c r="C2514" s="8" t="n">
        <v>0</v>
      </c>
      <c r="D2514" s="8" t="n">
        <v>0</v>
      </c>
      <c r="E2514" s="8" t="n">
        <v>1</v>
      </c>
      <c r="F2514" s="8" t="n">
        <v>20.5</v>
      </c>
    </row>
    <row r="2515" customFormat="false" ht="15" hidden="false" customHeight="true" outlineLevel="0" collapsed="false">
      <c r="A2515" s="8" t="s">
        <v>302</v>
      </c>
      <c r="B2515" s="8" t="s">
        <v>1217</v>
      </c>
      <c r="C2515" s="8" t="n">
        <v>0</v>
      </c>
      <c r="D2515" s="8" t="n">
        <v>0</v>
      </c>
      <c r="E2515" s="8" t="n">
        <v>2</v>
      </c>
      <c r="F2515" s="8" t="n">
        <v>41</v>
      </c>
    </row>
    <row r="2516" customFormat="false" ht="15" hidden="false" customHeight="true" outlineLevel="0" collapsed="false">
      <c r="A2516" s="8" t="s">
        <v>354</v>
      </c>
      <c r="B2516" s="8" t="s">
        <v>767</v>
      </c>
      <c r="C2516" s="8" t="n">
        <v>1</v>
      </c>
      <c r="D2516" s="8" t="n">
        <v>21</v>
      </c>
      <c r="E2516" s="8" t="n">
        <v>1</v>
      </c>
      <c r="F2516" s="8" t="n">
        <v>21</v>
      </c>
    </row>
    <row r="2517" customFormat="false" ht="15" hidden="false" customHeight="true" outlineLevel="0" collapsed="false">
      <c r="A2517" s="8" t="s">
        <v>378</v>
      </c>
      <c r="B2517" s="8" t="s">
        <v>767</v>
      </c>
      <c r="C2517" s="8" t="n">
        <v>1</v>
      </c>
      <c r="D2517" s="8" t="n">
        <v>21</v>
      </c>
      <c r="E2517" s="8" t="n">
        <v>0</v>
      </c>
      <c r="F2517" s="8" t="n">
        <v>0</v>
      </c>
    </row>
    <row r="2518" customFormat="false" ht="15" hidden="false" customHeight="true" outlineLevel="0" collapsed="false">
      <c r="A2518" s="8" t="s">
        <v>228</v>
      </c>
      <c r="B2518" s="8" t="s">
        <v>1275</v>
      </c>
      <c r="C2518" s="8" t="n">
        <v>0</v>
      </c>
      <c r="D2518" s="8" t="n">
        <v>0</v>
      </c>
      <c r="E2518" s="8" t="n">
        <v>3</v>
      </c>
      <c r="F2518" s="8" t="n">
        <v>42.75</v>
      </c>
    </row>
    <row r="2519" customFormat="false" ht="15" hidden="false" customHeight="true" outlineLevel="0" collapsed="false">
      <c r="A2519" s="8" t="s">
        <v>95</v>
      </c>
      <c r="B2519" s="8" t="s">
        <v>1247</v>
      </c>
      <c r="C2519" s="8" t="n">
        <v>2</v>
      </c>
      <c r="D2519" s="8" t="n">
        <v>50</v>
      </c>
      <c r="E2519" s="8" t="n">
        <v>4</v>
      </c>
      <c r="F2519" s="8" t="n">
        <v>100</v>
      </c>
    </row>
    <row r="2520" customFormat="false" ht="15" hidden="false" customHeight="true" outlineLevel="0" collapsed="false">
      <c r="A2520" s="8" t="s">
        <v>113</v>
      </c>
      <c r="B2520" s="8" t="s">
        <v>1247</v>
      </c>
      <c r="C2520" s="8" t="n">
        <v>2</v>
      </c>
      <c r="D2520" s="8" t="n">
        <v>50</v>
      </c>
      <c r="E2520" s="8" t="n">
        <v>1</v>
      </c>
      <c r="F2520" s="8" t="n">
        <v>25</v>
      </c>
    </row>
    <row r="2521" customFormat="false" ht="15" hidden="false" customHeight="true" outlineLevel="0" collapsed="false">
      <c r="A2521" s="8" t="s">
        <v>99</v>
      </c>
      <c r="B2521" s="8" t="s">
        <v>1247</v>
      </c>
      <c r="C2521" s="8" t="n">
        <v>2</v>
      </c>
      <c r="D2521" s="8" t="n">
        <v>50</v>
      </c>
      <c r="E2521" s="8" t="n">
        <v>0</v>
      </c>
      <c r="F2521" s="8" t="n">
        <v>0</v>
      </c>
    </row>
    <row r="2522" customFormat="false" ht="15" hidden="false" customHeight="true" outlineLevel="0" collapsed="false">
      <c r="A2522" s="8" t="s">
        <v>120</v>
      </c>
      <c r="B2522" s="8" t="s">
        <v>1247</v>
      </c>
      <c r="C2522" s="8" t="n">
        <v>2</v>
      </c>
      <c r="D2522" s="8" t="n">
        <v>50</v>
      </c>
      <c r="E2522" s="8" t="n">
        <v>1</v>
      </c>
      <c r="F2522" s="8" t="n">
        <v>25</v>
      </c>
    </row>
    <row r="2523" customFormat="false" ht="15" hidden="false" customHeight="true" outlineLevel="0" collapsed="false">
      <c r="A2523" s="8" t="s">
        <v>361</v>
      </c>
      <c r="B2523" s="8" t="s">
        <v>1247</v>
      </c>
      <c r="C2523" s="8" t="n">
        <v>0</v>
      </c>
      <c r="D2523" s="8" t="n">
        <v>0</v>
      </c>
      <c r="E2523" s="8" t="n">
        <v>1</v>
      </c>
      <c r="F2523" s="8" t="n">
        <v>62.97</v>
      </c>
    </row>
    <row r="2524" customFormat="false" ht="15" hidden="false" customHeight="true" outlineLevel="0" collapsed="false">
      <c r="A2524" s="8" t="s">
        <v>178</v>
      </c>
      <c r="B2524" s="8" t="s">
        <v>1236</v>
      </c>
      <c r="C2524" s="8" t="n">
        <v>3</v>
      </c>
      <c r="D2524" s="8" t="n">
        <v>105</v>
      </c>
      <c r="E2524" s="8" t="n">
        <v>0</v>
      </c>
      <c r="F2524" s="8" t="n">
        <v>0</v>
      </c>
    </row>
    <row r="2525" customFormat="false" ht="15" hidden="false" customHeight="true" outlineLevel="0" collapsed="false">
      <c r="A2525" s="8" t="s">
        <v>176</v>
      </c>
      <c r="B2525" s="8" t="s">
        <v>1236</v>
      </c>
      <c r="C2525" s="8" t="n">
        <v>5</v>
      </c>
      <c r="D2525" s="8" t="n">
        <v>175</v>
      </c>
      <c r="E2525" s="8" t="n">
        <v>0</v>
      </c>
      <c r="F2525" s="8" t="n">
        <v>0</v>
      </c>
    </row>
    <row r="2526" customFormat="false" ht="15" hidden="false" customHeight="true" outlineLevel="0" collapsed="false">
      <c r="A2526" s="8" t="s">
        <v>235</v>
      </c>
      <c r="B2526" s="8" t="s">
        <v>1236</v>
      </c>
      <c r="C2526" s="8" t="n">
        <v>1</v>
      </c>
      <c r="D2526" s="8" t="n">
        <v>35</v>
      </c>
      <c r="E2526" s="8" t="n">
        <v>0</v>
      </c>
      <c r="F2526" s="8" t="n">
        <v>0</v>
      </c>
    </row>
    <row r="2527" customFormat="false" ht="15" hidden="false" customHeight="true" outlineLevel="0" collapsed="false">
      <c r="A2527" s="8" t="s">
        <v>234</v>
      </c>
      <c r="B2527" s="8" t="s">
        <v>769</v>
      </c>
      <c r="C2527" s="8" t="n">
        <v>2</v>
      </c>
      <c r="D2527" s="8" t="n">
        <v>34</v>
      </c>
      <c r="E2527" s="8" t="n">
        <v>0</v>
      </c>
      <c r="F2527" s="8" t="n">
        <v>0</v>
      </c>
    </row>
    <row r="2528" customFormat="false" ht="15" hidden="false" customHeight="true" outlineLevel="0" collapsed="false">
      <c r="A2528" s="8" t="s">
        <v>328</v>
      </c>
      <c r="B2528" s="8" t="s">
        <v>769</v>
      </c>
      <c r="C2528" s="8" t="n">
        <v>3</v>
      </c>
      <c r="D2528" s="8" t="n">
        <v>51</v>
      </c>
      <c r="E2528" s="8" t="n">
        <v>0</v>
      </c>
      <c r="F2528" s="8" t="n">
        <v>0</v>
      </c>
    </row>
    <row r="2529" customFormat="false" ht="15" hidden="false" customHeight="true" outlineLevel="0" collapsed="false">
      <c r="A2529" s="8" t="s">
        <v>182</v>
      </c>
      <c r="B2529" s="8" t="s">
        <v>799</v>
      </c>
      <c r="C2529" s="8" t="n">
        <v>7</v>
      </c>
      <c r="D2529" s="8" t="n">
        <v>140</v>
      </c>
      <c r="E2529" s="8" t="n">
        <v>4</v>
      </c>
      <c r="F2529" s="8" t="n">
        <v>80</v>
      </c>
    </row>
    <row r="2530" customFormat="false" ht="15" hidden="false" customHeight="true" outlineLevel="0" collapsed="false">
      <c r="A2530" s="8" t="s">
        <v>274</v>
      </c>
      <c r="B2530" s="8" t="s">
        <v>1219</v>
      </c>
      <c r="C2530" s="8" t="n">
        <v>2</v>
      </c>
      <c r="D2530" s="8" t="n">
        <v>17.46</v>
      </c>
      <c r="E2530" s="8" t="n">
        <v>0</v>
      </c>
      <c r="F2530" s="8" t="n">
        <v>0</v>
      </c>
    </row>
    <row r="2531" customFormat="false" ht="15" hidden="false" customHeight="true" outlineLevel="0" collapsed="false">
      <c r="A2531" s="8" t="s">
        <v>170</v>
      </c>
      <c r="B2531" s="8" t="s">
        <v>1220</v>
      </c>
      <c r="C2531" s="8" t="n">
        <v>6</v>
      </c>
      <c r="D2531" s="8" t="n">
        <v>88.8</v>
      </c>
      <c r="E2531" s="8" t="n">
        <v>0</v>
      </c>
      <c r="F2531" s="8" t="n">
        <v>0</v>
      </c>
    </row>
    <row r="2532" customFormat="false" ht="15" hidden="false" customHeight="true" outlineLevel="0" collapsed="false">
      <c r="A2532" s="8" t="s">
        <v>167</v>
      </c>
      <c r="B2532" s="8" t="s">
        <v>1238</v>
      </c>
      <c r="C2532" s="8" t="n">
        <v>10</v>
      </c>
      <c r="D2532" s="8" t="n">
        <v>134</v>
      </c>
      <c r="E2532" s="8" t="n">
        <v>0</v>
      </c>
      <c r="F2532" s="8" t="n">
        <v>0</v>
      </c>
    </row>
    <row r="2533" customFormat="false" ht="15" hidden="false" customHeight="true" outlineLevel="0" collapsed="false">
      <c r="A2533" s="8" t="s">
        <v>252</v>
      </c>
      <c r="B2533" s="8" t="s">
        <v>1177</v>
      </c>
      <c r="C2533" s="8" t="n">
        <v>2</v>
      </c>
      <c r="D2533" s="8" t="n">
        <v>33.2</v>
      </c>
      <c r="E2533" s="8" t="n">
        <v>0</v>
      </c>
      <c r="F2533" s="8" t="n">
        <v>0</v>
      </c>
    </row>
    <row r="2534" customFormat="false" ht="15" hidden="false" customHeight="true" outlineLevel="0" collapsed="false">
      <c r="A2534" s="8" t="s">
        <v>203</v>
      </c>
      <c r="B2534" s="8" t="s">
        <v>1177</v>
      </c>
      <c r="C2534" s="8" t="n">
        <v>7</v>
      </c>
      <c r="D2534" s="8" t="n">
        <v>129.5</v>
      </c>
      <c r="E2534" s="8" t="n">
        <v>5</v>
      </c>
      <c r="F2534" s="8" t="n">
        <v>92.5</v>
      </c>
    </row>
    <row r="2535" customFormat="false" ht="15" hidden="false" customHeight="true" outlineLevel="0" collapsed="false">
      <c r="A2535" s="8" t="s">
        <v>211</v>
      </c>
      <c r="B2535" s="8" t="s">
        <v>1250</v>
      </c>
      <c r="C2535" s="8" t="n">
        <v>2</v>
      </c>
      <c r="D2535" s="8" t="n">
        <v>50</v>
      </c>
      <c r="E2535" s="8" t="n">
        <v>5</v>
      </c>
      <c r="F2535" s="8" t="n">
        <v>125</v>
      </c>
    </row>
    <row r="2536" customFormat="false" ht="15" hidden="false" customHeight="true" outlineLevel="0" collapsed="false">
      <c r="A2536" s="8" t="s">
        <v>196</v>
      </c>
      <c r="B2536" s="8" t="s">
        <v>1243</v>
      </c>
      <c r="C2536" s="8" t="n">
        <v>3</v>
      </c>
      <c r="D2536" s="8" t="n">
        <v>160.5</v>
      </c>
      <c r="E2536" s="8" t="n">
        <v>2</v>
      </c>
      <c r="F2536" s="8" t="n">
        <v>107</v>
      </c>
    </row>
    <row r="2537" customFormat="false" ht="15" hidden="false" customHeight="true" outlineLevel="0" collapsed="false">
      <c r="A2537" s="8" t="s">
        <v>212</v>
      </c>
      <c r="B2537" s="8" t="s">
        <v>1278</v>
      </c>
      <c r="C2537" s="8" t="n">
        <v>1</v>
      </c>
      <c r="D2537" s="8" t="n">
        <v>93.5</v>
      </c>
      <c r="E2537" s="8" t="n">
        <v>2</v>
      </c>
      <c r="F2537" s="8" t="n">
        <v>187</v>
      </c>
    </row>
    <row r="2538" customFormat="false" ht="15" hidden="false" customHeight="true" outlineLevel="0" collapsed="false">
      <c r="A2538" s="8" t="s">
        <v>226</v>
      </c>
      <c r="B2538" s="8" t="s">
        <v>566</v>
      </c>
      <c r="C2538" s="8" t="n">
        <v>2</v>
      </c>
      <c r="D2538" s="8" t="n">
        <v>41.6</v>
      </c>
      <c r="E2538" s="8" t="n">
        <v>2</v>
      </c>
      <c r="F2538" s="8" t="n">
        <v>41.6</v>
      </c>
    </row>
    <row r="2539" customFormat="false" ht="15" hidden="false" customHeight="true" outlineLevel="0" collapsed="false">
      <c r="A2539" s="8" t="s">
        <v>340</v>
      </c>
      <c r="B2539" s="8" t="s">
        <v>1267</v>
      </c>
      <c r="C2539" s="8" t="n">
        <v>1</v>
      </c>
      <c r="D2539" s="8" t="n">
        <v>128.71</v>
      </c>
      <c r="E2539" s="8" t="n">
        <v>1</v>
      </c>
      <c r="F2539" s="8" t="n">
        <v>128.71</v>
      </c>
    </row>
    <row r="2540" customFormat="false" ht="15" hidden="false" customHeight="true" outlineLevel="0" collapsed="false">
      <c r="A2540" s="8" t="s">
        <v>284</v>
      </c>
      <c r="B2540" s="8" t="s">
        <v>1267</v>
      </c>
      <c r="C2540" s="8" t="n">
        <v>0</v>
      </c>
      <c r="D2540" s="8" t="n">
        <v>0</v>
      </c>
      <c r="E2540" s="8" t="n">
        <v>1</v>
      </c>
      <c r="F2540" s="8" t="n">
        <v>128.71</v>
      </c>
    </row>
    <row r="2541" customFormat="false" ht="15" hidden="false" customHeight="true" outlineLevel="0" collapsed="false">
      <c r="A2541" s="8" t="s">
        <v>162</v>
      </c>
      <c r="B2541" s="8" t="s">
        <v>1209</v>
      </c>
      <c r="C2541" s="8" t="n">
        <v>1</v>
      </c>
      <c r="D2541" s="8" t="n">
        <v>77.8</v>
      </c>
      <c r="E2541" s="8" t="n">
        <v>0</v>
      </c>
      <c r="F2541" s="8" t="n">
        <v>0</v>
      </c>
    </row>
    <row r="2542" customFormat="false" ht="15" hidden="false" customHeight="true" outlineLevel="0" collapsed="false">
      <c r="A2542" s="8" t="s">
        <v>186</v>
      </c>
      <c r="B2542" s="8" t="s">
        <v>1225</v>
      </c>
      <c r="C2542" s="8" t="n">
        <v>2</v>
      </c>
      <c r="D2542" s="8" t="n">
        <v>57.86</v>
      </c>
      <c r="E2542" s="8" t="n">
        <v>0</v>
      </c>
      <c r="F2542" s="8" t="n">
        <v>0</v>
      </c>
    </row>
    <row r="2543" customFormat="false" ht="15" hidden="false" customHeight="true" outlineLevel="0" collapsed="false">
      <c r="A2543" s="8" t="s">
        <v>278</v>
      </c>
      <c r="B2543" s="8" t="s">
        <v>1225</v>
      </c>
      <c r="C2543" s="8" t="n">
        <v>2</v>
      </c>
      <c r="D2543" s="8" t="n">
        <v>57.86</v>
      </c>
      <c r="E2543" s="8" t="n">
        <v>0</v>
      </c>
      <c r="F2543" s="8" t="n">
        <v>0</v>
      </c>
    </row>
    <row r="2544" customFormat="false" ht="15" hidden="false" customHeight="true" outlineLevel="0" collapsed="false">
      <c r="A2544" s="8" t="s">
        <v>238</v>
      </c>
      <c r="B2544" s="8" t="s">
        <v>1226</v>
      </c>
      <c r="C2544" s="8" t="n">
        <v>1</v>
      </c>
      <c r="D2544" s="8" t="n">
        <v>42.17</v>
      </c>
      <c r="E2544" s="8" t="n">
        <v>0</v>
      </c>
      <c r="F2544" s="8" t="n">
        <v>0</v>
      </c>
    </row>
    <row r="2545" customFormat="false" ht="15" hidden="false" customHeight="true" outlineLevel="0" collapsed="false">
      <c r="A2545" s="8" t="s">
        <v>308</v>
      </c>
      <c r="B2545" s="8" t="s">
        <v>1229</v>
      </c>
      <c r="C2545" s="8" t="n">
        <v>4</v>
      </c>
      <c r="D2545" s="8" t="n">
        <v>32.32</v>
      </c>
      <c r="E2545" s="8" t="n">
        <v>0</v>
      </c>
      <c r="F2545" s="8" t="n">
        <v>0</v>
      </c>
    </row>
    <row r="2546" customFormat="false" ht="15" hidden="false" customHeight="true" outlineLevel="0" collapsed="false">
      <c r="A2546" s="8" t="s">
        <v>213</v>
      </c>
      <c r="B2546" s="8" t="s">
        <v>1232</v>
      </c>
      <c r="C2546" s="8" t="n">
        <v>4</v>
      </c>
      <c r="D2546" s="8" t="n">
        <v>110.2</v>
      </c>
      <c r="E2546" s="8" t="n">
        <v>0</v>
      </c>
      <c r="F2546" s="8" t="n">
        <v>0</v>
      </c>
    </row>
    <row r="2547" customFormat="false" ht="15" hidden="false" customHeight="true" outlineLevel="0" collapsed="false">
      <c r="A2547" s="8" t="s">
        <v>281</v>
      </c>
      <c r="B2547" s="8" t="s">
        <v>1254</v>
      </c>
      <c r="C2547" s="8" t="n">
        <v>2</v>
      </c>
      <c r="D2547" s="8" t="n">
        <v>27.68</v>
      </c>
      <c r="E2547" s="8" t="n">
        <v>0</v>
      </c>
      <c r="F2547" s="8" t="n">
        <v>0</v>
      </c>
    </row>
    <row r="2548" customFormat="false" ht="15" hidden="false" customHeight="true" outlineLevel="0" collapsed="false">
      <c r="A2548" s="8" t="s">
        <v>232</v>
      </c>
      <c r="B2548" s="8" t="s">
        <v>1233</v>
      </c>
      <c r="C2548" s="8" t="n">
        <v>4</v>
      </c>
      <c r="D2548" s="8" t="n">
        <v>64.8</v>
      </c>
      <c r="E2548" s="8" t="n">
        <v>0</v>
      </c>
      <c r="F2548" s="8" t="n">
        <v>0</v>
      </c>
    </row>
    <row r="2549" customFormat="false" ht="15" hidden="false" customHeight="true" outlineLevel="0" collapsed="false">
      <c r="A2549" s="8" t="s">
        <v>215</v>
      </c>
      <c r="B2549" s="8" t="s">
        <v>1233</v>
      </c>
      <c r="C2549" s="8" t="n">
        <v>2</v>
      </c>
      <c r="D2549" s="8" t="n">
        <v>35.64</v>
      </c>
      <c r="E2549" s="8" t="n">
        <v>0</v>
      </c>
      <c r="F2549" s="8" t="n">
        <v>0</v>
      </c>
    </row>
    <row r="2550" customFormat="false" ht="15" hidden="false" customHeight="true" outlineLevel="0" collapsed="false">
      <c r="A2550" s="8" t="s">
        <v>193</v>
      </c>
      <c r="B2550" s="8" t="s">
        <v>1217</v>
      </c>
      <c r="C2550" s="8" t="n">
        <v>2</v>
      </c>
      <c r="D2550" s="8" t="n">
        <v>41</v>
      </c>
      <c r="E2550" s="8" t="n">
        <v>0</v>
      </c>
      <c r="F2550" s="8" t="n">
        <v>0</v>
      </c>
    </row>
    <row r="2551" customFormat="false" ht="15" hidden="false" customHeight="true" outlineLevel="0" collapsed="false">
      <c r="A2551" s="8" t="s">
        <v>205</v>
      </c>
      <c r="B2551" s="8" t="s">
        <v>1217</v>
      </c>
      <c r="C2551" s="8" t="n">
        <v>2</v>
      </c>
      <c r="D2551" s="8" t="n">
        <v>41</v>
      </c>
      <c r="E2551" s="8" t="n">
        <v>0</v>
      </c>
      <c r="F2551" s="8" t="n">
        <v>0</v>
      </c>
    </row>
    <row r="2552" customFormat="false" ht="15" hidden="false" customHeight="true" outlineLevel="0" collapsed="false">
      <c r="A2552" s="8" t="s">
        <v>235</v>
      </c>
      <c r="B2552" s="8" t="s">
        <v>1236</v>
      </c>
      <c r="C2552" s="8" t="n">
        <v>3</v>
      </c>
      <c r="D2552" s="8" t="n">
        <v>105</v>
      </c>
      <c r="E2552" s="8" t="n">
        <v>0</v>
      </c>
      <c r="F2552" s="8" t="n">
        <v>0</v>
      </c>
    </row>
    <row r="2553" customFormat="false" ht="15" hidden="false" customHeight="true" outlineLevel="0" collapsed="false">
      <c r="A2553" s="8" t="s">
        <v>185</v>
      </c>
      <c r="B2553" s="8" t="s">
        <v>1218</v>
      </c>
      <c r="C2553" s="8" t="n">
        <v>3</v>
      </c>
      <c r="D2553" s="8" t="n">
        <v>379.5</v>
      </c>
      <c r="E2553" s="8" t="n">
        <v>0</v>
      </c>
      <c r="F2553" s="8" t="n">
        <v>0</v>
      </c>
    </row>
    <row r="2554" customFormat="false" ht="15" hidden="false" customHeight="true" outlineLevel="0" collapsed="false">
      <c r="A2554" s="8" t="s">
        <v>182</v>
      </c>
      <c r="B2554" s="8" t="s">
        <v>799</v>
      </c>
      <c r="C2554" s="8" t="n">
        <v>2</v>
      </c>
      <c r="D2554" s="8" t="n">
        <v>40</v>
      </c>
      <c r="E2554" s="8" t="n">
        <v>0</v>
      </c>
      <c r="F2554" s="8" t="n">
        <v>0</v>
      </c>
    </row>
    <row r="2555" customFormat="false" ht="15" hidden="false" customHeight="true" outlineLevel="0" collapsed="false">
      <c r="A2555" s="8" t="s">
        <v>323</v>
      </c>
      <c r="B2555" s="8" t="s">
        <v>875</v>
      </c>
      <c r="C2555" s="8" t="n">
        <v>3</v>
      </c>
      <c r="D2555" s="8" t="n">
        <v>47.73</v>
      </c>
      <c r="E2555" s="8" t="n">
        <v>0</v>
      </c>
      <c r="F2555" s="8" t="n">
        <v>0</v>
      </c>
    </row>
    <row r="2556" customFormat="false" ht="15" hidden="false" customHeight="true" outlineLevel="0" collapsed="false">
      <c r="A2556" s="8" t="s">
        <v>165</v>
      </c>
      <c r="B2556" s="8" t="s">
        <v>897</v>
      </c>
      <c r="C2556" s="8" t="n">
        <v>0</v>
      </c>
      <c r="D2556" s="8" t="n">
        <v>0</v>
      </c>
      <c r="E2556" s="8" t="n">
        <v>1</v>
      </c>
      <c r="F2556" s="8" t="n">
        <v>65</v>
      </c>
    </row>
    <row r="2557" customFormat="false" ht="15" hidden="false" customHeight="true" outlineLevel="0" collapsed="false">
      <c r="A2557" s="8" t="s">
        <v>221</v>
      </c>
      <c r="B2557" s="8" t="s">
        <v>1179</v>
      </c>
      <c r="C2557" s="8" t="n">
        <v>1</v>
      </c>
      <c r="D2557" s="8" t="n">
        <v>72.34</v>
      </c>
      <c r="E2557" s="8" t="n">
        <v>0</v>
      </c>
      <c r="F2557" s="8" t="n">
        <v>0</v>
      </c>
    </row>
    <row r="2558" customFormat="false" ht="15" hidden="false" customHeight="true" outlineLevel="0" collapsed="false">
      <c r="A2558" s="8" t="s">
        <v>183</v>
      </c>
      <c r="B2558" s="8" t="s">
        <v>1224</v>
      </c>
      <c r="C2558" s="8" t="n">
        <v>0</v>
      </c>
      <c r="D2558" s="8" t="n">
        <v>0</v>
      </c>
      <c r="E2558" s="8" t="n">
        <v>1</v>
      </c>
      <c r="F2558" s="8" t="n">
        <v>24.43</v>
      </c>
    </row>
    <row r="2559" customFormat="false" ht="15" hidden="false" customHeight="true" outlineLevel="0" collapsed="false">
      <c r="A2559" s="8" t="s">
        <v>161</v>
      </c>
      <c r="B2559" s="8" t="s">
        <v>1208</v>
      </c>
      <c r="C2559" s="8" t="n">
        <v>5</v>
      </c>
      <c r="D2559" s="8" t="n">
        <v>227.5</v>
      </c>
      <c r="E2559" s="8" t="n">
        <v>1</v>
      </c>
      <c r="F2559" s="8" t="n">
        <v>45.5</v>
      </c>
    </row>
    <row r="2560" customFormat="false" ht="15" hidden="false" customHeight="true" outlineLevel="0" collapsed="false">
      <c r="A2560" s="8" t="s">
        <v>162</v>
      </c>
      <c r="B2560" s="8" t="s">
        <v>1209</v>
      </c>
      <c r="C2560" s="8" t="n">
        <v>0</v>
      </c>
      <c r="D2560" s="8" t="n">
        <v>0</v>
      </c>
      <c r="E2560" s="8" t="n">
        <v>1</v>
      </c>
      <c r="F2560" s="8" t="n">
        <v>77.8</v>
      </c>
    </row>
    <row r="2561" customFormat="false" ht="15" hidden="false" customHeight="true" outlineLevel="0" collapsed="false">
      <c r="A2561" s="8" t="s">
        <v>166</v>
      </c>
      <c r="B2561" s="8" t="s">
        <v>1211</v>
      </c>
      <c r="C2561" s="8" t="n">
        <v>2</v>
      </c>
      <c r="D2561" s="8" t="n">
        <v>126.54</v>
      </c>
      <c r="E2561" s="8" t="n">
        <v>0</v>
      </c>
      <c r="F2561" s="8" t="n">
        <v>0</v>
      </c>
    </row>
    <row r="2562" customFormat="false" ht="15" hidden="false" customHeight="true" outlineLevel="0" collapsed="false">
      <c r="A2562" s="8" t="s">
        <v>164</v>
      </c>
      <c r="B2562" s="8" t="s">
        <v>1211</v>
      </c>
      <c r="C2562" s="8" t="n">
        <v>1</v>
      </c>
      <c r="D2562" s="8" t="n">
        <v>63.27</v>
      </c>
      <c r="E2562" s="8" t="n">
        <v>0</v>
      </c>
      <c r="F2562" s="8" t="n">
        <v>0</v>
      </c>
    </row>
    <row r="2563" customFormat="false" ht="15" hidden="false" customHeight="true" outlineLevel="0" collapsed="false">
      <c r="A2563" s="8" t="s">
        <v>270</v>
      </c>
      <c r="B2563" s="8" t="s">
        <v>1251</v>
      </c>
      <c r="C2563" s="8" t="n">
        <v>3</v>
      </c>
      <c r="D2563" s="8" t="n">
        <v>29.46</v>
      </c>
      <c r="E2563" s="8" t="n">
        <v>0</v>
      </c>
      <c r="F2563" s="8" t="n">
        <v>0</v>
      </c>
    </row>
    <row r="2564" customFormat="false" ht="15" hidden="false" customHeight="true" outlineLevel="0" collapsed="false">
      <c r="A2564" s="8" t="s">
        <v>307</v>
      </c>
      <c r="B2564" s="8" t="s">
        <v>1252</v>
      </c>
      <c r="C2564" s="8" t="n">
        <v>0</v>
      </c>
      <c r="D2564" s="8" t="n">
        <v>0</v>
      </c>
      <c r="E2564" s="8" t="n">
        <v>4</v>
      </c>
      <c r="F2564" s="8" t="n">
        <v>57.12</v>
      </c>
    </row>
    <row r="2565" customFormat="false" ht="15" hidden="false" customHeight="true" outlineLevel="0" collapsed="false">
      <c r="A2565" s="8" t="s">
        <v>263</v>
      </c>
      <c r="B2565" s="8" t="s">
        <v>407</v>
      </c>
      <c r="C2565" s="8" t="n">
        <v>5</v>
      </c>
      <c r="D2565" s="8" t="n">
        <v>64.1</v>
      </c>
      <c r="E2565" s="8" t="n">
        <v>0</v>
      </c>
      <c r="F2565" s="8" t="n">
        <v>0</v>
      </c>
    </row>
    <row r="2566" customFormat="false" ht="15" hidden="false" customHeight="true" outlineLevel="0" collapsed="false">
      <c r="A2566" s="8" t="s">
        <v>186</v>
      </c>
      <c r="B2566" s="8" t="s">
        <v>1225</v>
      </c>
      <c r="C2566" s="8" t="n">
        <v>3</v>
      </c>
      <c r="D2566" s="8" t="n">
        <v>86.79</v>
      </c>
      <c r="E2566" s="8" t="n">
        <v>0</v>
      </c>
      <c r="F2566" s="8" t="n">
        <v>0</v>
      </c>
    </row>
    <row r="2567" customFormat="false" ht="15" hidden="false" customHeight="true" outlineLevel="0" collapsed="false">
      <c r="A2567" s="8" t="s">
        <v>241</v>
      </c>
      <c r="B2567" s="8" t="s">
        <v>1227</v>
      </c>
      <c r="C2567" s="8" t="n">
        <v>2</v>
      </c>
      <c r="D2567" s="8" t="n">
        <v>34</v>
      </c>
      <c r="E2567" s="8" t="n">
        <v>0</v>
      </c>
      <c r="F2567" s="8" t="n">
        <v>0</v>
      </c>
    </row>
    <row r="2568" customFormat="false" ht="15" hidden="false" customHeight="true" outlineLevel="0" collapsed="false">
      <c r="A2568" s="8" t="s">
        <v>292</v>
      </c>
      <c r="B2568" s="8" t="s">
        <v>1227</v>
      </c>
      <c r="C2568" s="8" t="n">
        <v>0</v>
      </c>
      <c r="D2568" s="8" t="n">
        <v>0</v>
      </c>
      <c r="E2568" s="8" t="n">
        <v>1</v>
      </c>
      <c r="F2568" s="8" t="n">
        <v>17</v>
      </c>
    </row>
    <row r="2569" customFormat="false" ht="15" hidden="false" customHeight="true" outlineLevel="0" collapsed="false">
      <c r="A2569" s="8" t="s">
        <v>223</v>
      </c>
      <c r="B2569" s="8" t="s">
        <v>1227</v>
      </c>
      <c r="C2569" s="8" t="n">
        <v>0</v>
      </c>
      <c r="D2569" s="8" t="n">
        <v>0</v>
      </c>
      <c r="E2569" s="8" t="n">
        <v>1</v>
      </c>
      <c r="F2569" s="8" t="n">
        <v>17</v>
      </c>
    </row>
    <row r="2570" customFormat="false" ht="15" hidden="false" customHeight="true" outlineLevel="0" collapsed="false">
      <c r="A2570" s="8" t="s">
        <v>172</v>
      </c>
      <c r="B2570" s="8" t="s">
        <v>1214</v>
      </c>
      <c r="C2570" s="8" t="n">
        <v>0</v>
      </c>
      <c r="D2570" s="8" t="n">
        <v>0</v>
      </c>
      <c r="E2570" s="8" t="n">
        <v>1</v>
      </c>
      <c r="F2570" s="8" t="n">
        <v>12.18</v>
      </c>
    </row>
    <row r="2571" customFormat="false" ht="15" hidden="false" customHeight="true" outlineLevel="0" collapsed="false">
      <c r="A2571" s="8" t="s">
        <v>242</v>
      </c>
      <c r="B2571" s="8" t="s">
        <v>1230</v>
      </c>
      <c r="C2571" s="8" t="n">
        <v>1</v>
      </c>
      <c r="D2571" s="8" t="n">
        <v>38.7</v>
      </c>
      <c r="E2571" s="8" t="n">
        <v>0</v>
      </c>
      <c r="F2571" s="8" t="n">
        <v>0</v>
      </c>
    </row>
    <row r="2572" customFormat="false" ht="15" hidden="false" customHeight="true" outlineLevel="0" collapsed="false">
      <c r="A2572" s="8" t="s">
        <v>180</v>
      </c>
      <c r="B2572" s="8" t="s">
        <v>1216</v>
      </c>
      <c r="C2572" s="8" t="n">
        <v>2</v>
      </c>
      <c r="D2572" s="8" t="n">
        <v>33</v>
      </c>
      <c r="E2572" s="8" t="n">
        <v>0</v>
      </c>
      <c r="F2572" s="8" t="n">
        <v>0</v>
      </c>
    </row>
    <row r="2573" customFormat="false" ht="15" hidden="false" customHeight="true" outlineLevel="0" collapsed="false">
      <c r="A2573" s="8" t="s">
        <v>189</v>
      </c>
      <c r="B2573" s="8" t="s">
        <v>1216</v>
      </c>
      <c r="C2573" s="8" t="n">
        <v>2</v>
      </c>
      <c r="D2573" s="8" t="n">
        <v>33</v>
      </c>
      <c r="E2573" s="8" t="n">
        <v>0</v>
      </c>
      <c r="F2573" s="8" t="n">
        <v>0</v>
      </c>
    </row>
    <row r="2574" customFormat="false" ht="15" hidden="false" customHeight="true" outlineLevel="0" collapsed="false">
      <c r="A2574" s="8" t="s">
        <v>267</v>
      </c>
      <c r="B2574" s="8" t="s">
        <v>1216</v>
      </c>
      <c r="C2574" s="8" t="n">
        <v>1</v>
      </c>
      <c r="D2574" s="8" t="n">
        <v>16.5</v>
      </c>
      <c r="E2574" s="8" t="n">
        <v>0</v>
      </c>
      <c r="F2574" s="8" t="n">
        <v>0</v>
      </c>
    </row>
    <row r="2575" customFormat="false" ht="15" hidden="false" customHeight="true" outlineLevel="0" collapsed="false">
      <c r="A2575" s="8" t="s">
        <v>176</v>
      </c>
      <c r="B2575" s="8" t="s">
        <v>1236</v>
      </c>
      <c r="C2575" s="8" t="n">
        <v>1</v>
      </c>
      <c r="D2575" s="8" t="n">
        <v>35</v>
      </c>
      <c r="E2575" s="8" t="n">
        <v>0</v>
      </c>
      <c r="F2575" s="8" t="n">
        <v>0</v>
      </c>
    </row>
    <row r="2576" customFormat="false" ht="15" hidden="false" customHeight="true" outlineLevel="0" collapsed="false">
      <c r="A2576" s="8" t="s">
        <v>179</v>
      </c>
      <c r="B2576" s="8" t="s">
        <v>1218</v>
      </c>
      <c r="C2576" s="8" t="n">
        <v>1</v>
      </c>
      <c r="D2576" s="8" t="n">
        <v>126.5</v>
      </c>
      <c r="E2576" s="8" t="n">
        <v>0</v>
      </c>
      <c r="F2576" s="8" t="n">
        <v>0</v>
      </c>
    </row>
    <row r="2577" customFormat="false" ht="15" hidden="false" customHeight="true" outlineLevel="0" collapsed="false">
      <c r="A2577" s="8" t="s">
        <v>185</v>
      </c>
      <c r="B2577" s="8" t="s">
        <v>1218</v>
      </c>
      <c r="C2577" s="8" t="n">
        <v>2</v>
      </c>
      <c r="D2577" s="8" t="n">
        <v>253</v>
      </c>
      <c r="E2577" s="8" t="n">
        <v>0</v>
      </c>
      <c r="F2577" s="8" t="n">
        <v>0</v>
      </c>
    </row>
    <row r="2578" customFormat="false" ht="15" hidden="false" customHeight="true" outlineLevel="0" collapsed="false">
      <c r="A2578" s="8" t="s">
        <v>182</v>
      </c>
      <c r="B2578" s="8" t="s">
        <v>799</v>
      </c>
      <c r="C2578" s="8" t="n">
        <v>0</v>
      </c>
      <c r="D2578" s="8" t="n">
        <v>0</v>
      </c>
      <c r="E2578" s="8" t="n">
        <v>1</v>
      </c>
      <c r="F2578" s="8" t="n">
        <v>20</v>
      </c>
    </row>
    <row r="2579" customFormat="false" ht="15" hidden="false" customHeight="true" outlineLevel="0" collapsed="false">
      <c r="A2579" s="8" t="s">
        <v>170</v>
      </c>
      <c r="B2579" s="8" t="s">
        <v>1220</v>
      </c>
      <c r="C2579" s="8" t="n">
        <v>12</v>
      </c>
      <c r="D2579" s="8" t="n">
        <v>177.6</v>
      </c>
      <c r="E2579" s="8" t="n">
        <v>0</v>
      </c>
      <c r="F2579" s="8" t="n">
        <v>0</v>
      </c>
    </row>
    <row r="2580" customFormat="false" ht="15" hidden="false" customHeight="true" outlineLevel="0" collapsed="false">
      <c r="A2580" s="8" t="s">
        <v>220</v>
      </c>
      <c r="B2580" s="8" t="s">
        <v>1248</v>
      </c>
      <c r="C2580" s="8" t="n">
        <v>0</v>
      </c>
      <c r="D2580" s="8" t="n">
        <v>0</v>
      </c>
      <c r="E2580" s="8" t="n">
        <v>10</v>
      </c>
      <c r="F2580" s="8" t="n">
        <v>104</v>
      </c>
    </row>
    <row r="2581" customFormat="false" ht="15" hidden="false" customHeight="true" outlineLevel="0" collapsed="false">
      <c r="A2581" s="8" t="s">
        <v>275</v>
      </c>
      <c r="B2581" s="8" t="s">
        <v>1257</v>
      </c>
      <c r="C2581" s="8" t="n">
        <v>2</v>
      </c>
      <c r="D2581" s="8" t="n">
        <v>43.2</v>
      </c>
      <c r="E2581" s="8" t="n">
        <v>0</v>
      </c>
      <c r="F2581" s="8" t="n">
        <v>0</v>
      </c>
    </row>
    <row r="2582" customFormat="false" ht="15" hidden="false" customHeight="true" outlineLevel="0" collapsed="false">
      <c r="A2582" s="8" t="s">
        <v>264</v>
      </c>
      <c r="B2582" s="8" t="s">
        <v>1221</v>
      </c>
      <c r="C2582" s="8" t="n">
        <v>18</v>
      </c>
      <c r="D2582" s="8" t="n">
        <v>104.58</v>
      </c>
      <c r="E2582" s="8" t="n">
        <v>0</v>
      </c>
      <c r="F2582" s="8" t="n">
        <v>0</v>
      </c>
    </row>
    <row r="2583" customFormat="false" ht="15" hidden="false" customHeight="true" outlineLevel="0" collapsed="false">
      <c r="A2583" s="8" t="s">
        <v>258</v>
      </c>
      <c r="B2583" s="8" t="s">
        <v>562</v>
      </c>
      <c r="C2583" s="8" t="n">
        <v>1</v>
      </c>
      <c r="D2583" s="8" t="n">
        <v>36</v>
      </c>
      <c r="E2583" s="8" t="n">
        <v>0</v>
      </c>
      <c r="F2583" s="8" t="n">
        <v>0</v>
      </c>
    </row>
    <row r="2584" customFormat="false" ht="15" hidden="false" customHeight="true" outlineLevel="0" collapsed="false">
      <c r="A2584" s="8" t="s">
        <v>203</v>
      </c>
      <c r="B2584" s="8" t="s">
        <v>1177</v>
      </c>
      <c r="C2584" s="8" t="n">
        <v>2</v>
      </c>
      <c r="D2584" s="8" t="n">
        <v>37</v>
      </c>
      <c r="E2584" s="8" t="n">
        <v>0</v>
      </c>
      <c r="F2584" s="8" t="n">
        <v>0</v>
      </c>
    </row>
    <row r="2585" customFormat="false" ht="15" hidden="false" customHeight="true" outlineLevel="0" collapsed="false">
      <c r="A2585" s="8" t="s">
        <v>211</v>
      </c>
      <c r="B2585" s="8" t="s">
        <v>1250</v>
      </c>
      <c r="C2585" s="8" t="n">
        <v>1</v>
      </c>
      <c r="D2585" s="8" t="n">
        <v>25</v>
      </c>
      <c r="E2585" s="8" t="n">
        <v>0</v>
      </c>
      <c r="F2585" s="8" t="n">
        <v>0</v>
      </c>
    </row>
    <row r="2586" customFormat="false" ht="15" hidden="false" customHeight="true" outlineLevel="0" collapsed="false">
      <c r="A2586" s="8" t="s">
        <v>197</v>
      </c>
      <c r="B2586" s="8" t="s">
        <v>1222</v>
      </c>
      <c r="C2586" s="8" t="n">
        <v>0</v>
      </c>
      <c r="D2586" s="8" t="n">
        <v>0</v>
      </c>
      <c r="E2586" s="8" t="n">
        <v>2</v>
      </c>
      <c r="F2586" s="8" t="n">
        <v>130</v>
      </c>
    </row>
    <row r="2587" customFormat="false" ht="15" hidden="false" customHeight="true" outlineLevel="0" collapsed="false">
      <c r="A2587" s="8" t="s">
        <v>253</v>
      </c>
      <c r="B2587" s="8" t="s">
        <v>1222</v>
      </c>
      <c r="C2587" s="8" t="n">
        <v>0</v>
      </c>
      <c r="D2587" s="8" t="n">
        <v>0</v>
      </c>
      <c r="E2587" s="8" t="n">
        <v>1</v>
      </c>
      <c r="F2587" s="8" t="n">
        <v>65</v>
      </c>
    </row>
    <row r="2588" customFormat="false" ht="15" hidden="false" customHeight="true" outlineLevel="0" collapsed="false">
      <c r="A2588" s="8" t="s">
        <v>207</v>
      </c>
      <c r="B2588" s="8" t="s">
        <v>1222</v>
      </c>
      <c r="C2588" s="8" t="n">
        <v>0</v>
      </c>
      <c r="D2588" s="8" t="n">
        <v>0</v>
      </c>
      <c r="E2588" s="8" t="n">
        <v>1</v>
      </c>
      <c r="F2588" s="8" t="n">
        <v>65</v>
      </c>
    </row>
    <row r="2589" customFormat="false" ht="15" hidden="false" customHeight="true" outlineLevel="0" collapsed="false">
      <c r="A2589" s="8" t="s">
        <v>175</v>
      </c>
      <c r="B2589" s="8" t="s">
        <v>1244</v>
      </c>
      <c r="C2589" s="8" t="n">
        <v>2</v>
      </c>
      <c r="D2589" s="8" t="n">
        <v>351</v>
      </c>
      <c r="E2589" s="8" t="n">
        <v>0</v>
      </c>
      <c r="F2589" s="8" t="n">
        <v>0</v>
      </c>
    </row>
    <row r="2590" customFormat="false" ht="15" hidden="false" customHeight="true" outlineLevel="0" collapsed="false">
      <c r="A2590" s="8" t="s">
        <v>221</v>
      </c>
      <c r="B2590" s="8" t="s">
        <v>1179</v>
      </c>
      <c r="C2590" s="8" t="n">
        <v>1</v>
      </c>
      <c r="D2590" s="8" t="n">
        <v>72.34</v>
      </c>
      <c r="E2590" s="8" t="n">
        <v>0</v>
      </c>
      <c r="F2590" s="8" t="n">
        <v>0</v>
      </c>
    </row>
    <row r="2591" customFormat="false" ht="15" hidden="false" customHeight="true" outlineLevel="0" collapsed="false">
      <c r="A2591" s="8" t="s">
        <v>191</v>
      </c>
      <c r="B2591" s="8" t="s">
        <v>1179</v>
      </c>
      <c r="C2591" s="8" t="n">
        <v>0</v>
      </c>
      <c r="D2591" s="8" t="n">
        <v>0</v>
      </c>
      <c r="E2591" s="8" t="n">
        <v>2</v>
      </c>
      <c r="F2591" s="8" t="n">
        <v>144.68</v>
      </c>
    </row>
    <row r="2592" customFormat="false" ht="15" hidden="false" customHeight="true" outlineLevel="0" collapsed="false">
      <c r="A2592" s="8" t="s">
        <v>236</v>
      </c>
      <c r="B2592" s="8" t="s">
        <v>1223</v>
      </c>
      <c r="C2592" s="8" t="n">
        <v>1</v>
      </c>
      <c r="D2592" s="8" t="n">
        <v>77.8</v>
      </c>
      <c r="E2592" s="8" t="n">
        <v>0</v>
      </c>
      <c r="F2592" s="8" t="n">
        <v>0</v>
      </c>
    </row>
    <row r="2593" customFormat="false" ht="15" hidden="false" customHeight="true" outlineLevel="0" collapsed="false">
      <c r="A2593" s="8" t="s">
        <v>190</v>
      </c>
      <c r="B2593" s="8" t="s">
        <v>1224</v>
      </c>
      <c r="C2593" s="8" t="n">
        <v>0</v>
      </c>
      <c r="D2593" s="8" t="n">
        <v>0</v>
      </c>
      <c r="E2593" s="8" t="n">
        <v>4</v>
      </c>
      <c r="F2593" s="8" t="n">
        <v>97.72</v>
      </c>
    </row>
    <row r="2594" customFormat="false" ht="15" hidden="false" customHeight="true" outlineLevel="0" collapsed="false">
      <c r="A2594" s="8" t="s">
        <v>183</v>
      </c>
      <c r="B2594" s="8" t="s">
        <v>1224</v>
      </c>
      <c r="C2594" s="8" t="n">
        <v>10</v>
      </c>
      <c r="D2594" s="8" t="n">
        <v>244.3</v>
      </c>
      <c r="E2594" s="8" t="n">
        <v>2</v>
      </c>
      <c r="F2594" s="8" t="n">
        <v>48.86</v>
      </c>
    </row>
    <row r="2595" customFormat="false" ht="15" hidden="false" customHeight="true" outlineLevel="0" collapsed="false">
      <c r="A2595" s="8" t="s">
        <v>218</v>
      </c>
      <c r="B2595" s="8" t="s">
        <v>1224</v>
      </c>
      <c r="C2595" s="8" t="n">
        <v>7</v>
      </c>
      <c r="D2595" s="8" t="n">
        <v>171.01</v>
      </c>
      <c r="E2595" s="8" t="n">
        <v>0</v>
      </c>
      <c r="F2595" s="8" t="n">
        <v>0</v>
      </c>
    </row>
    <row r="2596" customFormat="false" ht="15" hidden="false" customHeight="true" outlineLevel="0" collapsed="false">
      <c r="A2596" s="8" t="s">
        <v>231</v>
      </c>
      <c r="B2596" s="8" t="s">
        <v>1224</v>
      </c>
      <c r="C2596" s="8" t="n">
        <v>6</v>
      </c>
      <c r="D2596" s="8" t="n">
        <v>146.58</v>
      </c>
      <c r="E2596" s="8" t="n">
        <v>1</v>
      </c>
      <c r="F2596" s="8" t="n">
        <v>24.43</v>
      </c>
    </row>
    <row r="2597" customFormat="false" ht="15" hidden="false" customHeight="true" outlineLevel="0" collapsed="false">
      <c r="A2597" s="8" t="s">
        <v>161</v>
      </c>
      <c r="B2597" s="8" t="s">
        <v>1208</v>
      </c>
      <c r="C2597" s="8" t="n">
        <v>4</v>
      </c>
      <c r="D2597" s="8" t="n">
        <v>182</v>
      </c>
      <c r="E2597" s="8" t="n">
        <v>0</v>
      </c>
      <c r="F2597" s="8" t="n">
        <v>0</v>
      </c>
    </row>
    <row r="2598" customFormat="false" ht="15" hidden="false" customHeight="true" outlineLevel="0" collapsed="false">
      <c r="A2598" s="8" t="s">
        <v>162</v>
      </c>
      <c r="B2598" s="8" t="s">
        <v>1209</v>
      </c>
      <c r="C2598" s="8" t="n">
        <v>7</v>
      </c>
      <c r="D2598" s="8" t="n">
        <v>544.6</v>
      </c>
      <c r="E2598" s="8" t="n">
        <v>0</v>
      </c>
      <c r="F2598" s="8" t="n">
        <v>0</v>
      </c>
    </row>
    <row r="2599" customFormat="false" ht="15" hidden="false" customHeight="true" outlineLevel="0" collapsed="false">
      <c r="A2599" s="8" t="s">
        <v>171</v>
      </c>
      <c r="B2599" s="8" t="s">
        <v>1210</v>
      </c>
      <c r="C2599" s="8" t="n">
        <v>2</v>
      </c>
      <c r="D2599" s="8" t="n">
        <v>94.46</v>
      </c>
      <c r="E2599" s="8" t="n">
        <v>0</v>
      </c>
      <c r="F2599" s="8" t="n">
        <v>0</v>
      </c>
    </row>
    <row r="2600" customFormat="false" ht="15" hidden="false" customHeight="true" outlineLevel="0" collapsed="false">
      <c r="A2600" s="8" t="s">
        <v>174</v>
      </c>
      <c r="B2600" s="8" t="s">
        <v>1210</v>
      </c>
      <c r="C2600" s="8" t="n">
        <v>8</v>
      </c>
      <c r="D2600" s="8" t="n">
        <v>377.84</v>
      </c>
      <c r="E2600" s="8" t="n">
        <v>2</v>
      </c>
      <c r="F2600" s="8" t="n">
        <v>94.46</v>
      </c>
    </row>
    <row r="2601" customFormat="false" ht="15" hidden="false" customHeight="true" outlineLevel="0" collapsed="false">
      <c r="A2601" s="8" t="s">
        <v>166</v>
      </c>
      <c r="B2601" s="8" t="s">
        <v>1211</v>
      </c>
      <c r="C2601" s="8" t="n">
        <v>4</v>
      </c>
      <c r="D2601" s="8" t="n">
        <v>253.08</v>
      </c>
      <c r="E2601" s="8" t="n">
        <v>0</v>
      </c>
      <c r="F2601" s="8" t="n">
        <v>0</v>
      </c>
    </row>
    <row r="2602" customFormat="false" ht="15" hidden="false" customHeight="true" outlineLevel="0" collapsed="false">
      <c r="A2602" s="8" t="s">
        <v>187</v>
      </c>
      <c r="B2602" s="8" t="s">
        <v>1211</v>
      </c>
      <c r="C2602" s="8" t="n">
        <v>4</v>
      </c>
      <c r="D2602" s="8" t="n">
        <v>253.08</v>
      </c>
      <c r="E2602" s="8" t="n">
        <v>0</v>
      </c>
      <c r="F2602" s="8" t="n">
        <v>0</v>
      </c>
    </row>
    <row r="2603" customFormat="false" ht="15" hidden="false" customHeight="true" outlineLevel="0" collapsed="false">
      <c r="A2603" s="8" t="s">
        <v>188</v>
      </c>
      <c r="B2603" s="8" t="s">
        <v>1225</v>
      </c>
      <c r="C2603" s="8" t="n">
        <v>4</v>
      </c>
      <c r="D2603" s="8" t="n">
        <v>115.72</v>
      </c>
      <c r="E2603" s="8" t="n">
        <v>0</v>
      </c>
      <c r="F2603" s="8" t="n">
        <v>0</v>
      </c>
    </row>
    <row r="2604" customFormat="false" ht="15" hidden="false" customHeight="true" outlineLevel="0" collapsed="false">
      <c r="A2604" s="8" t="s">
        <v>186</v>
      </c>
      <c r="B2604" s="8" t="s">
        <v>1225</v>
      </c>
      <c r="C2604" s="8" t="n">
        <v>3</v>
      </c>
      <c r="D2604" s="8" t="n">
        <v>86.79</v>
      </c>
      <c r="E2604" s="8" t="n">
        <v>2</v>
      </c>
      <c r="F2604" s="8" t="n">
        <v>57.86</v>
      </c>
    </row>
    <row r="2605" customFormat="false" ht="15" hidden="false" customHeight="true" outlineLevel="0" collapsed="false">
      <c r="A2605" s="8" t="s">
        <v>239</v>
      </c>
      <c r="B2605" s="8" t="s">
        <v>1225</v>
      </c>
      <c r="C2605" s="8" t="n">
        <v>1</v>
      </c>
      <c r="D2605" s="8" t="n">
        <v>28.93</v>
      </c>
      <c r="E2605" s="8" t="n">
        <v>0</v>
      </c>
      <c r="F2605" s="8" t="n">
        <v>0</v>
      </c>
    </row>
    <row r="2606" customFormat="false" ht="15" hidden="false" customHeight="true" outlineLevel="0" collapsed="false">
      <c r="A2606" s="8" t="s">
        <v>210</v>
      </c>
      <c r="B2606" s="8" t="s">
        <v>1225</v>
      </c>
      <c r="C2606" s="8" t="n">
        <v>2</v>
      </c>
      <c r="D2606" s="8" t="n">
        <v>57.86</v>
      </c>
      <c r="E2606" s="8" t="n">
        <v>0</v>
      </c>
      <c r="F2606" s="8" t="n">
        <v>0</v>
      </c>
    </row>
    <row r="2607" customFormat="false" ht="15" hidden="false" customHeight="true" outlineLevel="0" collapsed="false">
      <c r="A2607" s="8" t="s">
        <v>320</v>
      </c>
      <c r="B2607" s="8" t="s">
        <v>1225</v>
      </c>
      <c r="C2607" s="8" t="n">
        <v>2</v>
      </c>
      <c r="D2607" s="8" t="n">
        <v>57.86</v>
      </c>
      <c r="E2607" s="8" t="n">
        <v>0</v>
      </c>
      <c r="F2607" s="8" t="n">
        <v>0</v>
      </c>
    </row>
    <row r="2608" customFormat="false" ht="15" hidden="false" customHeight="true" outlineLevel="0" collapsed="false">
      <c r="A2608" s="8" t="s">
        <v>278</v>
      </c>
      <c r="B2608" s="8" t="s">
        <v>1225</v>
      </c>
      <c r="C2608" s="8" t="n">
        <v>0</v>
      </c>
      <c r="D2608" s="8" t="n">
        <v>0</v>
      </c>
      <c r="E2608" s="8" t="n">
        <v>1</v>
      </c>
      <c r="F2608" s="8" t="n">
        <v>28.93</v>
      </c>
    </row>
    <row r="2609" customFormat="false" ht="15" hidden="false" customHeight="true" outlineLevel="0" collapsed="false">
      <c r="A2609" s="8" t="s">
        <v>238</v>
      </c>
      <c r="B2609" s="8" t="s">
        <v>1226</v>
      </c>
      <c r="C2609" s="8" t="n">
        <v>2</v>
      </c>
      <c r="D2609" s="8" t="n">
        <v>84.34</v>
      </c>
      <c r="E2609" s="8" t="n">
        <v>2</v>
      </c>
      <c r="F2609" s="8" t="n">
        <v>84.34</v>
      </c>
    </row>
    <row r="2610" customFormat="false" ht="15" hidden="false" customHeight="true" outlineLevel="0" collapsed="false">
      <c r="A2610" s="8" t="s">
        <v>201</v>
      </c>
      <c r="B2610" s="8" t="s">
        <v>1226</v>
      </c>
      <c r="C2610" s="8" t="n">
        <v>4</v>
      </c>
      <c r="D2610" s="8" t="n">
        <v>168.68</v>
      </c>
      <c r="E2610" s="8" t="n">
        <v>0</v>
      </c>
      <c r="F2610" s="8" t="n">
        <v>0</v>
      </c>
    </row>
    <row r="2611" customFormat="false" ht="15" hidden="false" customHeight="true" outlineLevel="0" collapsed="false">
      <c r="A2611" s="8" t="s">
        <v>214</v>
      </c>
      <c r="B2611" s="8" t="s">
        <v>1226</v>
      </c>
      <c r="C2611" s="8" t="n">
        <v>0</v>
      </c>
      <c r="D2611" s="8" t="n">
        <v>0</v>
      </c>
      <c r="E2611" s="8" t="n">
        <v>1</v>
      </c>
      <c r="F2611" s="8" t="n">
        <v>42.17</v>
      </c>
    </row>
    <row r="2612" customFormat="false" ht="15" hidden="false" customHeight="true" outlineLevel="0" collapsed="false">
      <c r="A2612" s="8" t="s">
        <v>241</v>
      </c>
      <c r="B2612" s="8" t="s">
        <v>1227</v>
      </c>
      <c r="C2612" s="8" t="n">
        <v>0</v>
      </c>
      <c r="D2612" s="8" t="n">
        <v>0</v>
      </c>
      <c r="E2612" s="8" t="n">
        <v>3</v>
      </c>
      <c r="F2612" s="8" t="n">
        <v>51</v>
      </c>
    </row>
    <row r="2613" customFormat="false" ht="15" hidden="false" customHeight="true" outlineLevel="0" collapsed="false">
      <c r="A2613" s="8" t="s">
        <v>219</v>
      </c>
      <c r="B2613" s="8" t="s">
        <v>1227</v>
      </c>
      <c r="C2613" s="8" t="n">
        <v>12</v>
      </c>
      <c r="D2613" s="8" t="n">
        <v>204</v>
      </c>
      <c r="E2613" s="8" t="n">
        <v>2</v>
      </c>
      <c r="F2613" s="8" t="n">
        <v>34</v>
      </c>
    </row>
    <row r="2614" customFormat="false" ht="15" hidden="false" customHeight="true" outlineLevel="0" collapsed="false">
      <c r="A2614" s="8" t="s">
        <v>292</v>
      </c>
      <c r="B2614" s="8" t="s">
        <v>1227</v>
      </c>
      <c r="C2614" s="8" t="n">
        <v>3</v>
      </c>
      <c r="D2614" s="8" t="n">
        <v>51</v>
      </c>
      <c r="E2614" s="8" t="n">
        <v>0</v>
      </c>
      <c r="F2614" s="8" t="n">
        <v>0</v>
      </c>
    </row>
    <row r="2615" customFormat="false" ht="15" hidden="false" customHeight="true" outlineLevel="0" collapsed="false">
      <c r="A2615" s="8" t="s">
        <v>223</v>
      </c>
      <c r="B2615" s="8" t="s">
        <v>1227</v>
      </c>
      <c r="C2615" s="8" t="n">
        <v>0</v>
      </c>
      <c r="D2615" s="8" t="n">
        <v>0</v>
      </c>
      <c r="E2615" s="8" t="n">
        <v>2</v>
      </c>
      <c r="F2615" s="8" t="n">
        <v>34</v>
      </c>
    </row>
    <row r="2616" customFormat="false" ht="15" hidden="false" customHeight="true" outlineLevel="0" collapsed="false">
      <c r="A2616" s="8" t="s">
        <v>287</v>
      </c>
      <c r="B2616" s="8" t="s">
        <v>1227</v>
      </c>
      <c r="C2616" s="8" t="n">
        <v>1</v>
      </c>
      <c r="D2616" s="8" t="n">
        <v>17</v>
      </c>
      <c r="E2616" s="8" t="n">
        <v>0</v>
      </c>
      <c r="F2616" s="8" t="n">
        <v>0</v>
      </c>
    </row>
    <row r="2617" customFormat="false" ht="15" hidden="false" customHeight="true" outlineLevel="0" collapsed="false">
      <c r="A2617" s="8" t="s">
        <v>237</v>
      </c>
      <c r="B2617" s="8" t="s">
        <v>1259</v>
      </c>
      <c r="C2617" s="8" t="n">
        <v>3</v>
      </c>
      <c r="D2617" s="8" t="n">
        <v>55.35</v>
      </c>
      <c r="E2617" s="8" t="n">
        <v>2</v>
      </c>
      <c r="F2617" s="8" t="n">
        <v>36.9</v>
      </c>
    </row>
    <row r="2618" customFormat="false" ht="15" hidden="false" customHeight="true" outlineLevel="0" collapsed="false">
      <c r="A2618" s="8" t="s">
        <v>246</v>
      </c>
      <c r="B2618" s="8" t="s">
        <v>1261</v>
      </c>
      <c r="C2618" s="8" t="n">
        <v>2</v>
      </c>
      <c r="D2618" s="8" t="n">
        <v>34.7</v>
      </c>
      <c r="E2618" s="8" t="n">
        <v>2</v>
      </c>
      <c r="F2618" s="8" t="n">
        <v>34.7</v>
      </c>
    </row>
    <row r="2619" customFormat="false" ht="15" hidden="false" customHeight="true" outlineLevel="0" collapsed="false">
      <c r="A2619" s="8" t="s">
        <v>202</v>
      </c>
      <c r="B2619" s="8" t="s">
        <v>1212</v>
      </c>
      <c r="C2619" s="8" t="n">
        <v>8</v>
      </c>
      <c r="D2619" s="8" t="n">
        <v>76</v>
      </c>
      <c r="E2619" s="8" t="n">
        <v>4</v>
      </c>
      <c r="F2619" s="8" t="n">
        <v>38</v>
      </c>
    </row>
    <row r="2620" customFormat="false" ht="15" hidden="false" customHeight="true" outlineLevel="0" collapsed="false">
      <c r="A2620" s="8" t="s">
        <v>244</v>
      </c>
      <c r="B2620" s="8" t="s">
        <v>1213</v>
      </c>
      <c r="C2620" s="8" t="n">
        <v>3</v>
      </c>
      <c r="D2620" s="8" t="n">
        <v>28.5</v>
      </c>
      <c r="E2620" s="8" t="n">
        <v>1</v>
      </c>
      <c r="F2620" s="8" t="n">
        <v>9.5</v>
      </c>
    </row>
    <row r="2621" customFormat="false" ht="15" hidden="false" customHeight="true" outlineLevel="0" collapsed="false">
      <c r="A2621" s="8" t="s">
        <v>243</v>
      </c>
      <c r="B2621" s="8" t="s">
        <v>1253</v>
      </c>
      <c r="C2621" s="8" t="n">
        <v>2</v>
      </c>
      <c r="D2621" s="8" t="n">
        <v>25.9</v>
      </c>
      <c r="E2621" s="8" t="n">
        <v>0</v>
      </c>
      <c r="F2621" s="8" t="n">
        <v>0</v>
      </c>
    </row>
    <row r="2622" customFormat="false" ht="15" hidden="false" customHeight="true" outlineLevel="0" collapsed="false">
      <c r="A2622" s="8" t="s">
        <v>251</v>
      </c>
      <c r="B2622" s="8" t="s">
        <v>1262</v>
      </c>
      <c r="C2622" s="8" t="n">
        <v>0</v>
      </c>
      <c r="D2622" s="8" t="n">
        <v>0</v>
      </c>
      <c r="E2622" s="8" t="n">
        <v>2</v>
      </c>
      <c r="F2622" s="8" t="n">
        <v>19.42</v>
      </c>
    </row>
    <row r="2623" customFormat="false" ht="15" hidden="false" customHeight="true" outlineLevel="0" collapsed="false">
      <c r="A2623" s="8" t="s">
        <v>308</v>
      </c>
      <c r="B2623" s="8" t="s">
        <v>1229</v>
      </c>
      <c r="C2623" s="8" t="n">
        <v>5</v>
      </c>
      <c r="D2623" s="8" t="n">
        <v>40.4</v>
      </c>
      <c r="E2623" s="8" t="n">
        <v>2</v>
      </c>
      <c r="F2623" s="8" t="n">
        <v>16.16</v>
      </c>
    </row>
    <row r="2624" customFormat="false" ht="15" hidden="false" customHeight="true" outlineLevel="0" collapsed="false">
      <c r="A2624" s="8" t="s">
        <v>261</v>
      </c>
      <c r="B2624" s="8" t="s">
        <v>1215</v>
      </c>
      <c r="C2624" s="8" t="n">
        <v>1</v>
      </c>
      <c r="D2624" s="8" t="n">
        <v>21.21</v>
      </c>
      <c r="E2624" s="8" t="n">
        <v>0</v>
      </c>
      <c r="F2624" s="8" t="n">
        <v>0</v>
      </c>
    </row>
    <row r="2625" customFormat="false" ht="15" hidden="false" customHeight="true" outlineLevel="0" collapsed="false">
      <c r="A2625" s="8" t="s">
        <v>269</v>
      </c>
      <c r="B2625" s="8" t="s">
        <v>1231</v>
      </c>
      <c r="C2625" s="8" t="n">
        <v>6</v>
      </c>
      <c r="D2625" s="8" t="n">
        <v>67.98</v>
      </c>
      <c r="E2625" s="8" t="n">
        <v>0</v>
      </c>
      <c r="F2625" s="8" t="n">
        <v>0</v>
      </c>
    </row>
    <row r="2626" customFormat="false" ht="15" hidden="false" customHeight="true" outlineLevel="0" collapsed="false">
      <c r="A2626" s="8" t="s">
        <v>213</v>
      </c>
      <c r="B2626" s="8" t="s">
        <v>1232</v>
      </c>
      <c r="C2626" s="8" t="n">
        <v>10</v>
      </c>
      <c r="D2626" s="8" t="n">
        <v>275.5</v>
      </c>
      <c r="E2626" s="8" t="n">
        <v>0</v>
      </c>
      <c r="F2626" s="8" t="n">
        <v>0</v>
      </c>
    </row>
    <row r="2627" customFormat="false" ht="15" hidden="false" customHeight="true" outlineLevel="0" collapsed="false">
      <c r="A2627" s="8" t="s">
        <v>215</v>
      </c>
      <c r="B2627" s="8" t="s">
        <v>1233</v>
      </c>
      <c r="C2627" s="8" t="n">
        <v>3</v>
      </c>
      <c r="D2627" s="8" t="n">
        <v>53.46</v>
      </c>
      <c r="E2627" s="8" t="n">
        <v>2</v>
      </c>
      <c r="F2627" s="8" t="n">
        <v>35.64</v>
      </c>
    </row>
    <row r="2628" customFormat="false" ht="15" hidden="false" customHeight="true" outlineLevel="0" collapsed="false">
      <c r="A2628" s="8" t="s">
        <v>255</v>
      </c>
      <c r="B2628" s="8" t="s">
        <v>1273</v>
      </c>
      <c r="C2628" s="8" t="n">
        <v>2</v>
      </c>
      <c r="D2628" s="8" t="n">
        <v>16.4</v>
      </c>
      <c r="E2628" s="8" t="n">
        <v>1</v>
      </c>
      <c r="F2628" s="8" t="n">
        <v>8.2</v>
      </c>
    </row>
    <row r="2629" customFormat="false" ht="15" hidden="false" customHeight="true" outlineLevel="0" collapsed="false">
      <c r="A2629" s="8" t="s">
        <v>1296</v>
      </c>
      <c r="B2629" s="8" t="s">
        <v>621</v>
      </c>
      <c r="C2629" s="8" t="n">
        <v>1</v>
      </c>
      <c r="D2629" s="8" t="n">
        <v>49.3</v>
      </c>
      <c r="E2629" s="8" t="n">
        <v>0</v>
      </c>
      <c r="F2629" s="8" t="n">
        <v>0</v>
      </c>
    </row>
    <row r="2630" customFormat="false" ht="15" hidden="false" customHeight="true" outlineLevel="0" collapsed="false">
      <c r="A2630" s="8" t="s">
        <v>192</v>
      </c>
      <c r="B2630" s="8" t="s">
        <v>1240</v>
      </c>
      <c r="C2630" s="8" t="n">
        <v>2</v>
      </c>
      <c r="D2630" s="8" t="n">
        <v>83.62</v>
      </c>
      <c r="E2630" s="8" t="n">
        <v>0</v>
      </c>
      <c r="F2630" s="8" t="n">
        <v>0</v>
      </c>
    </row>
    <row r="2631" customFormat="false" ht="15" hidden="false" customHeight="true" outlineLevel="0" collapsed="false">
      <c r="A2631" s="8" t="s">
        <v>168</v>
      </c>
      <c r="B2631" s="8" t="s">
        <v>1240</v>
      </c>
      <c r="C2631" s="8" t="n">
        <v>7</v>
      </c>
      <c r="D2631" s="8" t="n">
        <v>292.67</v>
      </c>
      <c r="E2631" s="8" t="n">
        <v>0</v>
      </c>
      <c r="F2631" s="8" t="n">
        <v>0</v>
      </c>
    </row>
    <row r="2632" customFormat="false" ht="15" hidden="false" customHeight="true" outlineLevel="0" collapsed="false">
      <c r="A2632" s="8" t="s">
        <v>169</v>
      </c>
      <c r="B2632" s="8" t="s">
        <v>1240</v>
      </c>
      <c r="C2632" s="8" t="n">
        <v>15</v>
      </c>
      <c r="D2632" s="8" t="n">
        <v>627.15</v>
      </c>
      <c r="E2632" s="8" t="n">
        <v>0</v>
      </c>
      <c r="F2632" s="8" t="n">
        <v>0</v>
      </c>
    </row>
    <row r="2633" customFormat="false" ht="15" hidden="false" customHeight="true" outlineLevel="0" collapsed="false">
      <c r="A2633" s="8" t="s">
        <v>180</v>
      </c>
      <c r="B2633" s="8" t="s">
        <v>1216</v>
      </c>
      <c r="C2633" s="8" t="n">
        <v>4</v>
      </c>
      <c r="D2633" s="8" t="n">
        <v>66</v>
      </c>
      <c r="E2633" s="8" t="n">
        <v>2</v>
      </c>
      <c r="F2633" s="8" t="n">
        <v>33</v>
      </c>
    </row>
    <row r="2634" customFormat="false" ht="15" hidden="false" customHeight="true" outlineLevel="0" collapsed="false">
      <c r="A2634" s="8" t="s">
        <v>189</v>
      </c>
      <c r="B2634" s="8" t="s">
        <v>1216</v>
      </c>
      <c r="C2634" s="8" t="n">
        <v>10</v>
      </c>
      <c r="D2634" s="8" t="n">
        <v>165</v>
      </c>
      <c r="E2634" s="8" t="n">
        <v>0</v>
      </c>
      <c r="F2634" s="8" t="n">
        <v>0</v>
      </c>
    </row>
    <row r="2635" customFormat="false" ht="15" hidden="false" customHeight="true" outlineLevel="0" collapsed="false">
      <c r="A2635" s="8" t="s">
        <v>267</v>
      </c>
      <c r="B2635" s="8" t="s">
        <v>1216</v>
      </c>
      <c r="C2635" s="8" t="n">
        <v>1</v>
      </c>
      <c r="D2635" s="8" t="n">
        <v>16.5</v>
      </c>
      <c r="E2635" s="8" t="n">
        <v>2</v>
      </c>
      <c r="F2635" s="8" t="n">
        <v>33</v>
      </c>
    </row>
    <row r="2636" customFormat="false" ht="15" hidden="false" customHeight="true" outlineLevel="0" collapsed="false">
      <c r="A2636" s="8" t="s">
        <v>199</v>
      </c>
      <c r="B2636" s="8" t="s">
        <v>1216</v>
      </c>
      <c r="C2636" s="8" t="n">
        <v>10</v>
      </c>
      <c r="D2636" s="8" t="n">
        <v>165</v>
      </c>
      <c r="E2636" s="8" t="n">
        <v>2</v>
      </c>
      <c r="F2636" s="8" t="n">
        <v>33</v>
      </c>
    </row>
    <row r="2637" customFormat="false" ht="15" hidden="false" customHeight="true" outlineLevel="0" collapsed="false">
      <c r="A2637" s="8" t="s">
        <v>250</v>
      </c>
      <c r="B2637" s="8" t="s">
        <v>1216</v>
      </c>
      <c r="C2637" s="8" t="n">
        <v>4</v>
      </c>
      <c r="D2637" s="8" t="n">
        <v>66</v>
      </c>
      <c r="E2637" s="8" t="n">
        <v>0</v>
      </c>
      <c r="F2637" s="8" t="n">
        <v>0</v>
      </c>
    </row>
    <row r="2638" customFormat="false" ht="15" hidden="false" customHeight="true" outlineLevel="0" collapsed="false">
      <c r="A2638" s="8" t="s">
        <v>198</v>
      </c>
      <c r="B2638" s="8" t="s">
        <v>1217</v>
      </c>
      <c r="C2638" s="8" t="n">
        <v>1</v>
      </c>
      <c r="D2638" s="8" t="n">
        <v>20.5</v>
      </c>
      <c r="E2638" s="8" t="n">
        <v>1</v>
      </c>
      <c r="F2638" s="8" t="n">
        <v>20.5</v>
      </c>
    </row>
    <row r="2639" customFormat="false" ht="15" hidden="false" customHeight="true" outlineLevel="0" collapsed="false">
      <c r="A2639" s="8" t="s">
        <v>193</v>
      </c>
      <c r="B2639" s="8" t="s">
        <v>1217</v>
      </c>
      <c r="C2639" s="8" t="n">
        <v>6</v>
      </c>
      <c r="D2639" s="8" t="n">
        <v>123</v>
      </c>
      <c r="E2639" s="8" t="n">
        <v>0</v>
      </c>
      <c r="F2639" s="8" t="n">
        <v>0</v>
      </c>
    </row>
    <row r="2640" customFormat="false" ht="15" hidden="false" customHeight="true" outlineLevel="0" collapsed="false">
      <c r="A2640" s="8" t="s">
        <v>302</v>
      </c>
      <c r="B2640" s="8" t="s">
        <v>1217</v>
      </c>
      <c r="C2640" s="8" t="n">
        <v>0</v>
      </c>
      <c r="D2640" s="8" t="n">
        <v>0</v>
      </c>
      <c r="E2640" s="8" t="n">
        <v>1</v>
      </c>
      <c r="F2640" s="8" t="n">
        <v>20.5</v>
      </c>
    </row>
    <row r="2641" customFormat="false" ht="15" hidden="false" customHeight="true" outlineLevel="0" collapsed="false">
      <c r="A2641" s="8" t="s">
        <v>205</v>
      </c>
      <c r="B2641" s="8" t="s">
        <v>1217</v>
      </c>
      <c r="C2641" s="8" t="n">
        <v>4</v>
      </c>
      <c r="D2641" s="8" t="n">
        <v>82</v>
      </c>
      <c r="E2641" s="8" t="n">
        <v>0</v>
      </c>
      <c r="F2641" s="8" t="n">
        <v>0</v>
      </c>
    </row>
    <row r="2642" customFormat="false" ht="15" hidden="false" customHeight="true" outlineLevel="0" collapsed="false">
      <c r="A2642" s="8" t="s">
        <v>228</v>
      </c>
      <c r="B2642" s="8" t="s">
        <v>1275</v>
      </c>
      <c r="C2642" s="8" t="n">
        <v>4</v>
      </c>
      <c r="D2642" s="8" t="n">
        <v>57</v>
      </c>
      <c r="E2642" s="8" t="n">
        <v>2</v>
      </c>
      <c r="F2642" s="8" t="n">
        <v>28.5</v>
      </c>
    </row>
    <row r="2643" customFormat="false" ht="15" hidden="false" customHeight="true" outlineLevel="0" collapsed="false">
      <c r="A2643" s="8" t="s">
        <v>257</v>
      </c>
      <c r="B2643" s="8" t="s">
        <v>1284</v>
      </c>
      <c r="C2643" s="8" t="n">
        <v>1</v>
      </c>
      <c r="D2643" s="8" t="n">
        <v>32.43</v>
      </c>
      <c r="E2643" s="8" t="n">
        <v>0</v>
      </c>
      <c r="F2643" s="8" t="n">
        <v>0</v>
      </c>
    </row>
    <row r="2644" customFormat="false" ht="15" hidden="false" customHeight="true" outlineLevel="0" collapsed="false">
      <c r="A2644" s="8" t="s">
        <v>178</v>
      </c>
      <c r="B2644" s="8" t="s">
        <v>1236</v>
      </c>
      <c r="C2644" s="8" t="n">
        <v>4</v>
      </c>
      <c r="D2644" s="8" t="n">
        <v>140</v>
      </c>
      <c r="E2644" s="8" t="n">
        <v>2</v>
      </c>
      <c r="F2644" s="8" t="n">
        <v>70</v>
      </c>
    </row>
    <row r="2645" customFormat="false" ht="15" hidden="false" customHeight="true" outlineLevel="0" collapsed="false">
      <c r="A2645" s="8" t="s">
        <v>176</v>
      </c>
      <c r="B2645" s="8" t="s">
        <v>1236</v>
      </c>
      <c r="C2645" s="8" t="n">
        <v>2</v>
      </c>
      <c r="D2645" s="8" t="n">
        <v>70</v>
      </c>
      <c r="E2645" s="8" t="n">
        <v>3</v>
      </c>
      <c r="F2645" s="8" t="n">
        <v>105</v>
      </c>
    </row>
    <row r="2646" customFormat="false" ht="15" hidden="false" customHeight="true" outlineLevel="0" collapsed="false">
      <c r="A2646" s="8" t="s">
        <v>235</v>
      </c>
      <c r="B2646" s="8" t="s">
        <v>1236</v>
      </c>
      <c r="C2646" s="8" t="n">
        <v>0</v>
      </c>
      <c r="D2646" s="8" t="n">
        <v>0</v>
      </c>
      <c r="E2646" s="8" t="n">
        <v>1</v>
      </c>
      <c r="F2646" s="8" t="n">
        <v>35</v>
      </c>
    </row>
    <row r="2647" customFormat="false" ht="15" hidden="false" customHeight="true" outlineLevel="0" collapsed="false">
      <c r="A2647" s="8" t="s">
        <v>240</v>
      </c>
      <c r="B2647" s="8" t="s">
        <v>769</v>
      </c>
      <c r="C2647" s="8" t="n">
        <v>1</v>
      </c>
      <c r="D2647" s="8" t="n">
        <v>17</v>
      </c>
      <c r="E2647" s="8" t="n">
        <v>2</v>
      </c>
      <c r="F2647" s="8" t="n">
        <v>34</v>
      </c>
    </row>
    <row r="2648" customFormat="false" ht="15" hidden="false" customHeight="true" outlineLevel="0" collapsed="false">
      <c r="A2648" s="8" t="s">
        <v>234</v>
      </c>
      <c r="B2648" s="8" t="s">
        <v>769</v>
      </c>
      <c r="C2648" s="8" t="n">
        <v>2</v>
      </c>
      <c r="D2648" s="8" t="n">
        <v>34</v>
      </c>
      <c r="E2648" s="8" t="n">
        <v>1</v>
      </c>
      <c r="F2648" s="8" t="n">
        <v>17</v>
      </c>
    </row>
    <row r="2649" customFormat="false" ht="15" hidden="false" customHeight="true" outlineLevel="0" collapsed="false">
      <c r="A2649" s="8" t="s">
        <v>247</v>
      </c>
      <c r="B2649" s="8" t="s">
        <v>769</v>
      </c>
      <c r="C2649" s="8" t="n">
        <v>1</v>
      </c>
      <c r="D2649" s="8" t="n">
        <v>17</v>
      </c>
      <c r="E2649" s="8" t="n">
        <v>0</v>
      </c>
      <c r="F2649" s="8" t="n">
        <v>0</v>
      </c>
    </row>
    <row r="2650" customFormat="false" ht="15" hidden="false" customHeight="true" outlineLevel="0" collapsed="false">
      <c r="A2650" s="8" t="s">
        <v>300</v>
      </c>
      <c r="B2650" s="8" t="s">
        <v>769</v>
      </c>
      <c r="C2650" s="8" t="n">
        <v>5</v>
      </c>
      <c r="D2650" s="8" t="n">
        <v>85</v>
      </c>
      <c r="E2650" s="8" t="n">
        <v>0</v>
      </c>
      <c r="F2650" s="8" t="n">
        <v>0</v>
      </c>
    </row>
    <row r="2651" customFormat="false" ht="15" hidden="false" customHeight="true" outlineLevel="0" collapsed="false">
      <c r="A2651" s="8" t="s">
        <v>182</v>
      </c>
      <c r="B2651" s="8" t="s">
        <v>799</v>
      </c>
      <c r="C2651" s="8" t="n">
        <v>8</v>
      </c>
      <c r="D2651" s="8" t="n">
        <v>160</v>
      </c>
      <c r="E2651" s="8" t="n">
        <v>2</v>
      </c>
      <c r="F2651" s="8" t="n">
        <v>40</v>
      </c>
    </row>
    <row r="2652" customFormat="false" ht="15" hidden="false" customHeight="true" outlineLevel="0" collapsed="false">
      <c r="A2652" s="8" t="s">
        <v>170</v>
      </c>
      <c r="B2652" s="8" t="s">
        <v>1220</v>
      </c>
      <c r="C2652" s="8" t="n">
        <v>6</v>
      </c>
      <c r="D2652" s="8" t="n">
        <v>88.8</v>
      </c>
      <c r="E2652" s="8" t="n">
        <v>0</v>
      </c>
      <c r="F2652" s="8" t="n">
        <v>0</v>
      </c>
    </row>
    <row r="2653" customFormat="false" ht="15" hidden="false" customHeight="true" outlineLevel="0" collapsed="false">
      <c r="A2653" s="8" t="s">
        <v>167</v>
      </c>
      <c r="B2653" s="8" t="s">
        <v>1238</v>
      </c>
      <c r="C2653" s="8" t="n">
        <v>37</v>
      </c>
      <c r="D2653" s="8" t="n">
        <v>495.8</v>
      </c>
      <c r="E2653" s="8" t="n">
        <v>0</v>
      </c>
      <c r="F2653" s="8" t="n">
        <v>0</v>
      </c>
    </row>
    <row r="2654" customFormat="false" ht="15" hidden="false" customHeight="true" outlineLevel="0" collapsed="false">
      <c r="A2654" s="8" t="s">
        <v>220</v>
      </c>
      <c r="B2654" s="8" t="s">
        <v>1248</v>
      </c>
      <c r="C2654" s="8" t="n">
        <v>5</v>
      </c>
      <c r="D2654" s="8" t="n">
        <v>52</v>
      </c>
      <c r="E2654" s="8" t="n">
        <v>4</v>
      </c>
      <c r="F2654" s="8" t="n">
        <v>41.6</v>
      </c>
    </row>
    <row r="2655" customFormat="false" ht="15" hidden="false" customHeight="true" outlineLevel="0" collapsed="false">
      <c r="A2655" s="8" t="s">
        <v>275</v>
      </c>
      <c r="B2655" s="8" t="s">
        <v>1257</v>
      </c>
      <c r="C2655" s="8" t="n">
        <v>8</v>
      </c>
      <c r="D2655" s="8" t="n">
        <v>172.8</v>
      </c>
      <c r="E2655" s="8" t="n">
        <v>0</v>
      </c>
      <c r="F2655" s="8" t="n">
        <v>0</v>
      </c>
    </row>
    <row r="2656" customFormat="false" ht="15" hidden="false" customHeight="true" outlineLevel="0" collapsed="false">
      <c r="A2656" s="8" t="s">
        <v>233</v>
      </c>
      <c r="B2656" s="8" t="s">
        <v>1249</v>
      </c>
      <c r="C2656" s="8" t="n">
        <v>5</v>
      </c>
      <c r="D2656" s="8" t="n">
        <v>89.75</v>
      </c>
      <c r="E2656" s="8" t="n">
        <v>0</v>
      </c>
      <c r="F2656" s="8" t="n">
        <v>0</v>
      </c>
    </row>
    <row r="2657" customFormat="false" ht="15" hidden="false" customHeight="true" outlineLevel="0" collapsed="false">
      <c r="A2657" s="8" t="s">
        <v>200</v>
      </c>
      <c r="B2657" s="8" t="s">
        <v>1279</v>
      </c>
      <c r="C2657" s="8" t="n">
        <v>2</v>
      </c>
      <c r="D2657" s="8" t="n">
        <v>154.48</v>
      </c>
      <c r="E2657" s="8" t="n">
        <v>0</v>
      </c>
      <c r="F2657" s="8" t="n">
        <v>0</v>
      </c>
    </row>
    <row r="2658" customFormat="false" ht="15" hidden="false" customHeight="true" outlineLevel="0" collapsed="false">
      <c r="A2658" s="8" t="s">
        <v>197</v>
      </c>
      <c r="B2658" s="8" t="s">
        <v>1222</v>
      </c>
      <c r="C2658" s="8" t="n">
        <v>5</v>
      </c>
      <c r="D2658" s="8" t="n">
        <v>325</v>
      </c>
      <c r="E2658" s="8" t="n">
        <v>0</v>
      </c>
      <c r="F2658" s="8" t="n">
        <v>0</v>
      </c>
    </row>
    <row r="2659" customFormat="false" ht="15" hidden="false" customHeight="true" outlineLevel="0" collapsed="false">
      <c r="A2659" s="8" t="s">
        <v>181</v>
      </c>
      <c r="B2659" s="8" t="s">
        <v>897</v>
      </c>
      <c r="C2659" s="8" t="n">
        <v>3</v>
      </c>
      <c r="D2659" s="8" t="n">
        <v>195</v>
      </c>
      <c r="E2659" s="8" t="n">
        <v>0</v>
      </c>
      <c r="F2659" s="8" t="n">
        <v>0</v>
      </c>
    </row>
    <row r="2660" customFormat="false" ht="15" hidden="false" customHeight="true" outlineLevel="0" collapsed="false">
      <c r="A2660" s="8" t="s">
        <v>165</v>
      </c>
      <c r="B2660" s="8" t="s">
        <v>897</v>
      </c>
      <c r="C2660" s="8" t="n">
        <v>1</v>
      </c>
      <c r="D2660" s="8" t="n">
        <v>65</v>
      </c>
      <c r="E2660" s="8" t="n">
        <v>0</v>
      </c>
      <c r="F2660" s="8" t="n">
        <v>0</v>
      </c>
    </row>
    <row r="2661" customFormat="false" ht="15" hidden="false" customHeight="true" outlineLevel="0" collapsed="false">
      <c r="A2661" s="8" t="s">
        <v>191</v>
      </c>
      <c r="B2661" s="8" t="s">
        <v>1179</v>
      </c>
      <c r="C2661" s="8" t="n">
        <v>0</v>
      </c>
      <c r="D2661" s="8" t="n">
        <v>0</v>
      </c>
      <c r="E2661" s="8" t="n">
        <v>1</v>
      </c>
      <c r="F2661" s="8" t="n">
        <v>72.34</v>
      </c>
    </row>
    <row r="2662" customFormat="false" ht="15" hidden="false" customHeight="true" outlineLevel="0" collapsed="false">
      <c r="A2662" s="8" t="s">
        <v>283</v>
      </c>
      <c r="B2662" s="8" t="s">
        <v>1223</v>
      </c>
      <c r="C2662" s="8" t="n">
        <v>0</v>
      </c>
      <c r="D2662" s="8" t="n">
        <v>0</v>
      </c>
      <c r="E2662" s="8" t="n">
        <v>2</v>
      </c>
      <c r="F2662" s="8" t="n">
        <v>155.6</v>
      </c>
    </row>
    <row r="2663" customFormat="false" ht="15" hidden="false" customHeight="true" outlineLevel="0" collapsed="false">
      <c r="A2663" s="8" t="s">
        <v>216</v>
      </c>
      <c r="B2663" s="8" t="s">
        <v>1223</v>
      </c>
      <c r="C2663" s="8" t="n">
        <v>2</v>
      </c>
      <c r="D2663" s="8" t="n">
        <v>155.6</v>
      </c>
      <c r="E2663" s="8" t="n">
        <v>3</v>
      </c>
      <c r="F2663" s="8" t="n">
        <v>233.4</v>
      </c>
    </row>
    <row r="2664" customFormat="false" ht="15" hidden="false" customHeight="true" outlineLevel="0" collapsed="false">
      <c r="A2664" s="8" t="s">
        <v>236</v>
      </c>
      <c r="B2664" s="8" t="s">
        <v>1223</v>
      </c>
      <c r="C2664" s="8" t="n">
        <v>0</v>
      </c>
      <c r="D2664" s="8" t="n">
        <v>0</v>
      </c>
      <c r="E2664" s="8" t="n">
        <v>3</v>
      </c>
      <c r="F2664" s="8" t="n">
        <v>233.4</v>
      </c>
    </row>
    <row r="2665" customFormat="false" ht="15" hidden="false" customHeight="true" outlineLevel="0" collapsed="false">
      <c r="A2665" s="8" t="s">
        <v>183</v>
      </c>
      <c r="B2665" s="8" t="s">
        <v>1224</v>
      </c>
      <c r="C2665" s="8" t="n">
        <v>2</v>
      </c>
      <c r="D2665" s="8" t="n">
        <v>48.86</v>
      </c>
      <c r="E2665" s="8" t="n">
        <v>4</v>
      </c>
      <c r="F2665" s="8" t="n">
        <v>97.72</v>
      </c>
    </row>
    <row r="2666" customFormat="false" ht="15" hidden="false" customHeight="true" outlineLevel="0" collapsed="false">
      <c r="A2666" s="8" t="s">
        <v>161</v>
      </c>
      <c r="B2666" s="8" t="s">
        <v>1208</v>
      </c>
      <c r="C2666" s="8" t="n">
        <v>30</v>
      </c>
      <c r="D2666" s="8" t="n">
        <v>1365</v>
      </c>
      <c r="E2666" s="8" t="n">
        <v>10</v>
      </c>
      <c r="F2666" s="8" t="n">
        <v>455</v>
      </c>
    </row>
    <row r="2667" customFormat="false" ht="15" hidden="false" customHeight="true" outlineLevel="0" collapsed="false">
      <c r="A2667" s="8" t="s">
        <v>162</v>
      </c>
      <c r="B2667" s="8" t="s">
        <v>1209</v>
      </c>
      <c r="C2667" s="8" t="n">
        <v>3</v>
      </c>
      <c r="D2667" s="8" t="n">
        <v>233.4</v>
      </c>
      <c r="E2667" s="8" t="n">
        <v>5</v>
      </c>
      <c r="F2667" s="8" t="n">
        <v>389</v>
      </c>
    </row>
    <row r="2668" customFormat="false" ht="15" hidden="false" customHeight="true" outlineLevel="0" collapsed="false">
      <c r="A2668" s="8" t="s">
        <v>171</v>
      </c>
      <c r="B2668" s="8" t="s">
        <v>1210</v>
      </c>
      <c r="C2668" s="8" t="n">
        <v>2</v>
      </c>
      <c r="D2668" s="8" t="n">
        <v>94.46</v>
      </c>
      <c r="E2668" s="8" t="n">
        <v>0</v>
      </c>
      <c r="F2668" s="8" t="n">
        <v>0</v>
      </c>
    </row>
    <row r="2669" customFormat="false" ht="15" hidden="false" customHeight="true" outlineLevel="0" collapsed="false">
      <c r="A2669" s="8" t="s">
        <v>166</v>
      </c>
      <c r="B2669" s="8" t="s">
        <v>1211</v>
      </c>
      <c r="C2669" s="8" t="n">
        <v>1</v>
      </c>
      <c r="D2669" s="8" t="n">
        <v>63.27</v>
      </c>
      <c r="E2669" s="8" t="n">
        <v>0</v>
      </c>
      <c r="F2669" s="8" t="n">
        <v>0</v>
      </c>
    </row>
    <row r="2670" customFormat="false" ht="15" hidden="false" customHeight="true" outlineLevel="0" collapsed="false">
      <c r="A2670" s="8" t="s">
        <v>164</v>
      </c>
      <c r="B2670" s="8" t="s">
        <v>1211</v>
      </c>
      <c r="C2670" s="8" t="n">
        <v>5</v>
      </c>
      <c r="D2670" s="8" t="n">
        <v>316.35</v>
      </c>
      <c r="E2670" s="8" t="n">
        <v>0</v>
      </c>
      <c r="F2670" s="8" t="n">
        <v>0</v>
      </c>
    </row>
    <row r="2671" customFormat="false" ht="15" hidden="false" customHeight="true" outlineLevel="0" collapsed="false">
      <c r="A2671" s="8" t="s">
        <v>222</v>
      </c>
      <c r="B2671" s="8" t="s">
        <v>1211</v>
      </c>
      <c r="C2671" s="8" t="n">
        <v>1</v>
      </c>
      <c r="D2671" s="8" t="n">
        <v>63.27</v>
      </c>
      <c r="E2671" s="8" t="n">
        <v>0</v>
      </c>
      <c r="F2671" s="8" t="n">
        <v>0</v>
      </c>
    </row>
    <row r="2672" customFormat="false" ht="15" hidden="false" customHeight="true" outlineLevel="0" collapsed="false">
      <c r="A2672" s="8" t="s">
        <v>187</v>
      </c>
      <c r="B2672" s="8" t="s">
        <v>1211</v>
      </c>
      <c r="C2672" s="8" t="n">
        <v>0</v>
      </c>
      <c r="D2672" s="8" t="n">
        <v>0</v>
      </c>
      <c r="E2672" s="8" t="n">
        <v>6</v>
      </c>
      <c r="F2672" s="8" t="n">
        <v>379.62</v>
      </c>
    </row>
    <row r="2673" customFormat="false" ht="15" hidden="false" customHeight="true" outlineLevel="0" collapsed="false">
      <c r="A2673" s="8" t="s">
        <v>270</v>
      </c>
      <c r="B2673" s="8" t="s">
        <v>1251</v>
      </c>
      <c r="C2673" s="8" t="n">
        <v>0</v>
      </c>
      <c r="D2673" s="8" t="n">
        <v>0</v>
      </c>
      <c r="E2673" s="8" t="n">
        <v>2</v>
      </c>
      <c r="F2673" s="8" t="n">
        <v>19.64</v>
      </c>
    </row>
    <row r="2674" customFormat="false" ht="15" hidden="false" customHeight="true" outlineLevel="0" collapsed="false">
      <c r="A2674" s="8" t="s">
        <v>263</v>
      </c>
      <c r="B2674" s="8" t="s">
        <v>407</v>
      </c>
      <c r="C2674" s="8" t="n">
        <v>4</v>
      </c>
      <c r="D2674" s="8" t="n">
        <v>51.28</v>
      </c>
      <c r="E2674" s="8" t="n">
        <v>0</v>
      </c>
      <c r="F2674" s="8" t="n">
        <v>0</v>
      </c>
    </row>
    <row r="2675" customFormat="false" ht="15" hidden="false" customHeight="true" outlineLevel="0" collapsed="false">
      <c r="A2675" s="8" t="s">
        <v>188</v>
      </c>
      <c r="B2675" s="8" t="s">
        <v>1225</v>
      </c>
      <c r="C2675" s="8" t="n">
        <v>10</v>
      </c>
      <c r="D2675" s="8" t="n">
        <v>289.3</v>
      </c>
      <c r="E2675" s="8" t="n">
        <v>0</v>
      </c>
      <c r="F2675" s="8" t="n">
        <v>0</v>
      </c>
    </row>
    <row r="2676" customFormat="false" ht="15" hidden="false" customHeight="true" outlineLevel="0" collapsed="false">
      <c r="A2676" s="8" t="s">
        <v>186</v>
      </c>
      <c r="B2676" s="8" t="s">
        <v>1225</v>
      </c>
      <c r="C2676" s="8" t="n">
        <v>2</v>
      </c>
      <c r="D2676" s="8" t="n">
        <v>57.86</v>
      </c>
      <c r="E2676" s="8" t="n">
        <v>4</v>
      </c>
      <c r="F2676" s="8" t="n">
        <v>115.72</v>
      </c>
    </row>
    <row r="2677" customFormat="false" ht="15" hidden="false" customHeight="true" outlineLevel="0" collapsed="false">
      <c r="A2677" s="8" t="s">
        <v>239</v>
      </c>
      <c r="B2677" s="8" t="s">
        <v>1225</v>
      </c>
      <c r="C2677" s="8" t="n">
        <v>3</v>
      </c>
      <c r="D2677" s="8" t="n">
        <v>86.79</v>
      </c>
      <c r="E2677" s="8" t="n">
        <v>0</v>
      </c>
      <c r="F2677" s="8" t="n">
        <v>0</v>
      </c>
    </row>
    <row r="2678" customFormat="false" ht="15" hidden="false" customHeight="true" outlineLevel="0" collapsed="false">
      <c r="A2678" s="8" t="s">
        <v>210</v>
      </c>
      <c r="B2678" s="8" t="s">
        <v>1225</v>
      </c>
      <c r="C2678" s="8" t="n">
        <v>0</v>
      </c>
      <c r="D2678" s="8" t="n">
        <v>0</v>
      </c>
      <c r="E2678" s="8" t="n">
        <v>4</v>
      </c>
      <c r="F2678" s="8" t="n">
        <v>115.72</v>
      </c>
    </row>
    <row r="2679" customFormat="false" ht="15" hidden="false" customHeight="true" outlineLevel="0" collapsed="false">
      <c r="A2679" s="8" t="s">
        <v>238</v>
      </c>
      <c r="B2679" s="8" t="s">
        <v>1226</v>
      </c>
      <c r="C2679" s="8" t="n">
        <v>7</v>
      </c>
      <c r="D2679" s="8" t="n">
        <v>295.19</v>
      </c>
      <c r="E2679" s="8" t="n">
        <v>0</v>
      </c>
      <c r="F2679" s="8" t="n">
        <v>0</v>
      </c>
    </row>
    <row r="2680" customFormat="false" ht="15" hidden="false" customHeight="true" outlineLevel="0" collapsed="false">
      <c r="A2680" s="8" t="s">
        <v>201</v>
      </c>
      <c r="B2680" s="8" t="s">
        <v>1226</v>
      </c>
      <c r="C2680" s="8" t="n">
        <v>6</v>
      </c>
      <c r="D2680" s="8" t="n">
        <v>253.02</v>
      </c>
      <c r="E2680" s="8" t="n">
        <v>0</v>
      </c>
      <c r="F2680" s="8" t="n">
        <v>0</v>
      </c>
    </row>
    <row r="2681" customFormat="false" ht="15" hidden="false" customHeight="true" outlineLevel="0" collapsed="false">
      <c r="A2681" s="8" t="s">
        <v>314</v>
      </c>
      <c r="B2681" s="8" t="s">
        <v>1226</v>
      </c>
      <c r="C2681" s="8" t="n">
        <v>2</v>
      </c>
      <c r="D2681" s="8" t="n">
        <v>84.34</v>
      </c>
      <c r="E2681" s="8" t="n">
        <v>0</v>
      </c>
      <c r="F2681" s="8" t="n">
        <v>0</v>
      </c>
    </row>
    <row r="2682" customFormat="false" ht="15" hidden="false" customHeight="true" outlineLevel="0" collapsed="false">
      <c r="A2682" s="8" t="s">
        <v>214</v>
      </c>
      <c r="B2682" s="8" t="s">
        <v>1226</v>
      </c>
      <c r="C2682" s="8" t="n">
        <v>2</v>
      </c>
      <c r="D2682" s="8" t="n">
        <v>84.34</v>
      </c>
      <c r="E2682" s="8" t="n">
        <v>2</v>
      </c>
      <c r="F2682" s="8" t="n">
        <v>84.34</v>
      </c>
    </row>
    <row r="2683" customFormat="false" ht="15" hidden="false" customHeight="true" outlineLevel="0" collapsed="false">
      <c r="A2683" s="8" t="s">
        <v>219</v>
      </c>
      <c r="B2683" s="8" t="s">
        <v>1227</v>
      </c>
      <c r="C2683" s="8" t="n">
        <v>2</v>
      </c>
      <c r="D2683" s="8" t="n">
        <v>34</v>
      </c>
      <c r="E2683" s="8" t="n">
        <v>4</v>
      </c>
      <c r="F2683" s="8" t="n">
        <v>68</v>
      </c>
    </row>
    <row r="2684" customFormat="false" ht="15" hidden="false" customHeight="true" outlineLevel="0" collapsed="false">
      <c r="A2684" s="8" t="s">
        <v>292</v>
      </c>
      <c r="B2684" s="8" t="s">
        <v>1227</v>
      </c>
      <c r="C2684" s="8" t="n">
        <v>2</v>
      </c>
      <c r="D2684" s="8" t="n">
        <v>34</v>
      </c>
      <c r="E2684" s="8" t="n">
        <v>4</v>
      </c>
      <c r="F2684" s="8" t="n">
        <v>68</v>
      </c>
    </row>
    <row r="2685" customFormat="false" ht="15" hidden="false" customHeight="true" outlineLevel="0" collapsed="false">
      <c r="A2685" s="8" t="s">
        <v>287</v>
      </c>
      <c r="B2685" s="8" t="s">
        <v>1227</v>
      </c>
      <c r="C2685" s="8" t="n">
        <v>5</v>
      </c>
      <c r="D2685" s="8" t="n">
        <v>85</v>
      </c>
      <c r="E2685" s="8" t="n">
        <v>0</v>
      </c>
      <c r="F2685" s="8" t="n">
        <v>0</v>
      </c>
    </row>
    <row r="2686" customFormat="false" ht="15" hidden="false" customHeight="true" outlineLevel="0" collapsed="false">
      <c r="A2686" s="8" t="s">
        <v>229</v>
      </c>
      <c r="B2686" s="8" t="s">
        <v>881</v>
      </c>
      <c r="C2686" s="8" t="n">
        <v>2</v>
      </c>
      <c r="D2686" s="8" t="n">
        <v>82.4</v>
      </c>
      <c r="E2686" s="8" t="n">
        <v>0</v>
      </c>
      <c r="F2686" s="8" t="n">
        <v>0</v>
      </c>
    </row>
    <row r="2687" customFormat="false" ht="15" hidden="false" customHeight="true" outlineLevel="0" collapsed="false">
      <c r="A2687" s="8" t="s">
        <v>237</v>
      </c>
      <c r="B2687" s="8" t="s">
        <v>1259</v>
      </c>
      <c r="C2687" s="8" t="n">
        <v>0</v>
      </c>
      <c r="D2687" s="8" t="n">
        <v>0</v>
      </c>
      <c r="E2687" s="8" t="n">
        <v>6</v>
      </c>
      <c r="F2687" s="8" t="n">
        <v>110.7</v>
      </c>
    </row>
    <row r="2688" customFormat="false" ht="15" hidden="false" customHeight="true" outlineLevel="0" collapsed="false">
      <c r="A2688" s="8" t="s">
        <v>271</v>
      </c>
      <c r="B2688" s="8" t="s">
        <v>1260</v>
      </c>
      <c r="C2688" s="8" t="n">
        <v>3</v>
      </c>
      <c r="D2688" s="8" t="n">
        <v>70.2</v>
      </c>
      <c r="E2688" s="8" t="n">
        <v>0</v>
      </c>
      <c r="F2688" s="8" t="n">
        <v>0</v>
      </c>
    </row>
    <row r="2689" customFormat="false" ht="15" hidden="false" customHeight="true" outlineLevel="0" collapsed="false">
      <c r="A2689" s="8" t="s">
        <v>266</v>
      </c>
      <c r="B2689" s="8" t="s">
        <v>1228</v>
      </c>
      <c r="C2689" s="8" t="n">
        <v>6</v>
      </c>
      <c r="D2689" s="8" t="n">
        <v>119.52</v>
      </c>
      <c r="E2689" s="8" t="n">
        <v>2</v>
      </c>
      <c r="F2689" s="8" t="n">
        <v>39.84</v>
      </c>
    </row>
    <row r="2690" customFormat="false" ht="15" hidden="false" customHeight="true" outlineLevel="0" collapsed="false">
      <c r="A2690" s="8" t="s">
        <v>246</v>
      </c>
      <c r="B2690" s="8" t="s">
        <v>1261</v>
      </c>
      <c r="C2690" s="8" t="n">
        <v>3</v>
      </c>
      <c r="D2690" s="8" t="n">
        <v>52.05</v>
      </c>
      <c r="E2690" s="8" t="n">
        <v>4</v>
      </c>
      <c r="F2690" s="8" t="n">
        <v>69.4</v>
      </c>
    </row>
    <row r="2691" customFormat="false" ht="15" hidden="false" customHeight="true" outlineLevel="0" collapsed="false">
      <c r="A2691" s="8" t="s">
        <v>202</v>
      </c>
      <c r="B2691" s="8" t="s">
        <v>1212</v>
      </c>
      <c r="C2691" s="8" t="n">
        <v>9</v>
      </c>
      <c r="D2691" s="8" t="n">
        <v>85.5</v>
      </c>
      <c r="E2691" s="8" t="n">
        <v>4</v>
      </c>
      <c r="F2691" s="8" t="n">
        <v>38</v>
      </c>
    </row>
    <row r="2692" customFormat="false" ht="15" hidden="false" customHeight="true" outlineLevel="0" collapsed="false">
      <c r="A2692" s="8" t="s">
        <v>244</v>
      </c>
      <c r="B2692" s="8" t="s">
        <v>1213</v>
      </c>
      <c r="C2692" s="8" t="n">
        <v>7</v>
      </c>
      <c r="D2692" s="8" t="n">
        <v>66.5</v>
      </c>
      <c r="E2692" s="8" t="n">
        <v>2</v>
      </c>
      <c r="F2692" s="8" t="n">
        <v>19</v>
      </c>
    </row>
    <row r="2693" customFormat="false" ht="15" hidden="false" customHeight="true" outlineLevel="0" collapsed="false">
      <c r="A2693" s="8" t="s">
        <v>243</v>
      </c>
      <c r="B2693" s="8" t="s">
        <v>1253</v>
      </c>
      <c r="C2693" s="8" t="n">
        <v>4</v>
      </c>
      <c r="D2693" s="8" t="n">
        <v>51.8</v>
      </c>
      <c r="E2693" s="8" t="n">
        <v>2</v>
      </c>
      <c r="F2693" s="8" t="n">
        <v>25.9</v>
      </c>
    </row>
    <row r="2694" customFormat="false" ht="15" hidden="false" customHeight="true" outlineLevel="0" collapsed="false">
      <c r="A2694" s="8" t="s">
        <v>251</v>
      </c>
      <c r="B2694" s="8" t="s">
        <v>1262</v>
      </c>
      <c r="C2694" s="8" t="n">
        <v>7</v>
      </c>
      <c r="D2694" s="8" t="n">
        <v>67.97</v>
      </c>
      <c r="E2694" s="8" t="n">
        <v>6</v>
      </c>
      <c r="F2694" s="8" t="n">
        <v>58.26</v>
      </c>
    </row>
    <row r="2695" customFormat="false" ht="15" hidden="false" customHeight="true" outlineLevel="0" collapsed="false">
      <c r="A2695" s="8" t="s">
        <v>308</v>
      </c>
      <c r="B2695" s="8" t="s">
        <v>1229</v>
      </c>
      <c r="C2695" s="8" t="n">
        <v>4</v>
      </c>
      <c r="D2695" s="8" t="n">
        <v>32.32</v>
      </c>
      <c r="E2695" s="8" t="n">
        <v>0</v>
      </c>
      <c r="F2695" s="8" t="n">
        <v>0</v>
      </c>
    </row>
    <row r="2696" customFormat="false" ht="15" hidden="false" customHeight="true" outlineLevel="0" collapsed="false">
      <c r="A2696" s="8" t="s">
        <v>172</v>
      </c>
      <c r="B2696" s="8" t="s">
        <v>1214</v>
      </c>
      <c r="C2696" s="8" t="n">
        <v>3</v>
      </c>
      <c r="D2696" s="8" t="n">
        <v>36.54</v>
      </c>
      <c r="E2696" s="8" t="n">
        <v>6</v>
      </c>
      <c r="F2696" s="8" t="n">
        <v>73.08</v>
      </c>
    </row>
    <row r="2697" customFormat="false" ht="15" hidden="false" customHeight="true" outlineLevel="0" collapsed="false">
      <c r="A2697" s="8" t="s">
        <v>242</v>
      </c>
      <c r="B2697" s="8" t="s">
        <v>1230</v>
      </c>
      <c r="C2697" s="8" t="n">
        <v>2</v>
      </c>
      <c r="D2697" s="8" t="n">
        <v>77.4</v>
      </c>
      <c r="E2697" s="8" t="n">
        <v>6</v>
      </c>
      <c r="F2697" s="8" t="n">
        <v>232.2</v>
      </c>
    </row>
    <row r="2698" customFormat="false" ht="15" hidden="false" customHeight="true" outlineLevel="0" collapsed="false">
      <c r="A2698" s="8" t="s">
        <v>269</v>
      </c>
      <c r="B2698" s="8" t="s">
        <v>1231</v>
      </c>
      <c r="C2698" s="8" t="n">
        <v>3</v>
      </c>
      <c r="D2698" s="8" t="n">
        <v>33.99</v>
      </c>
      <c r="E2698" s="8" t="n">
        <v>0</v>
      </c>
      <c r="F2698" s="8" t="n">
        <v>0</v>
      </c>
    </row>
    <row r="2699" customFormat="false" ht="15" hidden="false" customHeight="true" outlineLevel="0" collapsed="false">
      <c r="A2699" s="8" t="s">
        <v>288</v>
      </c>
      <c r="B2699" s="8" t="s">
        <v>939</v>
      </c>
      <c r="C2699" s="8" t="n">
        <v>4</v>
      </c>
      <c r="D2699" s="8" t="n">
        <v>80.96</v>
      </c>
      <c r="E2699" s="8" t="n">
        <v>0</v>
      </c>
      <c r="F2699" s="8" t="n">
        <v>0</v>
      </c>
    </row>
    <row r="2700" customFormat="false" ht="15" hidden="false" customHeight="true" outlineLevel="0" collapsed="false">
      <c r="A2700" s="8" t="s">
        <v>232</v>
      </c>
      <c r="B2700" s="8" t="s">
        <v>1233</v>
      </c>
      <c r="C2700" s="8" t="n">
        <v>3</v>
      </c>
      <c r="D2700" s="8" t="n">
        <v>48.6</v>
      </c>
      <c r="E2700" s="8" t="n">
        <v>0</v>
      </c>
      <c r="F2700" s="8" t="n">
        <v>0</v>
      </c>
    </row>
    <row r="2701" customFormat="false" ht="15" hidden="false" customHeight="true" outlineLevel="0" collapsed="false">
      <c r="A2701" s="8" t="s">
        <v>215</v>
      </c>
      <c r="B2701" s="8" t="s">
        <v>1233</v>
      </c>
      <c r="C2701" s="8" t="n">
        <v>0</v>
      </c>
      <c r="D2701" s="8" t="n">
        <v>0</v>
      </c>
      <c r="E2701" s="8" t="n">
        <v>2</v>
      </c>
      <c r="F2701" s="8" t="n">
        <v>35.64</v>
      </c>
    </row>
    <row r="2702" customFormat="false" ht="15" hidden="false" customHeight="true" outlineLevel="0" collapsed="false">
      <c r="A2702" s="8" t="s">
        <v>255</v>
      </c>
      <c r="B2702" s="8" t="s">
        <v>1273</v>
      </c>
      <c r="C2702" s="8" t="n">
        <v>4</v>
      </c>
      <c r="D2702" s="8" t="n">
        <v>32.8</v>
      </c>
      <c r="E2702" s="8" t="n">
        <v>0</v>
      </c>
      <c r="F2702" s="8" t="n">
        <v>0</v>
      </c>
    </row>
    <row r="2703" customFormat="false" ht="15" hidden="false" customHeight="true" outlineLevel="0" collapsed="false">
      <c r="A2703" s="8" t="s">
        <v>194</v>
      </c>
      <c r="B2703" s="8" t="s">
        <v>1239</v>
      </c>
      <c r="C2703" s="8" t="n">
        <v>19</v>
      </c>
      <c r="D2703" s="8" t="n">
        <v>186.58</v>
      </c>
      <c r="E2703" s="8" t="n">
        <v>6</v>
      </c>
      <c r="F2703" s="8" t="n">
        <v>58.92</v>
      </c>
    </row>
    <row r="2704" customFormat="false" ht="15" hidden="false" customHeight="true" outlineLevel="0" collapsed="false">
      <c r="A2704" s="8" t="s">
        <v>279</v>
      </c>
      <c r="B2704" s="8" t="s">
        <v>1274</v>
      </c>
      <c r="C2704" s="8" t="n">
        <v>5</v>
      </c>
      <c r="D2704" s="8" t="n">
        <v>49.1</v>
      </c>
      <c r="E2704" s="8" t="n">
        <v>0</v>
      </c>
      <c r="F2704" s="8" t="n">
        <v>0</v>
      </c>
    </row>
    <row r="2705" customFormat="false" ht="15" hidden="false" customHeight="true" outlineLevel="0" collapsed="false">
      <c r="A2705" s="8" t="s">
        <v>169</v>
      </c>
      <c r="B2705" s="8" t="s">
        <v>1240</v>
      </c>
      <c r="C2705" s="8" t="n">
        <v>6</v>
      </c>
      <c r="D2705" s="8" t="n">
        <v>250.86</v>
      </c>
      <c r="E2705" s="8" t="n">
        <v>0</v>
      </c>
      <c r="F2705" s="8" t="n">
        <v>0</v>
      </c>
    </row>
    <row r="2706" customFormat="false" ht="15" hidden="false" customHeight="true" outlineLevel="0" collapsed="false">
      <c r="A2706" s="8" t="s">
        <v>199</v>
      </c>
      <c r="B2706" s="8" t="s">
        <v>1216</v>
      </c>
      <c r="C2706" s="8" t="n">
        <v>0</v>
      </c>
      <c r="D2706" s="8" t="n">
        <v>0</v>
      </c>
      <c r="E2706" s="8" t="n">
        <v>2</v>
      </c>
      <c r="F2706" s="8" t="n">
        <v>33</v>
      </c>
    </row>
    <row r="2707" customFormat="false" ht="15" hidden="false" customHeight="true" outlineLevel="0" collapsed="false">
      <c r="A2707" s="8" t="s">
        <v>205</v>
      </c>
      <c r="B2707" s="8" t="s">
        <v>1217</v>
      </c>
      <c r="C2707" s="8" t="n">
        <v>2</v>
      </c>
      <c r="D2707" s="8" t="n">
        <v>41</v>
      </c>
      <c r="E2707" s="8" t="n">
        <v>1</v>
      </c>
      <c r="F2707" s="8" t="n">
        <v>20.5</v>
      </c>
    </row>
    <row r="2708" customFormat="false" ht="15" hidden="false" customHeight="true" outlineLevel="0" collapsed="false">
      <c r="A2708" s="8" t="s">
        <v>256</v>
      </c>
      <c r="B2708" s="8" t="s">
        <v>1217</v>
      </c>
      <c r="C2708" s="8" t="n">
        <v>0</v>
      </c>
      <c r="D2708" s="8" t="n">
        <v>0</v>
      </c>
      <c r="E2708" s="8" t="n">
        <v>1</v>
      </c>
      <c r="F2708" s="8" t="n">
        <v>20.5</v>
      </c>
    </row>
    <row r="2709" customFormat="false" ht="15" hidden="false" customHeight="true" outlineLevel="0" collapsed="false">
      <c r="A2709" s="8" t="s">
        <v>178</v>
      </c>
      <c r="B2709" s="8" t="s">
        <v>1236</v>
      </c>
      <c r="C2709" s="8" t="n">
        <v>5</v>
      </c>
      <c r="D2709" s="8" t="n">
        <v>175</v>
      </c>
      <c r="E2709" s="8" t="n">
        <v>0</v>
      </c>
      <c r="F2709" s="8" t="n">
        <v>0</v>
      </c>
    </row>
    <row r="2710" customFormat="false" ht="15" hidden="false" customHeight="true" outlineLevel="0" collapsed="false">
      <c r="A2710" s="8" t="s">
        <v>176</v>
      </c>
      <c r="B2710" s="8" t="s">
        <v>1236</v>
      </c>
      <c r="C2710" s="8" t="n">
        <v>5</v>
      </c>
      <c r="D2710" s="8" t="n">
        <v>175</v>
      </c>
      <c r="E2710" s="8" t="n">
        <v>0</v>
      </c>
      <c r="F2710" s="8" t="n">
        <v>0</v>
      </c>
    </row>
    <row r="2711" customFormat="false" ht="15" hidden="false" customHeight="true" outlineLevel="0" collapsed="false">
      <c r="A2711" s="8" t="s">
        <v>235</v>
      </c>
      <c r="B2711" s="8" t="s">
        <v>1236</v>
      </c>
      <c r="C2711" s="8" t="n">
        <v>3</v>
      </c>
      <c r="D2711" s="8" t="n">
        <v>105</v>
      </c>
      <c r="E2711" s="8" t="n">
        <v>0</v>
      </c>
      <c r="F2711" s="8" t="n">
        <v>0</v>
      </c>
    </row>
    <row r="2712" customFormat="false" ht="15" hidden="false" customHeight="true" outlineLevel="0" collapsed="false">
      <c r="A2712" s="8" t="s">
        <v>224</v>
      </c>
      <c r="B2712" s="8" t="s">
        <v>1236</v>
      </c>
      <c r="C2712" s="8" t="n">
        <v>3</v>
      </c>
      <c r="D2712" s="8" t="n">
        <v>105</v>
      </c>
      <c r="E2712" s="8" t="n">
        <v>0</v>
      </c>
      <c r="F2712" s="8" t="n">
        <v>0</v>
      </c>
    </row>
    <row r="2713" customFormat="false" ht="15" hidden="false" customHeight="true" outlineLevel="0" collapsed="false">
      <c r="A2713" s="8" t="s">
        <v>300</v>
      </c>
      <c r="B2713" s="8" t="s">
        <v>769</v>
      </c>
      <c r="C2713" s="8" t="n">
        <v>2</v>
      </c>
      <c r="D2713" s="8" t="n">
        <v>34</v>
      </c>
      <c r="E2713" s="8" t="n">
        <v>0</v>
      </c>
      <c r="F2713" s="8" t="n">
        <v>0</v>
      </c>
    </row>
    <row r="2714" customFormat="false" ht="15" hidden="false" customHeight="true" outlineLevel="0" collapsed="false">
      <c r="A2714" s="8" t="s">
        <v>182</v>
      </c>
      <c r="B2714" s="8" t="s">
        <v>799</v>
      </c>
      <c r="C2714" s="8" t="n">
        <v>4</v>
      </c>
      <c r="D2714" s="8" t="n">
        <v>80</v>
      </c>
      <c r="E2714" s="8" t="n">
        <v>2</v>
      </c>
      <c r="F2714" s="8" t="n">
        <v>40</v>
      </c>
    </row>
    <row r="2715" customFormat="false" ht="15" hidden="false" customHeight="true" outlineLevel="0" collapsed="false">
      <c r="A2715" s="8" t="s">
        <v>274</v>
      </c>
      <c r="B2715" s="8" t="s">
        <v>1219</v>
      </c>
      <c r="C2715" s="8" t="n">
        <v>3</v>
      </c>
      <c r="D2715" s="8" t="n">
        <v>26.19</v>
      </c>
      <c r="E2715" s="8" t="n">
        <v>0</v>
      </c>
      <c r="F2715" s="8" t="n">
        <v>0</v>
      </c>
    </row>
    <row r="2716" customFormat="false" ht="15" hidden="false" customHeight="true" outlineLevel="0" collapsed="false">
      <c r="A2716" s="8" t="s">
        <v>170</v>
      </c>
      <c r="B2716" s="8" t="s">
        <v>1220</v>
      </c>
      <c r="C2716" s="8" t="n">
        <v>30</v>
      </c>
      <c r="D2716" s="8" t="n">
        <v>444</v>
      </c>
      <c r="E2716" s="8" t="n">
        <v>0</v>
      </c>
      <c r="F2716" s="8" t="n">
        <v>0</v>
      </c>
    </row>
    <row r="2717" customFormat="false" ht="15" hidden="false" customHeight="true" outlineLevel="0" collapsed="false">
      <c r="A2717" s="8" t="s">
        <v>167</v>
      </c>
      <c r="B2717" s="8" t="s">
        <v>1238</v>
      </c>
      <c r="C2717" s="8" t="n">
        <v>2</v>
      </c>
      <c r="D2717" s="8" t="n">
        <v>26.8</v>
      </c>
      <c r="E2717" s="8" t="n">
        <v>0</v>
      </c>
      <c r="F2717" s="8" t="n">
        <v>0</v>
      </c>
    </row>
    <row r="2718" customFormat="false" ht="15" hidden="false" customHeight="true" outlineLevel="0" collapsed="false">
      <c r="A2718" s="8" t="s">
        <v>323</v>
      </c>
      <c r="B2718" s="8" t="s">
        <v>875</v>
      </c>
      <c r="C2718" s="8" t="n">
        <v>4</v>
      </c>
      <c r="D2718" s="8" t="n">
        <v>63.64</v>
      </c>
      <c r="E2718" s="8" t="n">
        <v>6</v>
      </c>
      <c r="F2718" s="8" t="n">
        <v>95.46</v>
      </c>
    </row>
    <row r="2719" customFormat="false" ht="15" hidden="false" customHeight="true" outlineLevel="0" collapsed="false">
      <c r="A2719" s="8" t="s">
        <v>294</v>
      </c>
      <c r="B2719" s="8" t="s">
        <v>1289</v>
      </c>
      <c r="C2719" s="8" t="n">
        <v>6</v>
      </c>
      <c r="D2719" s="8" t="n">
        <v>86.7</v>
      </c>
      <c r="E2719" s="8" t="n">
        <v>0</v>
      </c>
      <c r="F2719" s="8" t="n">
        <v>0</v>
      </c>
    </row>
    <row r="2720" customFormat="false" ht="15" hidden="false" customHeight="true" outlineLevel="0" collapsed="false">
      <c r="A2720" s="8" t="s">
        <v>315</v>
      </c>
      <c r="B2720" s="8" t="s">
        <v>1266</v>
      </c>
      <c r="C2720" s="8" t="n">
        <v>1</v>
      </c>
      <c r="D2720" s="8" t="n">
        <v>15.91</v>
      </c>
      <c r="E2720" s="8" t="n">
        <v>6</v>
      </c>
      <c r="F2720" s="8" t="n">
        <v>95.46</v>
      </c>
    </row>
    <row r="2721" customFormat="false" ht="15" hidden="false" customHeight="true" outlineLevel="0" collapsed="false">
      <c r="A2721" s="8" t="s">
        <v>233</v>
      </c>
      <c r="B2721" s="8" t="s">
        <v>1249</v>
      </c>
      <c r="C2721" s="8" t="n">
        <v>17</v>
      </c>
      <c r="D2721" s="8" t="n">
        <v>305.15</v>
      </c>
      <c r="E2721" s="8" t="n">
        <v>0</v>
      </c>
      <c r="F2721" s="8" t="n">
        <v>0</v>
      </c>
    </row>
    <row r="2722" customFormat="false" ht="15" hidden="false" customHeight="true" outlineLevel="0" collapsed="false">
      <c r="A2722" s="8" t="s">
        <v>264</v>
      </c>
      <c r="B2722" s="8" t="s">
        <v>1221</v>
      </c>
      <c r="C2722" s="8" t="n">
        <v>33</v>
      </c>
      <c r="D2722" s="8" t="n">
        <v>191.73</v>
      </c>
      <c r="E2722" s="8" t="n">
        <v>14</v>
      </c>
      <c r="F2722" s="8" t="n">
        <v>81.34</v>
      </c>
    </row>
    <row r="2723" customFormat="false" ht="15" hidden="false" customHeight="true" outlineLevel="0" collapsed="false">
      <c r="A2723" s="8" t="s">
        <v>203</v>
      </c>
      <c r="B2723" s="8" t="s">
        <v>1177</v>
      </c>
      <c r="C2723" s="8" t="n">
        <v>3</v>
      </c>
      <c r="D2723" s="8" t="n">
        <v>55.5</v>
      </c>
      <c r="E2723" s="8" t="n">
        <v>0</v>
      </c>
      <c r="F2723" s="8" t="n">
        <v>0</v>
      </c>
    </row>
    <row r="2724" customFormat="false" ht="15" hidden="false" customHeight="true" outlineLevel="0" collapsed="false">
      <c r="A2724" s="8" t="s">
        <v>226</v>
      </c>
      <c r="B2724" s="8" t="s">
        <v>566</v>
      </c>
      <c r="C2724" s="8" t="n">
        <v>2</v>
      </c>
      <c r="D2724" s="8" t="n">
        <v>41.6</v>
      </c>
      <c r="E2724" s="8" t="n">
        <v>0</v>
      </c>
      <c r="F2724" s="8" t="n">
        <v>0</v>
      </c>
    </row>
    <row r="2725" customFormat="false" ht="15" hidden="false" customHeight="true" outlineLevel="0" collapsed="false">
      <c r="A2725" s="8" t="s">
        <v>200</v>
      </c>
      <c r="B2725" s="8" t="s">
        <v>1279</v>
      </c>
      <c r="C2725" s="8" t="n">
        <v>2</v>
      </c>
      <c r="D2725" s="8" t="n">
        <v>154.48</v>
      </c>
      <c r="E2725" s="8" t="n">
        <v>0</v>
      </c>
      <c r="F2725" s="8" t="n">
        <v>0</v>
      </c>
    </row>
    <row r="2726" customFormat="false" ht="15" hidden="false" customHeight="true" outlineLevel="0" collapsed="false">
      <c r="A2726" s="8" t="s">
        <v>208</v>
      </c>
      <c r="B2726" s="8" t="s">
        <v>1179</v>
      </c>
      <c r="C2726" s="8" t="n">
        <v>2</v>
      </c>
      <c r="D2726" s="8" t="n">
        <v>144.68</v>
      </c>
      <c r="E2726" s="8" t="n">
        <v>0</v>
      </c>
      <c r="F2726" s="8" t="n">
        <v>0</v>
      </c>
    </row>
    <row r="2727" customFormat="false" ht="15" hidden="false" customHeight="true" outlineLevel="0" collapsed="false">
      <c r="A2727" s="8" t="s">
        <v>191</v>
      </c>
      <c r="B2727" s="8" t="s">
        <v>1179</v>
      </c>
      <c r="C2727" s="8" t="n">
        <v>1</v>
      </c>
      <c r="D2727" s="8" t="n">
        <v>72.34</v>
      </c>
      <c r="E2727" s="8" t="n">
        <v>0</v>
      </c>
      <c r="F2727" s="8" t="n">
        <v>0</v>
      </c>
    </row>
    <row r="2728" customFormat="false" ht="15" hidden="false" customHeight="true" outlineLevel="0" collapsed="false">
      <c r="A2728" s="8" t="s">
        <v>280</v>
      </c>
      <c r="B2728" s="8" t="s">
        <v>1282</v>
      </c>
      <c r="C2728" s="8" t="n">
        <v>2</v>
      </c>
      <c r="D2728" s="8" t="n">
        <v>214.18</v>
      </c>
      <c r="E2728" s="8" t="n">
        <v>4</v>
      </c>
      <c r="F2728" s="8" t="n">
        <v>428.36</v>
      </c>
    </row>
    <row r="2729" customFormat="false" ht="15" hidden="false" customHeight="true" outlineLevel="0" collapsed="false">
      <c r="A2729" s="8" t="s">
        <v>283</v>
      </c>
      <c r="B2729" s="8" t="s">
        <v>1223</v>
      </c>
      <c r="C2729" s="8" t="n">
        <v>2</v>
      </c>
      <c r="D2729" s="8" t="n">
        <v>155.6</v>
      </c>
      <c r="E2729" s="8" t="n">
        <v>0</v>
      </c>
      <c r="F2729" s="8" t="n">
        <v>0</v>
      </c>
    </row>
    <row r="2730" customFormat="false" ht="15" hidden="false" customHeight="true" outlineLevel="0" collapsed="false">
      <c r="A2730" s="8" t="s">
        <v>216</v>
      </c>
      <c r="B2730" s="8" t="s">
        <v>1223</v>
      </c>
      <c r="C2730" s="8" t="n">
        <v>0</v>
      </c>
      <c r="D2730" s="8" t="n">
        <v>0</v>
      </c>
      <c r="E2730" s="8" t="n">
        <v>4</v>
      </c>
      <c r="F2730" s="8" t="n">
        <v>311.2</v>
      </c>
    </row>
    <row r="2731" customFormat="false" ht="15" hidden="false" customHeight="true" outlineLevel="0" collapsed="false">
      <c r="A2731" s="8" t="s">
        <v>190</v>
      </c>
      <c r="B2731" s="8" t="s">
        <v>1224</v>
      </c>
      <c r="C2731" s="8" t="n">
        <v>6</v>
      </c>
      <c r="D2731" s="8" t="n">
        <v>146.58</v>
      </c>
      <c r="E2731" s="8" t="n">
        <v>1</v>
      </c>
      <c r="F2731" s="8" t="n">
        <v>24.43</v>
      </c>
    </row>
    <row r="2732" customFormat="false" ht="15" hidden="false" customHeight="true" outlineLevel="0" collapsed="false">
      <c r="A2732" s="8" t="s">
        <v>231</v>
      </c>
      <c r="B2732" s="8" t="s">
        <v>1224</v>
      </c>
      <c r="C2732" s="8" t="n">
        <v>12</v>
      </c>
      <c r="D2732" s="8" t="n">
        <v>293.16</v>
      </c>
      <c r="E2732" s="8" t="n">
        <v>0</v>
      </c>
      <c r="F2732" s="8" t="n">
        <v>0</v>
      </c>
    </row>
    <row r="2733" customFormat="false" ht="15" hidden="false" customHeight="true" outlineLevel="0" collapsed="false">
      <c r="A2733" s="8" t="s">
        <v>171</v>
      </c>
      <c r="B2733" s="8" t="s">
        <v>1210</v>
      </c>
      <c r="C2733" s="8" t="n">
        <v>12</v>
      </c>
      <c r="D2733" s="8" t="n">
        <v>566.76</v>
      </c>
      <c r="E2733" s="8" t="n">
        <v>0</v>
      </c>
      <c r="F2733" s="8" t="n">
        <v>0</v>
      </c>
    </row>
    <row r="2734" customFormat="false" ht="15" hidden="false" customHeight="true" outlineLevel="0" collapsed="false">
      <c r="A2734" s="8" t="s">
        <v>174</v>
      </c>
      <c r="B2734" s="8" t="s">
        <v>1210</v>
      </c>
      <c r="C2734" s="8" t="n">
        <v>6</v>
      </c>
      <c r="D2734" s="8" t="n">
        <v>283.38</v>
      </c>
      <c r="E2734" s="8" t="n">
        <v>0</v>
      </c>
      <c r="F2734" s="8" t="n">
        <v>0</v>
      </c>
    </row>
    <row r="2735" customFormat="false" ht="15" hidden="false" customHeight="true" outlineLevel="0" collapsed="false">
      <c r="A2735" s="8" t="s">
        <v>166</v>
      </c>
      <c r="B2735" s="8" t="s">
        <v>1211</v>
      </c>
      <c r="C2735" s="8" t="n">
        <v>28</v>
      </c>
      <c r="D2735" s="8" t="n">
        <v>1771.56</v>
      </c>
      <c r="E2735" s="8" t="n">
        <v>0</v>
      </c>
      <c r="F2735" s="8" t="n">
        <v>0</v>
      </c>
    </row>
    <row r="2736" customFormat="false" ht="15" hidden="false" customHeight="true" outlineLevel="0" collapsed="false">
      <c r="A2736" s="8" t="s">
        <v>164</v>
      </c>
      <c r="B2736" s="8" t="s">
        <v>1211</v>
      </c>
      <c r="C2736" s="8" t="n">
        <v>13</v>
      </c>
      <c r="D2736" s="8" t="n">
        <v>822.51</v>
      </c>
      <c r="E2736" s="8" t="n">
        <v>5</v>
      </c>
      <c r="F2736" s="8" t="n">
        <v>316.35</v>
      </c>
    </row>
    <row r="2737" customFormat="false" ht="15" hidden="false" customHeight="true" outlineLevel="0" collapsed="false">
      <c r="A2737" s="8" t="s">
        <v>222</v>
      </c>
      <c r="B2737" s="8" t="s">
        <v>1211</v>
      </c>
      <c r="C2737" s="8" t="n">
        <v>2</v>
      </c>
      <c r="D2737" s="8" t="n">
        <v>126.54</v>
      </c>
      <c r="E2737" s="8" t="n">
        <v>0</v>
      </c>
      <c r="F2737" s="8" t="n">
        <v>0</v>
      </c>
    </row>
    <row r="2738" customFormat="false" ht="15" hidden="false" customHeight="true" outlineLevel="0" collapsed="false">
      <c r="A2738" s="8" t="s">
        <v>187</v>
      </c>
      <c r="B2738" s="8" t="s">
        <v>1211</v>
      </c>
      <c r="C2738" s="8" t="n">
        <v>6</v>
      </c>
      <c r="D2738" s="8" t="n">
        <v>379.62</v>
      </c>
      <c r="E2738" s="8" t="n">
        <v>0</v>
      </c>
      <c r="F2738" s="8" t="n">
        <v>0</v>
      </c>
    </row>
    <row r="2739" customFormat="false" ht="15" hidden="false" customHeight="true" outlineLevel="0" collapsed="false">
      <c r="A2739" s="8" t="s">
        <v>270</v>
      </c>
      <c r="B2739" s="8" t="s">
        <v>1251</v>
      </c>
      <c r="C2739" s="8" t="n">
        <v>14</v>
      </c>
      <c r="D2739" s="8" t="n">
        <v>137.48</v>
      </c>
      <c r="E2739" s="8" t="n">
        <v>0</v>
      </c>
      <c r="F2739" s="8" t="n">
        <v>0</v>
      </c>
    </row>
    <row r="2740" customFormat="false" ht="15" hidden="false" customHeight="true" outlineLevel="0" collapsed="false">
      <c r="A2740" s="8" t="s">
        <v>263</v>
      </c>
      <c r="B2740" s="8" t="s">
        <v>407</v>
      </c>
      <c r="C2740" s="8" t="n">
        <v>11</v>
      </c>
      <c r="D2740" s="8" t="n">
        <v>141.02</v>
      </c>
      <c r="E2740" s="8" t="n">
        <v>0</v>
      </c>
      <c r="F2740" s="8" t="n">
        <v>0</v>
      </c>
    </row>
    <row r="2741" customFormat="false" ht="15" hidden="false" customHeight="true" outlineLevel="0" collapsed="false">
      <c r="A2741" s="8" t="s">
        <v>188</v>
      </c>
      <c r="B2741" s="8" t="s">
        <v>1225</v>
      </c>
      <c r="C2741" s="8" t="n">
        <v>14</v>
      </c>
      <c r="D2741" s="8" t="n">
        <v>405.02</v>
      </c>
      <c r="E2741" s="8" t="n">
        <v>0</v>
      </c>
      <c r="F2741" s="8" t="n">
        <v>0</v>
      </c>
    </row>
    <row r="2742" customFormat="false" ht="15" hidden="false" customHeight="true" outlineLevel="0" collapsed="false">
      <c r="A2742" s="8" t="s">
        <v>186</v>
      </c>
      <c r="B2742" s="8" t="s">
        <v>1225</v>
      </c>
      <c r="C2742" s="8" t="n">
        <v>4</v>
      </c>
      <c r="D2742" s="8" t="n">
        <v>115.72</v>
      </c>
      <c r="E2742" s="8" t="n">
        <v>4</v>
      </c>
      <c r="F2742" s="8" t="n">
        <v>115.72</v>
      </c>
    </row>
    <row r="2743" customFormat="false" ht="15" hidden="false" customHeight="true" outlineLevel="0" collapsed="false">
      <c r="A2743" s="8" t="s">
        <v>239</v>
      </c>
      <c r="B2743" s="8" t="s">
        <v>1225</v>
      </c>
      <c r="C2743" s="8" t="n">
        <v>3</v>
      </c>
      <c r="D2743" s="8" t="n">
        <v>86.79</v>
      </c>
      <c r="E2743" s="8" t="n">
        <v>2</v>
      </c>
      <c r="F2743" s="8" t="n">
        <v>57.86</v>
      </c>
    </row>
    <row r="2744" customFormat="false" ht="15" hidden="false" customHeight="true" outlineLevel="0" collapsed="false">
      <c r="A2744" s="8" t="s">
        <v>210</v>
      </c>
      <c r="B2744" s="8" t="s">
        <v>1225</v>
      </c>
      <c r="C2744" s="8" t="n">
        <v>4</v>
      </c>
      <c r="D2744" s="8" t="n">
        <v>115.72</v>
      </c>
      <c r="E2744" s="8" t="n">
        <v>1</v>
      </c>
      <c r="F2744" s="8" t="n">
        <v>28.93</v>
      </c>
    </row>
    <row r="2745" customFormat="false" ht="15" hidden="false" customHeight="true" outlineLevel="0" collapsed="false">
      <c r="A2745" s="8" t="s">
        <v>241</v>
      </c>
      <c r="B2745" s="8" t="s">
        <v>1227</v>
      </c>
      <c r="C2745" s="8" t="n">
        <v>4</v>
      </c>
      <c r="D2745" s="8" t="n">
        <v>68</v>
      </c>
      <c r="E2745" s="8" t="n">
        <v>0</v>
      </c>
      <c r="F2745" s="8" t="n">
        <v>0</v>
      </c>
    </row>
    <row r="2746" customFormat="false" ht="15" hidden="false" customHeight="true" outlineLevel="0" collapsed="false">
      <c r="A2746" s="8" t="s">
        <v>219</v>
      </c>
      <c r="B2746" s="8" t="s">
        <v>1227</v>
      </c>
      <c r="C2746" s="8" t="n">
        <v>4</v>
      </c>
      <c r="D2746" s="8" t="n">
        <v>68</v>
      </c>
      <c r="E2746" s="8" t="n">
        <v>2</v>
      </c>
      <c r="F2746" s="8" t="n">
        <v>34</v>
      </c>
    </row>
    <row r="2747" customFormat="false" ht="15" hidden="false" customHeight="true" outlineLevel="0" collapsed="false">
      <c r="A2747" s="8" t="s">
        <v>223</v>
      </c>
      <c r="B2747" s="8" t="s">
        <v>1227</v>
      </c>
      <c r="C2747" s="8" t="n">
        <v>3</v>
      </c>
      <c r="D2747" s="8" t="n">
        <v>51</v>
      </c>
      <c r="E2747" s="8" t="n">
        <v>0</v>
      </c>
      <c r="F2747" s="8" t="n">
        <v>0</v>
      </c>
    </row>
    <row r="2748" customFormat="false" ht="15" hidden="false" customHeight="true" outlineLevel="0" collapsed="false">
      <c r="A2748" s="8" t="s">
        <v>229</v>
      </c>
      <c r="B2748" s="8" t="s">
        <v>881</v>
      </c>
      <c r="C2748" s="8" t="n">
        <v>5</v>
      </c>
      <c r="D2748" s="8" t="n">
        <v>206</v>
      </c>
      <c r="E2748" s="8" t="n">
        <v>2</v>
      </c>
      <c r="F2748" s="8" t="n">
        <v>82.4</v>
      </c>
    </row>
    <row r="2749" customFormat="false" ht="15" hidden="false" customHeight="true" outlineLevel="0" collapsed="false">
      <c r="A2749" s="8" t="s">
        <v>237</v>
      </c>
      <c r="B2749" s="8" t="s">
        <v>1259</v>
      </c>
      <c r="C2749" s="8" t="n">
        <v>13</v>
      </c>
      <c r="D2749" s="8" t="n">
        <v>239.85</v>
      </c>
      <c r="E2749" s="8" t="n">
        <v>0</v>
      </c>
      <c r="F2749" s="8" t="n">
        <v>0</v>
      </c>
    </row>
    <row r="2750" customFormat="false" ht="15" hidden="false" customHeight="true" outlineLevel="0" collapsed="false">
      <c r="A2750" s="8" t="s">
        <v>271</v>
      </c>
      <c r="B2750" s="8" t="s">
        <v>1260</v>
      </c>
      <c r="C2750" s="8" t="n">
        <v>6</v>
      </c>
      <c r="D2750" s="8" t="n">
        <v>140.4</v>
      </c>
      <c r="E2750" s="8" t="n">
        <v>0</v>
      </c>
      <c r="F2750" s="8" t="n">
        <v>0</v>
      </c>
    </row>
    <row r="2751" customFormat="false" ht="15" hidden="false" customHeight="true" outlineLevel="0" collapsed="false">
      <c r="A2751" s="8" t="s">
        <v>202</v>
      </c>
      <c r="B2751" s="8" t="s">
        <v>1212</v>
      </c>
      <c r="C2751" s="8" t="n">
        <v>16</v>
      </c>
      <c r="D2751" s="8" t="n">
        <v>152</v>
      </c>
      <c r="E2751" s="8" t="n">
        <v>0</v>
      </c>
      <c r="F2751" s="8" t="n">
        <v>0</v>
      </c>
    </row>
    <row r="2752" customFormat="false" ht="15" hidden="false" customHeight="true" outlineLevel="0" collapsed="false">
      <c r="A2752" s="8" t="s">
        <v>244</v>
      </c>
      <c r="B2752" s="8" t="s">
        <v>1213</v>
      </c>
      <c r="C2752" s="8" t="n">
        <v>20</v>
      </c>
      <c r="D2752" s="8" t="n">
        <v>190</v>
      </c>
      <c r="E2752" s="8" t="n">
        <v>0</v>
      </c>
      <c r="F2752" s="8" t="n">
        <v>0</v>
      </c>
    </row>
    <row r="2753" customFormat="false" ht="15" hidden="false" customHeight="true" outlineLevel="0" collapsed="false">
      <c r="A2753" s="8" t="s">
        <v>308</v>
      </c>
      <c r="B2753" s="8" t="s">
        <v>1229</v>
      </c>
      <c r="C2753" s="8" t="n">
        <v>2</v>
      </c>
      <c r="D2753" s="8" t="n">
        <v>16.16</v>
      </c>
      <c r="E2753" s="8" t="n">
        <v>2</v>
      </c>
      <c r="F2753" s="8" t="n">
        <v>16.16</v>
      </c>
    </row>
    <row r="2754" customFormat="false" ht="15" hidden="false" customHeight="true" outlineLevel="0" collapsed="false">
      <c r="A2754" s="8" t="s">
        <v>172</v>
      </c>
      <c r="B2754" s="8" t="s">
        <v>1214</v>
      </c>
      <c r="C2754" s="8" t="n">
        <v>10</v>
      </c>
      <c r="D2754" s="8" t="n">
        <v>121.8</v>
      </c>
      <c r="E2754" s="8" t="n">
        <v>2</v>
      </c>
      <c r="F2754" s="8" t="n">
        <v>24.36</v>
      </c>
    </row>
    <row r="2755" customFormat="false" ht="15" hidden="false" customHeight="true" outlineLevel="0" collapsed="false">
      <c r="A2755" s="8" t="s">
        <v>269</v>
      </c>
      <c r="B2755" s="8" t="s">
        <v>1231</v>
      </c>
      <c r="C2755" s="8" t="n">
        <v>7</v>
      </c>
      <c r="D2755" s="8" t="n">
        <v>79.31</v>
      </c>
      <c r="E2755" s="8" t="n">
        <v>0</v>
      </c>
      <c r="F2755" s="8" t="n">
        <v>0</v>
      </c>
    </row>
    <row r="2756" customFormat="false" ht="15" hidden="false" customHeight="true" outlineLevel="0" collapsed="false">
      <c r="A2756" s="8" t="s">
        <v>213</v>
      </c>
      <c r="B2756" s="8" t="s">
        <v>1232</v>
      </c>
      <c r="C2756" s="8" t="n">
        <v>8</v>
      </c>
      <c r="D2756" s="8" t="n">
        <v>220.4</v>
      </c>
      <c r="E2756" s="8" t="n">
        <v>0</v>
      </c>
      <c r="F2756" s="8" t="n">
        <v>0</v>
      </c>
    </row>
    <row r="2757" customFormat="false" ht="15" hidden="false" customHeight="true" outlineLevel="0" collapsed="false">
      <c r="A2757" s="8" t="s">
        <v>255</v>
      </c>
      <c r="B2757" s="8" t="s">
        <v>1273</v>
      </c>
      <c r="C2757" s="8" t="n">
        <v>0</v>
      </c>
      <c r="D2757" s="8" t="n">
        <v>0</v>
      </c>
      <c r="E2757" s="8" t="n">
        <v>2</v>
      </c>
      <c r="F2757" s="8" t="n">
        <v>16.4</v>
      </c>
    </row>
    <row r="2758" customFormat="false" ht="15" hidden="false" customHeight="true" outlineLevel="0" collapsed="false">
      <c r="A2758" s="8" t="s">
        <v>194</v>
      </c>
      <c r="B2758" s="8" t="s">
        <v>1239</v>
      </c>
      <c r="C2758" s="8" t="n">
        <v>37</v>
      </c>
      <c r="D2758" s="8" t="n">
        <v>363.34</v>
      </c>
      <c r="E2758" s="8" t="n">
        <v>0</v>
      </c>
      <c r="F2758" s="8" t="n">
        <v>0</v>
      </c>
    </row>
    <row r="2759" customFormat="false" ht="15" hidden="false" customHeight="true" outlineLevel="0" collapsed="false">
      <c r="A2759" s="8" t="s">
        <v>279</v>
      </c>
      <c r="B2759" s="8" t="s">
        <v>1274</v>
      </c>
      <c r="C2759" s="8" t="n">
        <v>13</v>
      </c>
      <c r="D2759" s="8" t="n">
        <v>127.66</v>
      </c>
      <c r="E2759" s="8" t="n">
        <v>0</v>
      </c>
      <c r="F2759" s="8" t="n">
        <v>0</v>
      </c>
    </row>
    <row r="2760" customFormat="false" ht="15" hidden="false" customHeight="true" outlineLevel="0" collapsed="false">
      <c r="A2760" s="8" t="s">
        <v>326</v>
      </c>
      <c r="B2760" s="8" t="s">
        <v>1281</v>
      </c>
      <c r="C2760" s="8" t="n">
        <v>4</v>
      </c>
      <c r="D2760" s="8" t="n">
        <v>94.4</v>
      </c>
      <c r="E2760" s="8" t="n">
        <v>2</v>
      </c>
      <c r="F2760" s="8" t="n">
        <v>47.2</v>
      </c>
    </row>
    <row r="2761" customFormat="false" ht="15" hidden="false" customHeight="true" outlineLevel="0" collapsed="false">
      <c r="A2761" s="8" t="s">
        <v>168</v>
      </c>
      <c r="B2761" s="8" t="s">
        <v>1240</v>
      </c>
      <c r="C2761" s="8" t="n">
        <v>1</v>
      </c>
      <c r="D2761" s="8" t="n">
        <v>41.81</v>
      </c>
      <c r="E2761" s="8" t="n">
        <v>0</v>
      </c>
      <c r="F2761" s="8" t="n">
        <v>0</v>
      </c>
    </row>
    <row r="2762" customFormat="false" ht="15" hidden="false" customHeight="true" outlineLevel="0" collapsed="false">
      <c r="A2762" s="8" t="s">
        <v>209</v>
      </c>
      <c r="B2762" s="8" t="s">
        <v>1245</v>
      </c>
      <c r="C2762" s="8" t="n">
        <v>6</v>
      </c>
      <c r="D2762" s="8" t="n">
        <v>389.34</v>
      </c>
      <c r="E2762" s="8" t="n">
        <v>0</v>
      </c>
      <c r="F2762" s="8" t="n">
        <v>0</v>
      </c>
    </row>
    <row r="2763" customFormat="false" ht="15" hidden="false" customHeight="true" outlineLevel="0" collapsed="false">
      <c r="A2763" s="8" t="s">
        <v>180</v>
      </c>
      <c r="B2763" s="8" t="s">
        <v>1216</v>
      </c>
      <c r="C2763" s="8" t="n">
        <v>9</v>
      </c>
      <c r="D2763" s="8" t="n">
        <v>148.5</v>
      </c>
      <c r="E2763" s="8" t="n">
        <v>2</v>
      </c>
      <c r="F2763" s="8" t="n">
        <v>33</v>
      </c>
    </row>
    <row r="2764" customFormat="false" ht="15" hidden="false" customHeight="true" outlineLevel="0" collapsed="false">
      <c r="A2764" s="8" t="s">
        <v>189</v>
      </c>
      <c r="B2764" s="8" t="s">
        <v>1216</v>
      </c>
      <c r="C2764" s="8" t="n">
        <v>1</v>
      </c>
      <c r="D2764" s="8" t="n">
        <v>16.5</v>
      </c>
      <c r="E2764" s="8" t="n">
        <v>0</v>
      </c>
      <c r="F2764" s="8" t="n">
        <v>0</v>
      </c>
    </row>
    <row r="2765" customFormat="false" ht="15" hidden="false" customHeight="true" outlineLevel="0" collapsed="false">
      <c r="A2765" s="8" t="s">
        <v>199</v>
      </c>
      <c r="B2765" s="8" t="s">
        <v>1216</v>
      </c>
      <c r="C2765" s="8" t="n">
        <v>24</v>
      </c>
      <c r="D2765" s="8" t="n">
        <v>396</v>
      </c>
      <c r="E2765" s="8" t="n">
        <v>0</v>
      </c>
      <c r="F2765" s="8" t="n">
        <v>0</v>
      </c>
    </row>
    <row r="2766" customFormat="false" ht="15" hidden="false" customHeight="true" outlineLevel="0" collapsed="false">
      <c r="A2766" s="8" t="s">
        <v>250</v>
      </c>
      <c r="B2766" s="8" t="s">
        <v>1216</v>
      </c>
      <c r="C2766" s="8" t="n">
        <v>3</v>
      </c>
      <c r="D2766" s="8" t="n">
        <v>49.5</v>
      </c>
      <c r="E2766" s="8" t="n">
        <v>2</v>
      </c>
      <c r="F2766" s="8" t="n">
        <v>33</v>
      </c>
    </row>
    <row r="2767" customFormat="false" ht="15" hidden="false" customHeight="true" outlineLevel="0" collapsed="false">
      <c r="A2767" s="8" t="s">
        <v>228</v>
      </c>
      <c r="B2767" s="8" t="s">
        <v>1275</v>
      </c>
      <c r="C2767" s="8" t="n">
        <v>6</v>
      </c>
      <c r="D2767" s="8" t="n">
        <v>85.5</v>
      </c>
      <c r="E2767" s="8" t="n">
        <v>0</v>
      </c>
      <c r="F2767" s="8" t="n">
        <v>0</v>
      </c>
    </row>
    <row r="2768" customFormat="false" ht="15" hidden="false" customHeight="true" outlineLevel="0" collapsed="false">
      <c r="A2768" s="8" t="s">
        <v>178</v>
      </c>
      <c r="B2768" s="8" t="s">
        <v>1236</v>
      </c>
      <c r="C2768" s="8" t="n">
        <v>11</v>
      </c>
      <c r="D2768" s="8" t="n">
        <v>385</v>
      </c>
      <c r="E2768" s="8" t="n">
        <v>0</v>
      </c>
      <c r="F2768" s="8" t="n">
        <v>0</v>
      </c>
    </row>
    <row r="2769" customFormat="false" ht="15" hidden="false" customHeight="true" outlineLevel="0" collapsed="false">
      <c r="A2769" s="8" t="s">
        <v>176</v>
      </c>
      <c r="B2769" s="8" t="s">
        <v>1236</v>
      </c>
      <c r="C2769" s="8" t="n">
        <v>11</v>
      </c>
      <c r="D2769" s="8" t="n">
        <v>385</v>
      </c>
      <c r="E2769" s="8" t="n">
        <v>0</v>
      </c>
      <c r="F2769" s="8" t="n">
        <v>0</v>
      </c>
    </row>
    <row r="2770" customFormat="false" ht="15" hidden="false" customHeight="true" outlineLevel="0" collapsed="false">
      <c r="A2770" s="8" t="s">
        <v>235</v>
      </c>
      <c r="B2770" s="8" t="s">
        <v>1236</v>
      </c>
      <c r="C2770" s="8" t="n">
        <v>4</v>
      </c>
      <c r="D2770" s="8" t="n">
        <v>140</v>
      </c>
      <c r="E2770" s="8" t="n">
        <v>0</v>
      </c>
      <c r="F2770" s="8" t="n">
        <v>0</v>
      </c>
    </row>
    <row r="2771" customFormat="false" ht="15" hidden="false" customHeight="true" outlineLevel="0" collapsed="false">
      <c r="A2771" s="8" t="s">
        <v>273</v>
      </c>
      <c r="B2771" s="8" t="s">
        <v>1218</v>
      </c>
      <c r="C2771" s="8" t="n">
        <v>0</v>
      </c>
      <c r="D2771" s="8" t="n">
        <v>0</v>
      </c>
      <c r="E2771" s="8" t="n">
        <v>1</v>
      </c>
      <c r="F2771" s="8" t="n">
        <v>126.5</v>
      </c>
    </row>
    <row r="2772" customFormat="false" ht="15" hidden="false" customHeight="true" outlineLevel="0" collapsed="false">
      <c r="A2772" s="8" t="s">
        <v>234</v>
      </c>
      <c r="B2772" s="8" t="s">
        <v>769</v>
      </c>
      <c r="C2772" s="8" t="n">
        <v>3</v>
      </c>
      <c r="D2772" s="8" t="n">
        <v>51</v>
      </c>
      <c r="E2772" s="8" t="n">
        <v>0</v>
      </c>
      <c r="F2772" s="8" t="n">
        <v>0</v>
      </c>
    </row>
    <row r="2773" customFormat="false" ht="15" hidden="false" customHeight="true" outlineLevel="0" collapsed="false">
      <c r="A2773" s="8" t="s">
        <v>247</v>
      </c>
      <c r="B2773" s="8" t="s">
        <v>769</v>
      </c>
      <c r="C2773" s="8" t="n">
        <v>3</v>
      </c>
      <c r="D2773" s="8" t="n">
        <v>51</v>
      </c>
      <c r="E2773" s="8" t="n">
        <v>0</v>
      </c>
      <c r="F2773" s="8" t="n">
        <v>0</v>
      </c>
    </row>
    <row r="2774" customFormat="false" ht="15" hidden="false" customHeight="true" outlineLevel="0" collapsed="false">
      <c r="A2774" s="8" t="s">
        <v>167</v>
      </c>
      <c r="B2774" s="8" t="s">
        <v>1238</v>
      </c>
      <c r="C2774" s="8" t="n">
        <v>50</v>
      </c>
      <c r="D2774" s="8" t="n">
        <v>670</v>
      </c>
      <c r="E2774" s="8" t="n">
        <v>8</v>
      </c>
      <c r="F2774" s="8" t="n">
        <v>107.2</v>
      </c>
    </row>
    <row r="2775" customFormat="false" ht="15" hidden="false" customHeight="true" outlineLevel="0" collapsed="false">
      <c r="A2775" s="8" t="s">
        <v>334</v>
      </c>
      <c r="B2775" s="8" t="s">
        <v>1276</v>
      </c>
      <c r="C2775" s="8" t="n">
        <v>0</v>
      </c>
      <c r="D2775" s="8" t="n">
        <v>0</v>
      </c>
      <c r="E2775" s="8" t="n">
        <v>5</v>
      </c>
      <c r="F2775" s="8" t="n">
        <v>81</v>
      </c>
    </row>
    <row r="2776" customFormat="false" ht="15" hidden="false" customHeight="true" outlineLevel="0" collapsed="false">
      <c r="A2776" s="8" t="s">
        <v>323</v>
      </c>
      <c r="B2776" s="8" t="s">
        <v>875</v>
      </c>
      <c r="C2776" s="8" t="n">
        <v>2</v>
      </c>
      <c r="D2776" s="8" t="n">
        <v>31.82</v>
      </c>
      <c r="E2776" s="8" t="n">
        <v>0</v>
      </c>
      <c r="F2776" s="8" t="n">
        <v>0</v>
      </c>
    </row>
    <row r="2777" customFormat="false" ht="15" hidden="false" customHeight="true" outlineLevel="0" collapsed="false">
      <c r="A2777" s="8" t="s">
        <v>294</v>
      </c>
      <c r="B2777" s="8" t="s">
        <v>1289</v>
      </c>
      <c r="C2777" s="8" t="n">
        <v>14</v>
      </c>
      <c r="D2777" s="8" t="n">
        <v>202.3</v>
      </c>
      <c r="E2777" s="8" t="n">
        <v>2</v>
      </c>
      <c r="F2777" s="8" t="n">
        <v>28.9</v>
      </c>
    </row>
    <row r="2778" customFormat="false" ht="15" hidden="false" customHeight="true" outlineLevel="0" collapsed="false">
      <c r="A2778" s="8" t="s">
        <v>315</v>
      </c>
      <c r="B2778" s="8" t="s">
        <v>1266</v>
      </c>
      <c r="C2778" s="8" t="n">
        <v>5</v>
      </c>
      <c r="D2778" s="8" t="n">
        <v>79.55</v>
      </c>
      <c r="E2778" s="8" t="n">
        <v>0</v>
      </c>
      <c r="F2778" s="8" t="n">
        <v>0</v>
      </c>
    </row>
    <row r="2779" customFormat="false" ht="15" hidden="false" customHeight="true" outlineLevel="0" collapsed="false">
      <c r="A2779" s="8" t="s">
        <v>220</v>
      </c>
      <c r="B2779" s="8" t="s">
        <v>1248</v>
      </c>
      <c r="C2779" s="8" t="n">
        <v>42</v>
      </c>
      <c r="D2779" s="8" t="n">
        <v>436.8</v>
      </c>
      <c r="E2779" s="8" t="n">
        <v>0</v>
      </c>
      <c r="F2779" s="8" t="n">
        <v>0</v>
      </c>
    </row>
    <row r="2780" customFormat="false" ht="15" hidden="false" customHeight="true" outlineLevel="0" collapsed="false">
      <c r="A2780" s="8" t="s">
        <v>275</v>
      </c>
      <c r="B2780" s="8" t="s">
        <v>1257</v>
      </c>
      <c r="C2780" s="8" t="n">
        <v>4</v>
      </c>
      <c r="D2780" s="8" t="n">
        <v>86.4</v>
      </c>
      <c r="E2780" s="8" t="n">
        <v>0</v>
      </c>
      <c r="F2780" s="8" t="n">
        <v>0</v>
      </c>
    </row>
    <row r="2781" customFormat="false" ht="15" hidden="false" customHeight="true" outlineLevel="0" collapsed="false">
      <c r="A2781" s="8" t="s">
        <v>233</v>
      </c>
      <c r="B2781" s="8" t="s">
        <v>1249</v>
      </c>
      <c r="C2781" s="8" t="n">
        <v>6</v>
      </c>
      <c r="D2781" s="8" t="n">
        <v>107.7</v>
      </c>
      <c r="E2781" s="8" t="n">
        <v>0</v>
      </c>
      <c r="F2781" s="8" t="n">
        <v>0</v>
      </c>
    </row>
    <row r="2782" customFormat="false" ht="15" hidden="false" customHeight="true" outlineLevel="0" collapsed="false">
      <c r="A2782" s="8" t="s">
        <v>286</v>
      </c>
      <c r="B2782" s="8" t="s">
        <v>1269</v>
      </c>
      <c r="C2782" s="8" t="n">
        <v>6</v>
      </c>
      <c r="D2782" s="8" t="n">
        <v>66</v>
      </c>
      <c r="E2782" s="8" t="n">
        <v>0</v>
      </c>
      <c r="F2782" s="8" t="n">
        <v>0</v>
      </c>
    </row>
    <row r="2783" customFormat="false" ht="15" hidden="false" customHeight="true" outlineLevel="0" collapsed="false">
      <c r="A2783" s="8" t="s">
        <v>289</v>
      </c>
      <c r="B2783" s="8" t="s">
        <v>1270</v>
      </c>
      <c r="C2783" s="8" t="n">
        <v>6</v>
      </c>
      <c r="D2783" s="8" t="n">
        <v>66</v>
      </c>
      <c r="E2783" s="8" t="n">
        <v>0</v>
      </c>
      <c r="F2783" s="8" t="n">
        <v>0</v>
      </c>
    </row>
    <row r="2784" customFormat="false" ht="15" hidden="false" customHeight="true" outlineLevel="0" collapsed="false">
      <c r="A2784" s="8" t="s">
        <v>166</v>
      </c>
      <c r="B2784" s="8" t="s">
        <v>1211</v>
      </c>
      <c r="C2784" s="8" t="n">
        <v>5</v>
      </c>
      <c r="D2784" s="8" t="n">
        <v>316.35</v>
      </c>
      <c r="E2784" s="8" t="n">
        <v>0</v>
      </c>
      <c r="F2784" s="8" t="n">
        <v>0</v>
      </c>
    </row>
    <row r="2785" customFormat="false" ht="15" hidden="false" customHeight="true" outlineLevel="0" collapsed="false">
      <c r="A2785" s="8" t="s">
        <v>270</v>
      </c>
      <c r="B2785" s="8" t="s">
        <v>1251</v>
      </c>
      <c r="C2785" s="8" t="n">
        <v>3</v>
      </c>
      <c r="D2785" s="8" t="n">
        <v>29.46</v>
      </c>
      <c r="E2785" s="8" t="n">
        <v>0</v>
      </c>
      <c r="F2785" s="8" t="n">
        <v>0</v>
      </c>
    </row>
    <row r="2786" customFormat="false" ht="15" hidden="false" customHeight="true" outlineLevel="0" collapsed="false">
      <c r="A2786" s="8" t="s">
        <v>238</v>
      </c>
      <c r="B2786" s="8" t="s">
        <v>1226</v>
      </c>
      <c r="C2786" s="8" t="n">
        <v>2</v>
      </c>
      <c r="D2786" s="8" t="n">
        <v>84.34</v>
      </c>
      <c r="E2786" s="8" t="n">
        <v>0</v>
      </c>
      <c r="F2786" s="8" t="n">
        <v>0</v>
      </c>
    </row>
    <row r="2787" customFormat="false" ht="15" hidden="false" customHeight="true" outlineLevel="0" collapsed="false">
      <c r="A2787" s="8" t="s">
        <v>266</v>
      </c>
      <c r="B2787" s="8" t="s">
        <v>1228</v>
      </c>
      <c r="C2787" s="8" t="n">
        <v>9</v>
      </c>
      <c r="D2787" s="8" t="n">
        <v>179.28</v>
      </c>
      <c r="E2787" s="8" t="n">
        <v>0</v>
      </c>
      <c r="F2787" s="8" t="n">
        <v>0</v>
      </c>
    </row>
    <row r="2788" customFormat="false" ht="15" hidden="false" customHeight="true" outlineLevel="0" collapsed="false">
      <c r="A2788" s="8" t="s">
        <v>246</v>
      </c>
      <c r="B2788" s="8" t="s">
        <v>1261</v>
      </c>
      <c r="C2788" s="8" t="n">
        <v>13</v>
      </c>
      <c r="D2788" s="8" t="n">
        <v>225.55</v>
      </c>
      <c r="E2788" s="8" t="n">
        <v>0</v>
      </c>
      <c r="F2788" s="8" t="n">
        <v>0</v>
      </c>
    </row>
    <row r="2789" customFormat="false" ht="15" hidden="false" customHeight="true" outlineLevel="0" collapsed="false">
      <c r="A2789" s="8" t="s">
        <v>172</v>
      </c>
      <c r="B2789" s="8" t="s">
        <v>1214</v>
      </c>
      <c r="C2789" s="8" t="n">
        <v>14</v>
      </c>
      <c r="D2789" s="8" t="n">
        <v>170.52</v>
      </c>
      <c r="E2789" s="8" t="n">
        <v>0</v>
      </c>
      <c r="F2789" s="8" t="n">
        <v>0</v>
      </c>
    </row>
    <row r="2790" customFormat="false" ht="15" hidden="false" customHeight="true" outlineLevel="0" collapsed="false">
      <c r="A2790" s="8" t="s">
        <v>242</v>
      </c>
      <c r="B2790" s="8" t="s">
        <v>1230</v>
      </c>
      <c r="C2790" s="8" t="n">
        <v>9</v>
      </c>
      <c r="D2790" s="8" t="n">
        <v>348.3</v>
      </c>
      <c r="E2790" s="8" t="n">
        <v>0</v>
      </c>
      <c r="F2790" s="8" t="n">
        <v>0</v>
      </c>
    </row>
    <row r="2791" customFormat="false" ht="15" hidden="false" customHeight="true" outlineLevel="0" collapsed="false">
      <c r="A2791" s="8" t="s">
        <v>178</v>
      </c>
      <c r="B2791" s="8" t="s">
        <v>1236</v>
      </c>
      <c r="C2791" s="8" t="n">
        <v>2</v>
      </c>
      <c r="D2791" s="8" t="n">
        <v>70</v>
      </c>
      <c r="E2791" s="8" t="n">
        <v>0</v>
      </c>
      <c r="F2791" s="8" t="n">
        <v>0</v>
      </c>
    </row>
    <row r="2792" customFormat="false" ht="15" hidden="false" customHeight="true" outlineLevel="0" collapsed="false">
      <c r="A2792" s="8" t="s">
        <v>176</v>
      </c>
      <c r="B2792" s="8" t="s">
        <v>1236</v>
      </c>
      <c r="C2792" s="8" t="n">
        <v>2</v>
      </c>
      <c r="D2792" s="8" t="n">
        <v>70</v>
      </c>
      <c r="E2792" s="8" t="n">
        <v>0</v>
      </c>
      <c r="F2792" s="8" t="n">
        <v>0</v>
      </c>
    </row>
    <row r="2793" customFormat="false" ht="15" hidden="false" customHeight="true" outlineLevel="0" collapsed="false">
      <c r="A2793" s="8" t="s">
        <v>179</v>
      </c>
      <c r="B2793" s="8" t="s">
        <v>1218</v>
      </c>
      <c r="C2793" s="8" t="n">
        <v>7</v>
      </c>
      <c r="D2793" s="8" t="n">
        <v>885.5</v>
      </c>
      <c r="E2793" s="8" t="n">
        <v>0</v>
      </c>
      <c r="F2793" s="8" t="n">
        <v>0</v>
      </c>
    </row>
    <row r="2794" customFormat="false" ht="15" hidden="false" customHeight="true" outlineLevel="0" collapsed="false">
      <c r="A2794" s="8" t="s">
        <v>185</v>
      </c>
      <c r="B2794" s="8" t="s">
        <v>1218</v>
      </c>
      <c r="C2794" s="8" t="n">
        <v>5</v>
      </c>
      <c r="D2794" s="8" t="n">
        <v>632.5</v>
      </c>
      <c r="E2794" s="8" t="n">
        <v>0</v>
      </c>
      <c r="F2794" s="8" t="n">
        <v>0</v>
      </c>
    </row>
    <row r="2795" customFormat="false" ht="15" hidden="false" customHeight="true" outlineLevel="0" collapsed="false">
      <c r="A2795" s="8" t="s">
        <v>195</v>
      </c>
      <c r="B2795" s="8" t="s">
        <v>1218</v>
      </c>
      <c r="C2795" s="8" t="n">
        <v>1</v>
      </c>
      <c r="D2795" s="8" t="n">
        <v>126.5</v>
      </c>
      <c r="E2795" s="8" t="n">
        <v>0</v>
      </c>
      <c r="F2795" s="8" t="n">
        <v>0</v>
      </c>
    </row>
    <row r="2796" customFormat="false" ht="15" hidden="false" customHeight="true" outlineLevel="0" collapsed="false">
      <c r="A2796" s="8" t="s">
        <v>170</v>
      </c>
      <c r="B2796" s="8" t="s">
        <v>1220</v>
      </c>
      <c r="C2796" s="8" t="n">
        <v>18</v>
      </c>
      <c r="D2796" s="8" t="n">
        <v>266.4</v>
      </c>
      <c r="E2796" s="8" t="n">
        <v>0</v>
      </c>
      <c r="F2796" s="8" t="n">
        <v>0</v>
      </c>
    </row>
    <row r="2797" customFormat="false" ht="15" hidden="false" customHeight="true" outlineLevel="0" collapsed="false">
      <c r="A2797" s="8" t="s">
        <v>163</v>
      </c>
      <c r="B2797" s="8" t="s">
        <v>897</v>
      </c>
      <c r="C2797" s="8" t="n">
        <v>2</v>
      </c>
      <c r="D2797" s="8" t="n">
        <v>130</v>
      </c>
      <c r="E2797" s="8" t="n">
        <v>0</v>
      </c>
      <c r="F2797" s="8" t="n">
        <v>0</v>
      </c>
    </row>
    <row r="2798" customFormat="false" ht="15" hidden="false" customHeight="true" outlineLevel="0" collapsed="false">
      <c r="A2798" s="8" t="s">
        <v>181</v>
      </c>
      <c r="B2798" s="8" t="s">
        <v>897</v>
      </c>
      <c r="C2798" s="8" t="n">
        <v>3</v>
      </c>
      <c r="D2798" s="8" t="n">
        <v>195</v>
      </c>
      <c r="E2798" s="8" t="n">
        <v>0</v>
      </c>
      <c r="F2798" s="8" t="n">
        <v>0</v>
      </c>
    </row>
    <row r="2799" customFormat="false" ht="15" hidden="false" customHeight="true" outlineLevel="0" collapsed="false">
      <c r="A2799" s="8" t="s">
        <v>290</v>
      </c>
      <c r="B2799" s="8" t="s">
        <v>897</v>
      </c>
      <c r="C2799" s="8" t="n">
        <v>1</v>
      </c>
      <c r="D2799" s="8" t="n">
        <v>65</v>
      </c>
      <c r="E2799" s="8" t="n">
        <v>1</v>
      </c>
      <c r="F2799" s="8" t="n">
        <v>65</v>
      </c>
    </row>
    <row r="2800" customFormat="false" ht="15" hidden="false" customHeight="true" outlineLevel="0" collapsed="false">
      <c r="A2800" s="8" t="s">
        <v>165</v>
      </c>
      <c r="B2800" s="8" t="s">
        <v>897</v>
      </c>
      <c r="C2800" s="8" t="n">
        <v>4</v>
      </c>
      <c r="D2800" s="8" t="n">
        <v>260</v>
      </c>
      <c r="E2800" s="8" t="n">
        <v>0</v>
      </c>
      <c r="F2800" s="8" t="n">
        <v>0</v>
      </c>
    </row>
    <row r="2801" customFormat="false" ht="15" hidden="false" customHeight="true" outlineLevel="0" collapsed="false">
      <c r="A2801" s="8" t="s">
        <v>184</v>
      </c>
      <c r="B2801" s="8" t="s">
        <v>897</v>
      </c>
      <c r="C2801" s="8" t="n">
        <v>2</v>
      </c>
      <c r="D2801" s="8" t="n">
        <v>130</v>
      </c>
      <c r="E2801" s="8" t="n">
        <v>0</v>
      </c>
      <c r="F2801" s="8" t="n">
        <v>0</v>
      </c>
    </row>
    <row r="2802" customFormat="false" ht="15" hidden="false" customHeight="true" outlineLevel="0" collapsed="false">
      <c r="A2802" s="8" t="s">
        <v>208</v>
      </c>
      <c r="B2802" s="8" t="s">
        <v>1179</v>
      </c>
      <c r="C2802" s="8" t="n">
        <v>1</v>
      </c>
      <c r="D2802" s="8" t="n">
        <v>72.34</v>
      </c>
      <c r="E2802" s="8" t="n">
        <v>0</v>
      </c>
      <c r="F2802" s="8" t="n">
        <v>0</v>
      </c>
    </row>
    <row r="2803" customFormat="false" ht="15" hidden="false" customHeight="true" outlineLevel="0" collapsed="false">
      <c r="A2803" s="8" t="s">
        <v>221</v>
      </c>
      <c r="B2803" s="8" t="s">
        <v>1179</v>
      </c>
      <c r="C2803" s="8" t="n">
        <v>1</v>
      </c>
      <c r="D2803" s="8" t="n">
        <v>72.34</v>
      </c>
      <c r="E2803" s="8" t="n">
        <v>0</v>
      </c>
      <c r="F2803" s="8" t="n">
        <v>0</v>
      </c>
    </row>
    <row r="2804" customFormat="false" ht="15" hidden="false" customHeight="true" outlineLevel="0" collapsed="false">
      <c r="A2804" s="8" t="s">
        <v>245</v>
      </c>
      <c r="B2804" s="8" t="s">
        <v>1179</v>
      </c>
      <c r="C2804" s="8" t="n">
        <v>1</v>
      </c>
      <c r="D2804" s="8" t="n">
        <v>72.34</v>
      </c>
      <c r="E2804" s="8" t="n">
        <v>0</v>
      </c>
      <c r="F2804" s="8" t="n">
        <v>0</v>
      </c>
    </row>
    <row r="2805" customFormat="false" ht="15" hidden="false" customHeight="true" outlineLevel="0" collapsed="false">
      <c r="A2805" s="8" t="s">
        <v>191</v>
      </c>
      <c r="B2805" s="8" t="s">
        <v>1179</v>
      </c>
      <c r="C2805" s="8" t="n">
        <v>0</v>
      </c>
      <c r="D2805" s="8" t="n">
        <v>0</v>
      </c>
      <c r="E2805" s="8" t="n">
        <v>1</v>
      </c>
      <c r="F2805" s="8" t="n">
        <v>72.34</v>
      </c>
    </row>
    <row r="2806" customFormat="false" ht="15" hidden="false" customHeight="true" outlineLevel="0" collapsed="false">
      <c r="A2806" s="8" t="s">
        <v>283</v>
      </c>
      <c r="B2806" s="8" t="s">
        <v>1223</v>
      </c>
      <c r="C2806" s="8" t="n">
        <v>0</v>
      </c>
      <c r="D2806" s="8" t="n">
        <v>0</v>
      </c>
      <c r="E2806" s="8" t="n">
        <v>1</v>
      </c>
      <c r="F2806" s="8" t="n">
        <v>77.8</v>
      </c>
    </row>
    <row r="2807" customFormat="false" ht="15" hidden="false" customHeight="true" outlineLevel="0" collapsed="false">
      <c r="A2807" s="8" t="s">
        <v>216</v>
      </c>
      <c r="B2807" s="8" t="s">
        <v>1223</v>
      </c>
      <c r="C2807" s="8" t="n">
        <v>2</v>
      </c>
      <c r="D2807" s="8" t="n">
        <v>155.6</v>
      </c>
      <c r="E2807" s="8" t="n">
        <v>0</v>
      </c>
      <c r="F2807" s="8" t="n">
        <v>0</v>
      </c>
    </row>
    <row r="2808" customFormat="false" ht="15" hidden="false" customHeight="true" outlineLevel="0" collapsed="false">
      <c r="A2808" s="8" t="s">
        <v>236</v>
      </c>
      <c r="B2808" s="8" t="s">
        <v>1223</v>
      </c>
      <c r="C2808" s="8" t="n">
        <v>0</v>
      </c>
      <c r="D2808" s="8" t="n">
        <v>0</v>
      </c>
      <c r="E2808" s="8" t="n">
        <v>1</v>
      </c>
      <c r="F2808" s="8" t="n">
        <v>77.8</v>
      </c>
    </row>
    <row r="2809" customFormat="false" ht="15" hidden="false" customHeight="true" outlineLevel="0" collapsed="false">
      <c r="A2809" s="8" t="s">
        <v>190</v>
      </c>
      <c r="B2809" s="8" t="s">
        <v>1224</v>
      </c>
      <c r="C2809" s="8" t="n">
        <v>0</v>
      </c>
      <c r="D2809" s="8" t="n">
        <v>0</v>
      </c>
      <c r="E2809" s="8" t="n">
        <v>1</v>
      </c>
      <c r="F2809" s="8" t="n">
        <v>24.43</v>
      </c>
    </row>
    <row r="2810" customFormat="false" ht="15" hidden="false" customHeight="true" outlineLevel="0" collapsed="false">
      <c r="A2810" s="8" t="s">
        <v>183</v>
      </c>
      <c r="B2810" s="8" t="s">
        <v>1224</v>
      </c>
      <c r="C2810" s="8" t="n">
        <v>5</v>
      </c>
      <c r="D2810" s="8" t="n">
        <v>122.15</v>
      </c>
      <c r="E2810" s="8" t="n">
        <v>0</v>
      </c>
      <c r="F2810" s="8" t="n">
        <v>0</v>
      </c>
    </row>
    <row r="2811" customFormat="false" ht="15" hidden="false" customHeight="true" outlineLevel="0" collapsed="false">
      <c r="A2811" s="8" t="s">
        <v>218</v>
      </c>
      <c r="B2811" s="8" t="s">
        <v>1224</v>
      </c>
      <c r="C2811" s="8" t="n">
        <v>2</v>
      </c>
      <c r="D2811" s="8" t="n">
        <v>48.86</v>
      </c>
      <c r="E2811" s="8" t="n">
        <v>0</v>
      </c>
      <c r="F2811" s="8" t="n">
        <v>0</v>
      </c>
    </row>
    <row r="2812" customFormat="false" ht="15" hidden="false" customHeight="true" outlineLevel="0" collapsed="false">
      <c r="A2812" s="8" t="s">
        <v>286</v>
      </c>
      <c r="B2812" s="8" t="s">
        <v>1269</v>
      </c>
      <c r="C2812" s="8" t="n">
        <v>6</v>
      </c>
      <c r="D2812" s="8" t="n">
        <v>66</v>
      </c>
      <c r="E2812" s="8" t="n">
        <v>0</v>
      </c>
      <c r="F2812" s="8" t="n">
        <v>0</v>
      </c>
    </row>
    <row r="2813" customFormat="false" ht="15" hidden="false" customHeight="true" outlineLevel="0" collapsed="false">
      <c r="A2813" s="8" t="s">
        <v>289</v>
      </c>
      <c r="B2813" s="8" t="s">
        <v>1270</v>
      </c>
      <c r="C2813" s="8" t="n">
        <v>6</v>
      </c>
      <c r="D2813" s="8" t="n">
        <v>66</v>
      </c>
      <c r="E2813" s="8" t="n">
        <v>0</v>
      </c>
      <c r="F2813" s="8" t="n">
        <v>0</v>
      </c>
    </row>
    <row r="2814" customFormat="false" ht="15" hidden="false" customHeight="true" outlineLevel="0" collapsed="false">
      <c r="A2814" s="8" t="s">
        <v>324</v>
      </c>
      <c r="B2814" s="8" t="s">
        <v>1271</v>
      </c>
      <c r="C2814" s="8" t="n">
        <v>6</v>
      </c>
      <c r="D2814" s="8" t="n">
        <v>66</v>
      </c>
      <c r="E2814" s="8" t="n">
        <v>0</v>
      </c>
      <c r="F2814" s="8" t="n">
        <v>0</v>
      </c>
    </row>
    <row r="2815" customFormat="false" ht="15" hidden="false" customHeight="true" outlineLevel="0" collapsed="false">
      <c r="A2815" s="8" t="s">
        <v>161</v>
      </c>
      <c r="B2815" s="8" t="s">
        <v>1208</v>
      </c>
      <c r="C2815" s="8" t="n">
        <v>66</v>
      </c>
      <c r="D2815" s="8" t="n">
        <v>3003</v>
      </c>
      <c r="E2815" s="8" t="n">
        <v>12</v>
      </c>
      <c r="F2815" s="8" t="n">
        <v>546</v>
      </c>
    </row>
    <row r="2816" customFormat="false" ht="15" hidden="false" customHeight="true" outlineLevel="0" collapsed="false">
      <c r="A2816" s="8" t="s">
        <v>162</v>
      </c>
      <c r="B2816" s="8" t="s">
        <v>1209</v>
      </c>
      <c r="C2816" s="8" t="n">
        <v>16</v>
      </c>
      <c r="D2816" s="8" t="n">
        <v>1244.8</v>
      </c>
      <c r="E2816" s="8" t="n">
        <v>0</v>
      </c>
      <c r="F2816" s="8" t="n">
        <v>0</v>
      </c>
    </row>
    <row r="2817" customFormat="false" ht="15" hidden="false" customHeight="true" outlineLevel="0" collapsed="false">
      <c r="A2817" s="8" t="s">
        <v>166</v>
      </c>
      <c r="B2817" s="8" t="s">
        <v>1211</v>
      </c>
      <c r="C2817" s="8" t="n">
        <v>5</v>
      </c>
      <c r="D2817" s="8" t="n">
        <v>316.35</v>
      </c>
      <c r="E2817" s="8" t="n">
        <v>0</v>
      </c>
      <c r="F2817" s="8" t="n">
        <v>0</v>
      </c>
    </row>
    <row r="2818" customFormat="false" ht="15" hidden="false" customHeight="true" outlineLevel="0" collapsed="false">
      <c r="A2818" s="8" t="s">
        <v>164</v>
      </c>
      <c r="B2818" s="8" t="s">
        <v>1211</v>
      </c>
      <c r="C2818" s="8" t="n">
        <v>1</v>
      </c>
      <c r="D2818" s="8" t="n">
        <v>63.27</v>
      </c>
      <c r="E2818" s="8" t="n">
        <v>0</v>
      </c>
      <c r="F2818" s="8" t="n">
        <v>0</v>
      </c>
    </row>
    <row r="2819" customFormat="false" ht="15" hidden="false" customHeight="true" outlineLevel="0" collapsed="false">
      <c r="A2819" s="8" t="s">
        <v>222</v>
      </c>
      <c r="B2819" s="8" t="s">
        <v>1211</v>
      </c>
      <c r="C2819" s="8" t="n">
        <v>4</v>
      </c>
      <c r="D2819" s="8" t="n">
        <v>253.08</v>
      </c>
      <c r="E2819" s="8" t="n">
        <v>0</v>
      </c>
      <c r="F2819" s="8" t="n">
        <v>0</v>
      </c>
    </row>
    <row r="2820" customFormat="false" ht="15" hidden="false" customHeight="true" outlineLevel="0" collapsed="false">
      <c r="A2820" s="8" t="s">
        <v>187</v>
      </c>
      <c r="B2820" s="8" t="s">
        <v>1211</v>
      </c>
      <c r="C2820" s="8" t="n">
        <v>1</v>
      </c>
      <c r="D2820" s="8" t="n">
        <v>63.27</v>
      </c>
      <c r="E2820" s="8" t="n">
        <v>0</v>
      </c>
      <c r="F2820" s="8" t="n">
        <v>0</v>
      </c>
    </row>
    <row r="2821" customFormat="false" ht="15" hidden="false" customHeight="true" outlineLevel="0" collapsed="false">
      <c r="A2821" s="8" t="s">
        <v>206</v>
      </c>
      <c r="B2821" s="8" t="s">
        <v>1288</v>
      </c>
      <c r="C2821" s="8" t="n">
        <v>6</v>
      </c>
      <c r="D2821" s="8" t="n">
        <v>584.1</v>
      </c>
      <c r="E2821" s="8" t="n">
        <v>0</v>
      </c>
      <c r="F2821" s="8" t="n">
        <v>0</v>
      </c>
    </row>
    <row r="2822" customFormat="false" ht="15" hidden="false" customHeight="true" outlineLevel="0" collapsed="false">
      <c r="A2822" s="8" t="s">
        <v>188</v>
      </c>
      <c r="B2822" s="8" t="s">
        <v>1225</v>
      </c>
      <c r="C2822" s="8" t="n">
        <v>11</v>
      </c>
      <c r="D2822" s="8" t="n">
        <v>318.23</v>
      </c>
      <c r="E2822" s="8" t="n">
        <v>0</v>
      </c>
      <c r="F2822" s="8" t="n">
        <v>0</v>
      </c>
    </row>
    <row r="2823" customFormat="false" ht="15" hidden="false" customHeight="true" outlineLevel="0" collapsed="false">
      <c r="A2823" s="8" t="s">
        <v>186</v>
      </c>
      <c r="B2823" s="8" t="s">
        <v>1225</v>
      </c>
      <c r="C2823" s="8" t="n">
        <v>9</v>
      </c>
      <c r="D2823" s="8" t="n">
        <v>260.37</v>
      </c>
      <c r="E2823" s="8" t="n">
        <v>0</v>
      </c>
      <c r="F2823" s="8" t="n">
        <v>0</v>
      </c>
    </row>
    <row r="2824" customFormat="false" ht="15" hidden="false" customHeight="true" outlineLevel="0" collapsed="false">
      <c r="A2824" s="8" t="s">
        <v>239</v>
      </c>
      <c r="B2824" s="8" t="s">
        <v>1225</v>
      </c>
      <c r="C2824" s="8" t="n">
        <v>9</v>
      </c>
      <c r="D2824" s="8" t="n">
        <v>260.37</v>
      </c>
      <c r="E2824" s="8" t="n">
        <v>0</v>
      </c>
      <c r="F2824" s="8" t="n">
        <v>0</v>
      </c>
    </row>
    <row r="2825" customFormat="false" ht="15" hidden="false" customHeight="true" outlineLevel="0" collapsed="false">
      <c r="A2825" s="8" t="s">
        <v>210</v>
      </c>
      <c r="B2825" s="8" t="s">
        <v>1225</v>
      </c>
      <c r="C2825" s="8" t="n">
        <v>6</v>
      </c>
      <c r="D2825" s="8" t="n">
        <v>173.58</v>
      </c>
      <c r="E2825" s="8" t="n">
        <v>0</v>
      </c>
      <c r="F2825" s="8" t="n">
        <v>0</v>
      </c>
    </row>
    <row r="2826" customFormat="false" ht="15" hidden="false" customHeight="true" outlineLevel="0" collapsed="false">
      <c r="A2826" s="8" t="s">
        <v>278</v>
      </c>
      <c r="B2826" s="8" t="s">
        <v>1225</v>
      </c>
      <c r="C2826" s="8" t="n">
        <v>4</v>
      </c>
      <c r="D2826" s="8" t="n">
        <v>115.72</v>
      </c>
      <c r="E2826" s="8" t="n">
        <v>0</v>
      </c>
      <c r="F2826" s="8" t="n">
        <v>0</v>
      </c>
    </row>
    <row r="2827" customFormat="false" ht="15" hidden="false" customHeight="true" outlineLevel="0" collapsed="false">
      <c r="A2827" s="8" t="s">
        <v>241</v>
      </c>
      <c r="B2827" s="8" t="s">
        <v>1227</v>
      </c>
      <c r="C2827" s="8" t="n">
        <v>0</v>
      </c>
      <c r="D2827" s="8" t="n">
        <v>0</v>
      </c>
      <c r="E2827" s="8" t="n">
        <v>1</v>
      </c>
      <c r="F2827" s="8" t="n">
        <v>17</v>
      </c>
    </row>
    <row r="2828" customFormat="false" ht="15" hidden="false" customHeight="true" outlineLevel="0" collapsed="false">
      <c r="A2828" s="8" t="s">
        <v>223</v>
      </c>
      <c r="B2828" s="8" t="s">
        <v>1227</v>
      </c>
      <c r="C2828" s="8" t="n">
        <v>0</v>
      </c>
      <c r="D2828" s="8" t="n">
        <v>0</v>
      </c>
      <c r="E2828" s="8" t="n">
        <v>1</v>
      </c>
      <c r="F2828" s="8" t="n">
        <v>17</v>
      </c>
    </row>
    <row r="2829" customFormat="false" ht="15" hidden="false" customHeight="true" outlineLevel="0" collapsed="false">
      <c r="A2829" s="8" t="s">
        <v>266</v>
      </c>
      <c r="B2829" s="8" t="s">
        <v>1228</v>
      </c>
      <c r="C2829" s="8" t="n">
        <v>15</v>
      </c>
      <c r="D2829" s="8" t="n">
        <v>298.8</v>
      </c>
      <c r="E2829" s="8" t="n">
        <v>5</v>
      </c>
      <c r="F2829" s="8" t="n">
        <v>99.6</v>
      </c>
    </row>
    <row r="2830" customFormat="false" ht="15" hidden="false" customHeight="true" outlineLevel="0" collapsed="false">
      <c r="A2830" s="8" t="s">
        <v>246</v>
      </c>
      <c r="B2830" s="8" t="s">
        <v>1261</v>
      </c>
      <c r="C2830" s="8" t="n">
        <v>2</v>
      </c>
      <c r="D2830" s="8" t="n">
        <v>34.7</v>
      </c>
      <c r="E2830" s="8" t="n">
        <v>1</v>
      </c>
      <c r="F2830" s="8" t="n">
        <v>17.35</v>
      </c>
    </row>
    <row r="2831" customFormat="false" ht="15" hidden="false" customHeight="true" outlineLevel="0" collapsed="false">
      <c r="A2831" s="8" t="s">
        <v>244</v>
      </c>
      <c r="B2831" s="8" t="s">
        <v>1213</v>
      </c>
      <c r="C2831" s="8" t="n">
        <v>3</v>
      </c>
      <c r="D2831" s="8" t="n">
        <v>28.5</v>
      </c>
      <c r="E2831" s="8" t="n">
        <v>0</v>
      </c>
      <c r="F2831" s="8" t="n">
        <v>0</v>
      </c>
    </row>
    <row r="2832" customFormat="false" ht="15" hidden="false" customHeight="true" outlineLevel="0" collapsed="false">
      <c r="A2832" s="8" t="s">
        <v>308</v>
      </c>
      <c r="B2832" s="8" t="s">
        <v>1229</v>
      </c>
      <c r="C2832" s="8" t="n">
        <v>2</v>
      </c>
      <c r="D2832" s="8" t="n">
        <v>16.16</v>
      </c>
      <c r="E2832" s="8" t="n">
        <v>0</v>
      </c>
      <c r="F2832" s="8" t="n">
        <v>0</v>
      </c>
    </row>
    <row r="2833" customFormat="false" ht="15" hidden="false" customHeight="true" outlineLevel="0" collapsed="false">
      <c r="A2833" s="8" t="s">
        <v>172</v>
      </c>
      <c r="B2833" s="8" t="s">
        <v>1214</v>
      </c>
      <c r="C2833" s="8" t="n">
        <v>7</v>
      </c>
      <c r="D2833" s="8" t="n">
        <v>85.26</v>
      </c>
      <c r="E2833" s="8" t="n">
        <v>0</v>
      </c>
      <c r="F2833" s="8" t="n">
        <v>0</v>
      </c>
    </row>
    <row r="2834" customFormat="false" ht="15" hidden="false" customHeight="true" outlineLevel="0" collapsed="false">
      <c r="A2834" s="8" t="s">
        <v>269</v>
      </c>
      <c r="B2834" s="8" t="s">
        <v>1231</v>
      </c>
      <c r="C2834" s="8" t="n">
        <v>3</v>
      </c>
      <c r="D2834" s="8" t="n">
        <v>33.99</v>
      </c>
      <c r="E2834" s="8" t="n">
        <v>0</v>
      </c>
      <c r="F2834" s="8" t="n">
        <v>0</v>
      </c>
    </row>
    <row r="2835" customFormat="false" ht="15" hidden="false" customHeight="true" outlineLevel="0" collapsed="false">
      <c r="A2835" s="8" t="s">
        <v>288</v>
      </c>
      <c r="B2835" s="8" t="s">
        <v>939</v>
      </c>
      <c r="C2835" s="8" t="n">
        <v>0</v>
      </c>
      <c r="D2835" s="8" t="n">
        <v>0</v>
      </c>
      <c r="E2835" s="8" t="n">
        <v>1</v>
      </c>
      <c r="F2835" s="8" t="n">
        <v>20.24</v>
      </c>
    </row>
    <row r="2836" customFormat="false" ht="15" hidden="false" customHeight="true" outlineLevel="0" collapsed="false">
      <c r="A2836" s="8" t="s">
        <v>255</v>
      </c>
      <c r="B2836" s="8" t="s">
        <v>1273</v>
      </c>
      <c r="C2836" s="8" t="n">
        <v>10</v>
      </c>
      <c r="D2836" s="8" t="n">
        <v>82</v>
      </c>
      <c r="E2836" s="8" t="n">
        <v>0</v>
      </c>
      <c r="F2836" s="8" t="n">
        <v>0</v>
      </c>
    </row>
    <row r="2837" customFormat="false" ht="15" hidden="false" customHeight="true" outlineLevel="0" collapsed="false">
      <c r="A2837" s="8" t="s">
        <v>194</v>
      </c>
      <c r="B2837" s="8" t="s">
        <v>1239</v>
      </c>
      <c r="C2837" s="8" t="n">
        <v>10</v>
      </c>
      <c r="D2837" s="8" t="n">
        <v>98.2</v>
      </c>
      <c r="E2837" s="8" t="n">
        <v>10</v>
      </c>
      <c r="F2837" s="8" t="n">
        <v>98.2</v>
      </c>
    </row>
    <row r="2838" customFormat="false" ht="15" hidden="false" customHeight="true" outlineLevel="0" collapsed="false">
      <c r="A2838" s="8" t="s">
        <v>317</v>
      </c>
      <c r="B2838" s="8" t="s">
        <v>621</v>
      </c>
      <c r="C2838" s="8" t="n">
        <v>1</v>
      </c>
      <c r="D2838" s="8" t="n">
        <v>49.3</v>
      </c>
      <c r="E2838" s="8" t="n">
        <v>0</v>
      </c>
      <c r="F2838" s="8" t="n">
        <v>0</v>
      </c>
    </row>
    <row r="2839" customFormat="false" ht="15" hidden="false" customHeight="true" outlineLevel="0" collapsed="false">
      <c r="A2839" s="8" t="s">
        <v>265</v>
      </c>
      <c r="B2839" s="8" t="s">
        <v>621</v>
      </c>
      <c r="C2839" s="8" t="n">
        <v>4</v>
      </c>
      <c r="D2839" s="8" t="n">
        <v>168</v>
      </c>
      <c r="E2839" s="8" t="n">
        <v>0</v>
      </c>
      <c r="F2839" s="8" t="n">
        <v>0</v>
      </c>
    </row>
    <row r="2840" customFormat="false" ht="15" hidden="false" customHeight="true" outlineLevel="0" collapsed="false">
      <c r="A2840" s="8" t="s">
        <v>276</v>
      </c>
      <c r="B2840" s="8" t="s">
        <v>621</v>
      </c>
      <c r="C2840" s="8" t="n">
        <v>4</v>
      </c>
      <c r="D2840" s="8" t="n">
        <v>168</v>
      </c>
      <c r="E2840" s="8" t="n">
        <v>0</v>
      </c>
      <c r="F2840" s="8" t="n">
        <v>0</v>
      </c>
    </row>
    <row r="2841" customFormat="false" ht="15" hidden="false" customHeight="true" outlineLevel="0" collapsed="false">
      <c r="A2841" s="8" t="s">
        <v>192</v>
      </c>
      <c r="B2841" s="8" t="s">
        <v>1240</v>
      </c>
      <c r="C2841" s="8" t="n">
        <v>7</v>
      </c>
      <c r="D2841" s="8" t="n">
        <v>292.67</v>
      </c>
      <c r="E2841" s="8" t="n">
        <v>0</v>
      </c>
      <c r="F2841" s="8" t="n">
        <v>0</v>
      </c>
    </row>
    <row r="2842" customFormat="false" ht="15" hidden="false" customHeight="true" outlineLevel="0" collapsed="false">
      <c r="A2842" s="8" t="s">
        <v>168</v>
      </c>
      <c r="B2842" s="8" t="s">
        <v>1240</v>
      </c>
      <c r="C2842" s="8" t="n">
        <v>2</v>
      </c>
      <c r="D2842" s="8" t="n">
        <v>83.62</v>
      </c>
      <c r="E2842" s="8" t="n">
        <v>0</v>
      </c>
      <c r="F2842" s="8" t="n">
        <v>0</v>
      </c>
    </row>
    <row r="2843" customFormat="false" ht="15" hidden="false" customHeight="true" outlineLevel="0" collapsed="false">
      <c r="A2843" s="8" t="s">
        <v>169</v>
      </c>
      <c r="B2843" s="8" t="s">
        <v>1240</v>
      </c>
      <c r="C2843" s="8" t="n">
        <v>7</v>
      </c>
      <c r="D2843" s="8" t="n">
        <v>292.67</v>
      </c>
      <c r="E2843" s="8" t="n">
        <v>0</v>
      </c>
      <c r="F2843" s="8" t="n">
        <v>0</v>
      </c>
    </row>
    <row r="2844" customFormat="false" ht="15" hidden="false" customHeight="true" outlineLevel="0" collapsed="false">
      <c r="A2844" s="8" t="s">
        <v>209</v>
      </c>
      <c r="B2844" s="8" t="s">
        <v>1245</v>
      </c>
      <c r="C2844" s="8" t="n">
        <v>2</v>
      </c>
      <c r="D2844" s="8" t="n">
        <v>129.78</v>
      </c>
      <c r="E2844" s="8" t="n">
        <v>0</v>
      </c>
      <c r="F2844" s="8" t="n">
        <v>0</v>
      </c>
    </row>
    <row r="2845" customFormat="false" ht="15" hidden="false" customHeight="true" outlineLevel="0" collapsed="false">
      <c r="A2845" s="8" t="s">
        <v>250</v>
      </c>
      <c r="B2845" s="8" t="s">
        <v>1216</v>
      </c>
      <c r="C2845" s="8" t="n">
        <v>2</v>
      </c>
      <c r="D2845" s="8" t="n">
        <v>33</v>
      </c>
      <c r="E2845" s="8" t="n">
        <v>0</v>
      </c>
      <c r="F2845" s="8" t="n">
        <v>0</v>
      </c>
    </row>
    <row r="2846" customFormat="false" ht="15" hidden="false" customHeight="true" outlineLevel="0" collapsed="false">
      <c r="A2846" s="8" t="s">
        <v>198</v>
      </c>
      <c r="B2846" s="8" t="s">
        <v>1217</v>
      </c>
      <c r="C2846" s="8" t="n">
        <v>2</v>
      </c>
      <c r="D2846" s="8" t="n">
        <v>41</v>
      </c>
      <c r="E2846" s="8" t="n">
        <v>0</v>
      </c>
      <c r="F2846" s="8" t="n">
        <v>0</v>
      </c>
    </row>
    <row r="2847" customFormat="false" ht="15" hidden="false" customHeight="true" outlineLevel="0" collapsed="false">
      <c r="A2847" s="8" t="s">
        <v>193</v>
      </c>
      <c r="B2847" s="8" t="s">
        <v>1217</v>
      </c>
      <c r="C2847" s="8" t="n">
        <v>4</v>
      </c>
      <c r="D2847" s="8" t="n">
        <v>82</v>
      </c>
      <c r="E2847" s="8" t="n">
        <v>0</v>
      </c>
      <c r="F2847" s="8" t="n">
        <v>0</v>
      </c>
    </row>
    <row r="2848" customFormat="false" ht="15" hidden="false" customHeight="true" outlineLevel="0" collapsed="false">
      <c r="A2848" s="8" t="s">
        <v>302</v>
      </c>
      <c r="B2848" s="8" t="s">
        <v>1217</v>
      </c>
      <c r="C2848" s="8" t="n">
        <v>2</v>
      </c>
      <c r="D2848" s="8" t="n">
        <v>41</v>
      </c>
      <c r="E2848" s="8" t="n">
        <v>0</v>
      </c>
      <c r="F2848" s="8" t="n">
        <v>0</v>
      </c>
    </row>
    <row r="2849" customFormat="false" ht="15" hidden="false" customHeight="true" outlineLevel="0" collapsed="false">
      <c r="A2849" s="8" t="s">
        <v>205</v>
      </c>
      <c r="B2849" s="8" t="s">
        <v>1217</v>
      </c>
      <c r="C2849" s="8" t="n">
        <v>2</v>
      </c>
      <c r="D2849" s="8" t="n">
        <v>41</v>
      </c>
      <c r="E2849" s="8" t="n">
        <v>0</v>
      </c>
      <c r="F2849" s="8" t="n">
        <v>0</v>
      </c>
    </row>
    <row r="2850" customFormat="false" ht="15" hidden="false" customHeight="true" outlineLevel="0" collapsed="false">
      <c r="A2850" s="8" t="s">
        <v>256</v>
      </c>
      <c r="B2850" s="8" t="s">
        <v>1217</v>
      </c>
      <c r="C2850" s="8" t="n">
        <v>2</v>
      </c>
      <c r="D2850" s="8" t="n">
        <v>41</v>
      </c>
      <c r="E2850" s="8" t="n">
        <v>0</v>
      </c>
      <c r="F2850" s="8" t="n">
        <v>0</v>
      </c>
    </row>
    <row r="2851" customFormat="false" ht="15" hidden="false" customHeight="true" outlineLevel="0" collapsed="false">
      <c r="A2851" s="8" t="s">
        <v>228</v>
      </c>
      <c r="B2851" s="8" t="s">
        <v>1275</v>
      </c>
      <c r="C2851" s="8" t="n">
        <v>6</v>
      </c>
      <c r="D2851" s="8" t="n">
        <v>85.5</v>
      </c>
      <c r="E2851" s="8" t="n">
        <v>0</v>
      </c>
      <c r="F2851" s="8" t="n">
        <v>0</v>
      </c>
    </row>
    <row r="2852" customFormat="false" ht="15" hidden="false" customHeight="true" outlineLevel="0" collapsed="false">
      <c r="A2852" s="8" t="s">
        <v>95</v>
      </c>
      <c r="B2852" s="8" t="s">
        <v>1247</v>
      </c>
      <c r="C2852" s="8" t="n">
        <v>2</v>
      </c>
      <c r="D2852" s="8" t="n">
        <v>50</v>
      </c>
      <c r="E2852" s="8" t="n">
        <v>0</v>
      </c>
      <c r="F2852" s="8" t="n">
        <v>0</v>
      </c>
    </row>
    <row r="2853" customFormat="false" ht="15" hidden="false" customHeight="true" outlineLevel="0" collapsed="false">
      <c r="A2853" s="8" t="s">
        <v>113</v>
      </c>
      <c r="B2853" s="8" t="s">
        <v>1247</v>
      </c>
      <c r="C2853" s="8" t="n">
        <v>2</v>
      </c>
      <c r="D2853" s="8" t="n">
        <v>50</v>
      </c>
      <c r="E2853" s="8" t="n">
        <v>1</v>
      </c>
      <c r="F2853" s="8" t="n">
        <v>25</v>
      </c>
    </row>
    <row r="2854" customFormat="false" ht="15" hidden="false" customHeight="true" outlineLevel="0" collapsed="false">
      <c r="A2854" s="8" t="s">
        <v>99</v>
      </c>
      <c r="B2854" s="8" t="s">
        <v>1247</v>
      </c>
      <c r="C2854" s="8" t="n">
        <v>2</v>
      </c>
      <c r="D2854" s="8" t="n">
        <v>50</v>
      </c>
      <c r="E2854" s="8" t="n">
        <v>0</v>
      </c>
      <c r="F2854" s="8" t="n">
        <v>0</v>
      </c>
    </row>
    <row r="2855" customFormat="false" ht="15" hidden="false" customHeight="true" outlineLevel="0" collapsed="false">
      <c r="A2855" s="8" t="s">
        <v>120</v>
      </c>
      <c r="B2855" s="8" t="s">
        <v>1247</v>
      </c>
      <c r="C2855" s="8" t="n">
        <v>2</v>
      </c>
      <c r="D2855" s="8" t="n">
        <v>50</v>
      </c>
      <c r="E2855" s="8" t="n">
        <v>2</v>
      </c>
      <c r="F2855" s="8" t="n">
        <v>50</v>
      </c>
    </row>
    <row r="2856" customFormat="false" ht="15" hidden="false" customHeight="true" outlineLevel="0" collapsed="false">
      <c r="A2856" s="8" t="s">
        <v>240</v>
      </c>
      <c r="B2856" s="8" t="s">
        <v>769</v>
      </c>
      <c r="C2856" s="8" t="n">
        <v>0</v>
      </c>
      <c r="D2856" s="8" t="n">
        <v>0</v>
      </c>
      <c r="E2856" s="8" t="n">
        <v>2</v>
      </c>
      <c r="F2856" s="8" t="n">
        <v>34</v>
      </c>
    </row>
    <row r="2857" customFormat="false" ht="15" hidden="false" customHeight="true" outlineLevel="0" collapsed="false">
      <c r="A2857" s="8" t="s">
        <v>234</v>
      </c>
      <c r="B2857" s="8" t="s">
        <v>769</v>
      </c>
      <c r="C2857" s="8" t="n">
        <v>0</v>
      </c>
      <c r="D2857" s="8" t="n">
        <v>0</v>
      </c>
      <c r="E2857" s="8" t="n">
        <v>3</v>
      </c>
      <c r="F2857" s="8" t="n">
        <v>51</v>
      </c>
    </row>
    <row r="2858" customFormat="false" ht="15" hidden="false" customHeight="true" outlineLevel="0" collapsed="false">
      <c r="A2858" s="8" t="s">
        <v>247</v>
      </c>
      <c r="B2858" s="8" t="s">
        <v>769</v>
      </c>
      <c r="C2858" s="8" t="n">
        <v>0</v>
      </c>
      <c r="D2858" s="8" t="n">
        <v>0</v>
      </c>
      <c r="E2858" s="8" t="n">
        <v>2</v>
      </c>
      <c r="F2858" s="8" t="n">
        <v>34</v>
      </c>
    </row>
    <row r="2859" customFormat="false" ht="15" hidden="false" customHeight="true" outlineLevel="0" collapsed="false">
      <c r="A2859" s="8" t="s">
        <v>300</v>
      </c>
      <c r="B2859" s="8" t="s">
        <v>769</v>
      </c>
      <c r="C2859" s="8" t="n">
        <v>0</v>
      </c>
      <c r="D2859" s="8" t="n">
        <v>0</v>
      </c>
      <c r="E2859" s="8" t="n">
        <v>2</v>
      </c>
      <c r="F2859" s="8" t="n">
        <v>34</v>
      </c>
    </row>
    <row r="2860" customFormat="false" ht="15" hidden="false" customHeight="true" outlineLevel="0" collapsed="false">
      <c r="A2860" s="8" t="s">
        <v>182</v>
      </c>
      <c r="B2860" s="8" t="s">
        <v>799</v>
      </c>
      <c r="C2860" s="8" t="n">
        <v>0</v>
      </c>
      <c r="D2860" s="8" t="n">
        <v>0</v>
      </c>
      <c r="E2860" s="8" t="n">
        <v>1</v>
      </c>
      <c r="F2860" s="8" t="n">
        <v>20</v>
      </c>
    </row>
    <row r="2861" customFormat="false" ht="15" hidden="false" customHeight="true" outlineLevel="0" collapsed="false">
      <c r="A2861" s="8" t="s">
        <v>170</v>
      </c>
      <c r="B2861" s="8" t="s">
        <v>1220</v>
      </c>
      <c r="C2861" s="8" t="n">
        <v>12</v>
      </c>
      <c r="D2861" s="8" t="n">
        <v>177.6</v>
      </c>
      <c r="E2861" s="8" t="n">
        <v>0</v>
      </c>
      <c r="F2861" s="8" t="n">
        <v>0</v>
      </c>
    </row>
    <row r="2862" customFormat="false" ht="15" hidden="false" customHeight="true" outlineLevel="0" collapsed="false">
      <c r="A2862" s="8" t="s">
        <v>264</v>
      </c>
      <c r="B2862" s="8" t="s">
        <v>1221</v>
      </c>
      <c r="C2862" s="8" t="n">
        <v>5</v>
      </c>
      <c r="D2862" s="8" t="n">
        <v>29.05</v>
      </c>
      <c r="E2862" s="8" t="n">
        <v>0</v>
      </c>
      <c r="F2862" s="8" t="n">
        <v>0</v>
      </c>
    </row>
    <row r="2863" customFormat="false" ht="15" hidden="false" customHeight="true" outlineLevel="0" collapsed="false">
      <c r="A2863" s="8" t="s">
        <v>258</v>
      </c>
      <c r="B2863" s="8" t="s">
        <v>562</v>
      </c>
      <c r="C2863" s="8" t="n">
        <v>2</v>
      </c>
      <c r="D2863" s="8" t="n">
        <v>72</v>
      </c>
      <c r="E2863" s="8" t="n">
        <v>2</v>
      </c>
      <c r="F2863" s="8" t="n">
        <v>72</v>
      </c>
    </row>
    <row r="2864" customFormat="false" ht="15" hidden="false" customHeight="true" outlineLevel="0" collapsed="false">
      <c r="A2864" s="8" t="s">
        <v>252</v>
      </c>
      <c r="B2864" s="8" t="s">
        <v>1177</v>
      </c>
      <c r="C2864" s="8" t="n">
        <v>8</v>
      </c>
      <c r="D2864" s="8" t="n">
        <v>132.8</v>
      </c>
      <c r="E2864" s="8" t="n">
        <v>0</v>
      </c>
      <c r="F2864" s="8" t="n">
        <v>0</v>
      </c>
    </row>
    <row r="2865" customFormat="false" ht="15" hidden="false" customHeight="true" outlineLevel="0" collapsed="false">
      <c r="A2865" s="8" t="s">
        <v>203</v>
      </c>
      <c r="B2865" s="8" t="s">
        <v>1177</v>
      </c>
      <c r="C2865" s="8" t="n">
        <v>8</v>
      </c>
      <c r="D2865" s="8" t="n">
        <v>148</v>
      </c>
      <c r="E2865" s="8" t="n">
        <v>8</v>
      </c>
      <c r="F2865" s="8" t="n">
        <v>148</v>
      </c>
    </row>
    <row r="2866" customFormat="false" ht="15" hidden="false" customHeight="true" outlineLevel="0" collapsed="false">
      <c r="A2866" s="8" t="s">
        <v>211</v>
      </c>
      <c r="B2866" s="8" t="s">
        <v>1250</v>
      </c>
      <c r="C2866" s="8" t="n">
        <v>8</v>
      </c>
      <c r="D2866" s="8" t="n">
        <v>200</v>
      </c>
      <c r="E2866" s="8" t="n">
        <v>0</v>
      </c>
      <c r="F2866" s="8" t="n">
        <v>0</v>
      </c>
    </row>
    <row r="2867" customFormat="false" ht="15" hidden="false" customHeight="true" outlineLevel="0" collapsed="false">
      <c r="A2867" s="8" t="s">
        <v>248</v>
      </c>
      <c r="B2867" s="8" t="s">
        <v>1242</v>
      </c>
      <c r="C2867" s="8" t="n">
        <v>8</v>
      </c>
      <c r="D2867" s="8" t="n">
        <v>168</v>
      </c>
      <c r="E2867" s="8" t="n">
        <v>5</v>
      </c>
      <c r="F2867" s="8" t="n">
        <v>105</v>
      </c>
    </row>
    <row r="2868" customFormat="false" ht="15" hidden="false" customHeight="true" outlineLevel="0" collapsed="false">
      <c r="A2868" s="8" t="s">
        <v>196</v>
      </c>
      <c r="B2868" s="8" t="s">
        <v>1243</v>
      </c>
      <c r="C2868" s="8" t="n">
        <v>2</v>
      </c>
      <c r="D2868" s="8" t="n">
        <v>107</v>
      </c>
      <c r="E2868" s="8" t="n">
        <v>3</v>
      </c>
      <c r="F2868" s="8" t="n">
        <v>160.5</v>
      </c>
    </row>
    <row r="2869" customFormat="false" ht="15" hidden="false" customHeight="true" outlineLevel="0" collapsed="false">
      <c r="A2869" s="8" t="s">
        <v>212</v>
      </c>
      <c r="B2869" s="8" t="s">
        <v>1278</v>
      </c>
      <c r="C2869" s="8" t="n">
        <v>2</v>
      </c>
      <c r="D2869" s="8" t="n">
        <v>187</v>
      </c>
      <c r="E2869" s="8" t="n">
        <v>0</v>
      </c>
      <c r="F2869" s="8" t="n">
        <v>0</v>
      </c>
    </row>
    <row r="2870" customFormat="false" ht="15" hidden="false" customHeight="true" outlineLevel="0" collapsed="false">
      <c r="A2870" s="8" t="s">
        <v>226</v>
      </c>
      <c r="B2870" s="8" t="s">
        <v>566</v>
      </c>
      <c r="C2870" s="8" t="n">
        <v>8</v>
      </c>
      <c r="D2870" s="8" t="n">
        <v>166.4</v>
      </c>
      <c r="E2870" s="8" t="n">
        <v>0</v>
      </c>
      <c r="F2870" s="8" t="n">
        <v>0</v>
      </c>
    </row>
    <row r="2871" customFormat="false" ht="15" hidden="false" customHeight="true" outlineLevel="0" collapsed="false">
      <c r="A2871" s="8" t="s">
        <v>207</v>
      </c>
      <c r="B2871" s="8" t="s">
        <v>1222</v>
      </c>
      <c r="C2871" s="8" t="n">
        <v>1</v>
      </c>
      <c r="D2871" s="8" t="n">
        <v>65</v>
      </c>
      <c r="E2871" s="8" t="n">
        <v>0</v>
      </c>
      <c r="F2871" s="8" t="n">
        <v>0</v>
      </c>
    </row>
    <row r="2872" customFormat="false" ht="15" hidden="false" customHeight="true" outlineLevel="0" collapsed="false">
      <c r="A2872" s="8" t="s">
        <v>221</v>
      </c>
      <c r="B2872" s="8" t="s">
        <v>1179</v>
      </c>
      <c r="C2872" s="8" t="n">
        <v>1</v>
      </c>
      <c r="D2872" s="8" t="n">
        <v>72.34</v>
      </c>
      <c r="E2872" s="8" t="n">
        <v>0</v>
      </c>
      <c r="F2872" s="8" t="n">
        <v>0</v>
      </c>
    </row>
    <row r="2873" customFormat="false" ht="15" hidden="false" customHeight="true" outlineLevel="0" collapsed="false">
      <c r="A2873" s="8" t="s">
        <v>190</v>
      </c>
      <c r="B2873" s="8" t="s">
        <v>1224</v>
      </c>
      <c r="C2873" s="8" t="n">
        <v>1</v>
      </c>
      <c r="D2873" s="8" t="n">
        <v>24.43</v>
      </c>
      <c r="E2873" s="8" t="n">
        <v>0</v>
      </c>
      <c r="F2873" s="8" t="n">
        <v>0</v>
      </c>
    </row>
    <row r="2874" customFormat="false" ht="15" hidden="false" customHeight="true" outlineLevel="0" collapsed="false">
      <c r="A2874" s="8" t="s">
        <v>183</v>
      </c>
      <c r="B2874" s="8" t="s">
        <v>1224</v>
      </c>
      <c r="C2874" s="8" t="n">
        <v>5</v>
      </c>
      <c r="D2874" s="8" t="n">
        <v>122.15</v>
      </c>
      <c r="E2874" s="8" t="n">
        <v>0</v>
      </c>
      <c r="F2874" s="8" t="n">
        <v>0</v>
      </c>
    </row>
    <row r="2875" customFormat="false" ht="15" hidden="false" customHeight="true" outlineLevel="0" collapsed="false">
      <c r="A2875" s="8" t="s">
        <v>218</v>
      </c>
      <c r="B2875" s="8" t="s">
        <v>1224</v>
      </c>
      <c r="C2875" s="8" t="n">
        <v>1</v>
      </c>
      <c r="D2875" s="8" t="n">
        <v>24.43</v>
      </c>
      <c r="E2875" s="8" t="n">
        <v>0</v>
      </c>
      <c r="F2875" s="8" t="n">
        <v>0</v>
      </c>
    </row>
    <row r="2876" customFormat="false" ht="15" hidden="false" customHeight="true" outlineLevel="0" collapsed="false">
      <c r="A2876" s="8" t="s">
        <v>161</v>
      </c>
      <c r="B2876" s="8" t="s">
        <v>1208</v>
      </c>
      <c r="C2876" s="8" t="n">
        <v>2</v>
      </c>
      <c r="D2876" s="8" t="n">
        <v>91</v>
      </c>
      <c r="E2876" s="8" t="n">
        <v>0</v>
      </c>
      <c r="F2876" s="8" t="n">
        <v>0</v>
      </c>
    </row>
    <row r="2877" customFormat="false" ht="15" hidden="false" customHeight="true" outlineLevel="0" collapsed="false">
      <c r="A2877" s="8" t="s">
        <v>162</v>
      </c>
      <c r="B2877" s="8" t="s">
        <v>1209</v>
      </c>
      <c r="C2877" s="8" t="n">
        <v>2</v>
      </c>
      <c r="D2877" s="8" t="n">
        <v>155.6</v>
      </c>
      <c r="E2877" s="8" t="n">
        <v>0</v>
      </c>
      <c r="F2877" s="8" t="n">
        <v>0</v>
      </c>
    </row>
    <row r="2878" customFormat="false" ht="15" hidden="false" customHeight="true" outlineLevel="0" collapsed="false">
      <c r="A2878" s="8" t="s">
        <v>171</v>
      </c>
      <c r="B2878" s="8" t="s">
        <v>1210</v>
      </c>
      <c r="C2878" s="8" t="n">
        <v>2</v>
      </c>
      <c r="D2878" s="8" t="n">
        <v>94.46</v>
      </c>
      <c r="E2878" s="8" t="n">
        <v>0</v>
      </c>
      <c r="F2878" s="8" t="n">
        <v>0</v>
      </c>
    </row>
    <row r="2879" customFormat="false" ht="15" hidden="false" customHeight="true" outlineLevel="0" collapsed="false">
      <c r="A2879" s="8" t="s">
        <v>270</v>
      </c>
      <c r="B2879" s="8" t="s">
        <v>1251</v>
      </c>
      <c r="C2879" s="8" t="n">
        <v>3</v>
      </c>
      <c r="D2879" s="8" t="n">
        <v>29.46</v>
      </c>
      <c r="E2879" s="8" t="n">
        <v>0</v>
      </c>
      <c r="F2879" s="8" t="n">
        <v>0</v>
      </c>
    </row>
    <row r="2880" customFormat="false" ht="15" hidden="false" customHeight="true" outlineLevel="0" collapsed="false">
      <c r="A2880" s="8" t="s">
        <v>307</v>
      </c>
      <c r="B2880" s="8" t="s">
        <v>1252</v>
      </c>
      <c r="C2880" s="8" t="n">
        <v>3</v>
      </c>
      <c r="D2880" s="8" t="n">
        <v>42.84</v>
      </c>
      <c r="E2880" s="8" t="n">
        <v>0</v>
      </c>
      <c r="F2880" s="8" t="n">
        <v>0</v>
      </c>
    </row>
    <row r="2881" customFormat="false" ht="15" hidden="false" customHeight="true" outlineLevel="0" collapsed="false">
      <c r="A2881" s="8" t="s">
        <v>263</v>
      </c>
      <c r="B2881" s="8" t="s">
        <v>407</v>
      </c>
      <c r="C2881" s="8" t="n">
        <v>3</v>
      </c>
      <c r="D2881" s="8" t="n">
        <v>38.46</v>
      </c>
      <c r="E2881" s="8" t="n">
        <v>0</v>
      </c>
      <c r="F2881" s="8" t="n">
        <v>0</v>
      </c>
    </row>
    <row r="2882" customFormat="false" ht="15" hidden="false" customHeight="true" outlineLevel="0" collapsed="false">
      <c r="A2882" s="8" t="s">
        <v>206</v>
      </c>
      <c r="B2882" s="8" t="s">
        <v>1288</v>
      </c>
      <c r="C2882" s="8" t="n">
        <v>3</v>
      </c>
      <c r="D2882" s="8" t="n">
        <v>292.05</v>
      </c>
      <c r="E2882" s="8" t="n">
        <v>0</v>
      </c>
      <c r="F2882" s="8" t="n">
        <v>0</v>
      </c>
    </row>
    <row r="2883" customFormat="false" ht="15" hidden="false" customHeight="true" outlineLevel="0" collapsed="false">
      <c r="A2883" s="8" t="s">
        <v>188</v>
      </c>
      <c r="B2883" s="8" t="s">
        <v>1225</v>
      </c>
      <c r="C2883" s="8" t="n">
        <v>1</v>
      </c>
      <c r="D2883" s="8" t="n">
        <v>28.93</v>
      </c>
      <c r="E2883" s="8" t="n">
        <v>0</v>
      </c>
      <c r="F2883" s="8" t="n">
        <v>0</v>
      </c>
    </row>
    <row r="2884" customFormat="false" ht="15" hidden="false" customHeight="true" outlineLevel="0" collapsed="false">
      <c r="A2884" s="8" t="s">
        <v>186</v>
      </c>
      <c r="B2884" s="8" t="s">
        <v>1225</v>
      </c>
      <c r="C2884" s="8" t="n">
        <v>1</v>
      </c>
      <c r="D2884" s="8" t="n">
        <v>28.93</v>
      </c>
      <c r="E2884" s="8" t="n">
        <v>0</v>
      </c>
      <c r="F2884" s="8" t="n">
        <v>0</v>
      </c>
    </row>
    <row r="2885" customFormat="false" ht="15" hidden="false" customHeight="true" outlineLevel="0" collapsed="false">
      <c r="A2885" s="8" t="s">
        <v>210</v>
      </c>
      <c r="B2885" s="8" t="s">
        <v>1225</v>
      </c>
      <c r="C2885" s="8" t="n">
        <v>1</v>
      </c>
      <c r="D2885" s="8" t="n">
        <v>28.93</v>
      </c>
      <c r="E2885" s="8" t="n">
        <v>0</v>
      </c>
      <c r="F2885" s="8" t="n">
        <v>0</v>
      </c>
    </row>
    <row r="2886" customFormat="false" ht="15" hidden="false" customHeight="true" outlineLevel="0" collapsed="false">
      <c r="A2886" s="8" t="s">
        <v>241</v>
      </c>
      <c r="B2886" s="8" t="s">
        <v>1227</v>
      </c>
      <c r="C2886" s="8" t="n">
        <v>2</v>
      </c>
      <c r="D2886" s="8" t="n">
        <v>34</v>
      </c>
      <c r="E2886" s="8" t="n">
        <v>0</v>
      </c>
      <c r="F2886" s="8" t="n">
        <v>0</v>
      </c>
    </row>
    <row r="2887" customFormat="false" ht="15" hidden="false" customHeight="true" outlineLevel="0" collapsed="false">
      <c r="A2887" s="8" t="s">
        <v>219</v>
      </c>
      <c r="B2887" s="8" t="s">
        <v>1227</v>
      </c>
      <c r="C2887" s="8" t="n">
        <v>1</v>
      </c>
      <c r="D2887" s="8" t="n">
        <v>17</v>
      </c>
      <c r="E2887" s="8" t="n">
        <v>0</v>
      </c>
      <c r="F2887" s="8" t="n">
        <v>0</v>
      </c>
    </row>
    <row r="2888" customFormat="false" ht="15" hidden="false" customHeight="true" outlineLevel="0" collapsed="false">
      <c r="A2888" s="8" t="s">
        <v>292</v>
      </c>
      <c r="B2888" s="8" t="s">
        <v>1227</v>
      </c>
      <c r="C2888" s="8" t="n">
        <v>1</v>
      </c>
      <c r="D2888" s="8" t="n">
        <v>17</v>
      </c>
      <c r="E2888" s="8" t="n">
        <v>0</v>
      </c>
      <c r="F2888" s="8" t="n">
        <v>0</v>
      </c>
    </row>
    <row r="2889" customFormat="false" ht="15" hidden="false" customHeight="true" outlineLevel="0" collapsed="false">
      <c r="A2889" s="8" t="s">
        <v>237</v>
      </c>
      <c r="B2889" s="8" t="s">
        <v>1259</v>
      </c>
      <c r="C2889" s="8" t="n">
        <v>1</v>
      </c>
      <c r="D2889" s="8" t="n">
        <v>18.45</v>
      </c>
      <c r="E2889" s="8" t="n">
        <v>0</v>
      </c>
      <c r="F2889" s="8" t="n">
        <v>0</v>
      </c>
    </row>
    <row r="2890" customFormat="false" ht="15" hidden="false" customHeight="true" outlineLevel="0" collapsed="false">
      <c r="A2890" s="8" t="s">
        <v>244</v>
      </c>
      <c r="B2890" s="8" t="s">
        <v>1213</v>
      </c>
      <c r="C2890" s="8" t="n">
        <v>2</v>
      </c>
      <c r="D2890" s="8" t="n">
        <v>19</v>
      </c>
      <c r="E2890" s="8" t="n">
        <v>0</v>
      </c>
      <c r="F2890" s="8" t="n">
        <v>0</v>
      </c>
    </row>
    <row r="2891" customFormat="false" ht="15" hidden="false" customHeight="true" outlineLevel="0" collapsed="false">
      <c r="A2891" s="8" t="s">
        <v>251</v>
      </c>
      <c r="B2891" s="8" t="s">
        <v>1262</v>
      </c>
      <c r="C2891" s="8" t="n">
        <v>4</v>
      </c>
      <c r="D2891" s="8" t="n">
        <v>38.84</v>
      </c>
      <c r="E2891" s="8" t="n">
        <v>0</v>
      </c>
      <c r="F2891" s="8" t="n">
        <v>0</v>
      </c>
    </row>
    <row r="2892" customFormat="false" ht="15" hidden="false" customHeight="true" outlineLevel="0" collapsed="false">
      <c r="A2892" s="8" t="s">
        <v>308</v>
      </c>
      <c r="B2892" s="8" t="s">
        <v>1229</v>
      </c>
      <c r="C2892" s="8" t="n">
        <v>4</v>
      </c>
      <c r="D2892" s="8" t="n">
        <v>32.32</v>
      </c>
      <c r="E2892" s="8" t="n">
        <v>0</v>
      </c>
      <c r="F2892" s="8" t="n">
        <v>0</v>
      </c>
    </row>
    <row r="2893" customFormat="false" ht="15" hidden="false" customHeight="true" outlineLevel="0" collapsed="false">
      <c r="A2893" s="8" t="s">
        <v>172</v>
      </c>
      <c r="B2893" s="8" t="s">
        <v>1214</v>
      </c>
      <c r="C2893" s="8" t="n">
        <v>3</v>
      </c>
      <c r="D2893" s="8" t="n">
        <v>36.54</v>
      </c>
      <c r="E2893" s="8" t="n">
        <v>0</v>
      </c>
      <c r="F2893" s="8" t="n">
        <v>0</v>
      </c>
    </row>
    <row r="2894" customFormat="false" ht="15" hidden="false" customHeight="true" outlineLevel="0" collapsed="false">
      <c r="A2894" s="8" t="s">
        <v>261</v>
      </c>
      <c r="B2894" s="8" t="s">
        <v>1215</v>
      </c>
      <c r="C2894" s="8" t="n">
        <v>1</v>
      </c>
      <c r="D2894" s="8" t="n">
        <v>21.21</v>
      </c>
      <c r="E2894" s="8" t="n">
        <v>0</v>
      </c>
      <c r="F2894" s="8" t="n">
        <v>0</v>
      </c>
    </row>
    <row r="2895" customFormat="false" ht="15" hidden="false" customHeight="true" outlineLevel="0" collapsed="false">
      <c r="A2895" s="8" t="s">
        <v>269</v>
      </c>
      <c r="B2895" s="8" t="s">
        <v>1231</v>
      </c>
      <c r="C2895" s="8" t="n">
        <v>1</v>
      </c>
      <c r="D2895" s="8" t="n">
        <v>11.33</v>
      </c>
      <c r="E2895" s="8" t="n">
        <v>0</v>
      </c>
      <c r="F2895" s="8" t="n">
        <v>0</v>
      </c>
    </row>
    <row r="2896" customFormat="false" ht="15" hidden="false" customHeight="true" outlineLevel="0" collapsed="false">
      <c r="A2896" s="8" t="s">
        <v>213</v>
      </c>
      <c r="B2896" s="8" t="s">
        <v>1232</v>
      </c>
      <c r="C2896" s="8" t="n">
        <v>5</v>
      </c>
      <c r="D2896" s="8" t="n">
        <v>137.75</v>
      </c>
      <c r="E2896" s="8" t="n">
        <v>0</v>
      </c>
      <c r="F2896" s="8" t="n">
        <v>0</v>
      </c>
    </row>
    <row r="2897" customFormat="false" ht="15" hidden="false" customHeight="true" outlineLevel="0" collapsed="false">
      <c r="A2897" s="8" t="s">
        <v>265</v>
      </c>
      <c r="B2897" s="8" t="s">
        <v>621</v>
      </c>
      <c r="C2897" s="8" t="n">
        <v>2</v>
      </c>
      <c r="D2897" s="8" t="n">
        <v>84</v>
      </c>
      <c r="E2897" s="8" t="n">
        <v>0</v>
      </c>
      <c r="F2897" s="8" t="n">
        <v>0</v>
      </c>
    </row>
    <row r="2898" customFormat="false" ht="15" hidden="false" customHeight="true" outlineLevel="0" collapsed="false">
      <c r="A2898" s="8" t="s">
        <v>276</v>
      </c>
      <c r="B2898" s="8" t="s">
        <v>621</v>
      </c>
      <c r="C2898" s="8" t="n">
        <v>2</v>
      </c>
      <c r="D2898" s="8" t="n">
        <v>84</v>
      </c>
      <c r="E2898" s="8" t="n">
        <v>0</v>
      </c>
      <c r="F2898" s="8" t="n">
        <v>0</v>
      </c>
    </row>
    <row r="2899" customFormat="false" ht="15" hidden="false" customHeight="true" outlineLevel="0" collapsed="false">
      <c r="A2899" s="8" t="s">
        <v>364</v>
      </c>
      <c r="B2899" s="8" t="s">
        <v>1264</v>
      </c>
      <c r="C2899" s="8" t="n">
        <v>3</v>
      </c>
      <c r="D2899" s="8" t="n">
        <v>55.2</v>
      </c>
      <c r="E2899" s="8" t="n">
        <v>0</v>
      </c>
      <c r="F2899" s="8" t="n">
        <v>0</v>
      </c>
    </row>
    <row r="2900" customFormat="false" ht="15" hidden="false" customHeight="true" outlineLevel="0" collapsed="false">
      <c r="A2900" s="8" t="s">
        <v>180</v>
      </c>
      <c r="B2900" s="8" t="s">
        <v>1216</v>
      </c>
      <c r="C2900" s="8" t="n">
        <v>1</v>
      </c>
      <c r="D2900" s="8" t="n">
        <v>16.5</v>
      </c>
      <c r="E2900" s="8" t="n">
        <v>0</v>
      </c>
      <c r="F2900" s="8" t="n">
        <v>0</v>
      </c>
    </row>
    <row r="2901" customFormat="false" ht="15" hidden="false" customHeight="true" outlineLevel="0" collapsed="false">
      <c r="A2901" s="8" t="s">
        <v>189</v>
      </c>
      <c r="B2901" s="8" t="s">
        <v>1216</v>
      </c>
      <c r="C2901" s="8" t="n">
        <v>3</v>
      </c>
      <c r="D2901" s="8" t="n">
        <v>49.5</v>
      </c>
      <c r="E2901" s="8" t="n">
        <v>0</v>
      </c>
      <c r="F2901" s="8" t="n">
        <v>0</v>
      </c>
    </row>
    <row r="2902" customFormat="false" ht="15" hidden="false" customHeight="true" outlineLevel="0" collapsed="false">
      <c r="A2902" s="8" t="s">
        <v>267</v>
      </c>
      <c r="B2902" s="8" t="s">
        <v>1216</v>
      </c>
      <c r="C2902" s="8" t="n">
        <v>1</v>
      </c>
      <c r="D2902" s="8" t="n">
        <v>16.5</v>
      </c>
      <c r="E2902" s="8" t="n">
        <v>0</v>
      </c>
      <c r="F2902" s="8" t="n">
        <v>0</v>
      </c>
    </row>
    <row r="2903" customFormat="false" ht="15" hidden="false" customHeight="true" outlineLevel="0" collapsed="false">
      <c r="A2903" s="8" t="s">
        <v>199</v>
      </c>
      <c r="B2903" s="8" t="s">
        <v>1216</v>
      </c>
      <c r="C2903" s="8" t="n">
        <v>1</v>
      </c>
      <c r="D2903" s="8" t="n">
        <v>16.5</v>
      </c>
      <c r="E2903" s="8" t="n">
        <v>0</v>
      </c>
      <c r="F2903" s="8" t="n">
        <v>0</v>
      </c>
    </row>
    <row r="2904" customFormat="false" ht="15" hidden="false" customHeight="true" outlineLevel="0" collapsed="false">
      <c r="A2904" s="8" t="s">
        <v>198</v>
      </c>
      <c r="B2904" s="8" t="s">
        <v>1217</v>
      </c>
      <c r="C2904" s="8" t="n">
        <v>2</v>
      </c>
      <c r="D2904" s="8" t="n">
        <v>41</v>
      </c>
      <c r="E2904" s="8" t="n">
        <v>0</v>
      </c>
      <c r="F2904" s="8" t="n">
        <v>0</v>
      </c>
    </row>
    <row r="2905" customFormat="false" ht="15" hidden="false" customHeight="true" outlineLevel="0" collapsed="false">
      <c r="A2905" s="8" t="s">
        <v>193</v>
      </c>
      <c r="B2905" s="8" t="s">
        <v>1217</v>
      </c>
      <c r="C2905" s="8" t="n">
        <v>1</v>
      </c>
      <c r="D2905" s="8" t="n">
        <v>20.5</v>
      </c>
      <c r="E2905" s="8" t="n">
        <v>0</v>
      </c>
      <c r="F2905" s="8" t="n">
        <v>0</v>
      </c>
    </row>
    <row r="2906" customFormat="false" ht="15" hidden="false" customHeight="true" outlineLevel="0" collapsed="false">
      <c r="A2906" s="8" t="s">
        <v>302</v>
      </c>
      <c r="B2906" s="8" t="s">
        <v>1217</v>
      </c>
      <c r="C2906" s="8" t="n">
        <v>1</v>
      </c>
      <c r="D2906" s="8" t="n">
        <v>20.5</v>
      </c>
      <c r="E2906" s="8" t="n">
        <v>0</v>
      </c>
      <c r="F2906" s="8" t="n">
        <v>0</v>
      </c>
    </row>
    <row r="2907" customFormat="false" ht="15" hidden="false" customHeight="true" outlineLevel="0" collapsed="false">
      <c r="A2907" s="8" t="s">
        <v>205</v>
      </c>
      <c r="B2907" s="8" t="s">
        <v>1217</v>
      </c>
      <c r="C2907" s="8" t="n">
        <v>1</v>
      </c>
      <c r="D2907" s="8" t="n">
        <v>20.5</v>
      </c>
      <c r="E2907" s="8" t="n">
        <v>0</v>
      </c>
      <c r="F2907" s="8" t="n">
        <v>0</v>
      </c>
    </row>
    <row r="2908" customFormat="false" ht="15" hidden="false" customHeight="true" outlineLevel="0" collapsed="false">
      <c r="A2908" s="8" t="s">
        <v>178</v>
      </c>
      <c r="B2908" s="8" t="s">
        <v>1236</v>
      </c>
      <c r="C2908" s="8" t="n">
        <v>2</v>
      </c>
      <c r="D2908" s="8" t="n">
        <v>70</v>
      </c>
      <c r="E2908" s="8" t="n">
        <v>0</v>
      </c>
      <c r="F2908" s="8" t="n">
        <v>0</v>
      </c>
    </row>
    <row r="2909" customFormat="false" ht="15" hidden="false" customHeight="true" outlineLevel="0" collapsed="false">
      <c r="A2909" s="8" t="s">
        <v>176</v>
      </c>
      <c r="B2909" s="8" t="s">
        <v>1236</v>
      </c>
      <c r="C2909" s="8" t="n">
        <v>2</v>
      </c>
      <c r="D2909" s="8" t="n">
        <v>70</v>
      </c>
      <c r="E2909" s="8" t="n">
        <v>0</v>
      </c>
      <c r="F2909" s="8" t="n">
        <v>0</v>
      </c>
    </row>
    <row r="2910" customFormat="false" ht="15" hidden="false" customHeight="true" outlineLevel="0" collapsed="false">
      <c r="A2910" s="8" t="s">
        <v>240</v>
      </c>
      <c r="B2910" s="8" t="s">
        <v>769</v>
      </c>
      <c r="C2910" s="8" t="n">
        <v>1</v>
      </c>
      <c r="D2910" s="8" t="n">
        <v>17</v>
      </c>
      <c r="E2910" s="8" t="n">
        <v>0</v>
      </c>
      <c r="F2910" s="8" t="n">
        <v>0</v>
      </c>
    </row>
    <row r="2911" customFormat="false" ht="15" hidden="false" customHeight="true" outlineLevel="0" collapsed="false">
      <c r="A2911" s="8" t="s">
        <v>234</v>
      </c>
      <c r="B2911" s="8" t="s">
        <v>769</v>
      </c>
      <c r="C2911" s="8" t="n">
        <v>1</v>
      </c>
      <c r="D2911" s="8" t="n">
        <v>17</v>
      </c>
      <c r="E2911" s="8" t="n">
        <v>0</v>
      </c>
      <c r="F2911" s="8" t="n">
        <v>0</v>
      </c>
    </row>
    <row r="2912" customFormat="false" ht="15" hidden="false" customHeight="true" outlineLevel="0" collapsed="false">
      <c r="A2912" s="8" t="s">
        <v>247</v>
      </c>
      <c r="B2912" s="8" t="s">
        <v>769</v>
      </c>
      <c r="C2912" s="8" t="n">
        <v>1</v>
      </c>
      <c r="D2912" s="8" t="n">
        <v>17</v>
      </c>
      <c r="E2912" s="8" t="n">
        <v>0</v>
      </c>
      <c r="F2912" s="8" t="n">
        <v>0</v>
      </c>
    </row>
    <row r="2913" customFormat="false" ht="15" hidden="false" customHeight="true" outlineLevel="0" collapsed="false">
      <c r="A2913" s="8" t="s">
        <v>300</v>
      </c>
      <c r="B2913" s="8" t="s">
        <v>769</v>
      </c>
      <c r="C2913" s="8" t="n">
        <v>3</v>
      </c>
      <c r="D2913" s="8" t="n">
        <v>51</v>
      </c>
      <c r="E2913" s="8" t="n">
        <v>0</v>
      </c>
      <c r="F2913" s="8" t="n">
        <v>0</v>
      </c>
    </row>
    <row r="2914" customFormat="false" ht="15" hidden="false" customHeight="true" outlineLevel="0" collapsed="false">
      <c r="A2914" s="8" t="s">
        <v>182</v>
      </c>
      <c r="B2914" s="8" t="s">
        <v>799</v>
      </c>
      <c r="C2914" s="8" t="n">
        <v>5</v>
      </c>
      <c r="D2914" s="8" t="n">
        <v>100</v>
      </c>
      <c r="E2914" s="8" t="n">
        <v>0</v>
      </c>
      <c r="F2914" s="8" t="n">
        <v>0</v>
      </c>
    </row>
    <row r="2915" customFormat="false" ht="15" hidden="false" customHeight="true" outlineLevel="0" collapsed="false">
      <c r="A2915" s="8" t="s">
        <v>274</v>
      </c>
      <c r="B2915" s="8" t="s">
        <v>1219</v>
      </c>
      <c r="C2915" s="8" t="n">
        <v>3</v>
      </c>
      <c r="D2915" s="8" t="n">
        <v>26.19</v>
      </c>
      <c r="E2915" s="8" t="n">
        <v>0</v>
      </c>
      <c r="F2915" s="8" t="n">
        <v>0</v>
      </c>
    </row>
    <row r="2916" customFormat="false" ht="15" hidden="false" customHeight="true" outlineLevel="0" collapsed="false">
      <c r="A2916" s="8" t="s">
        <v>170</v>
      </c>
      <c r="B2916" s="8" t="s">
        <v>1220</v>
      </c>
      <c r="C2916" s="8" t="n">
        <v>6</v>
      </c>
      <c r="D2916" s="8" t="n">
        <v>88.8</v>
      </c>
      <c r="E2916" s="8" t="n">
        <v>0</v>
      </c>
      <c r="F2916" s="8" t="n">
        <v>0</v>
      </c>
    </row>
    <row r="2917" customFormat="false" ht="15" hidden="false" customHeight="true" outlineLevel="0" collapsed="false">
      <c r="A2917" s="8" t="s">
        <v>323</v>
      </c>
      <c r="B2917" s="8" t="s">
        <v>875</v>
      </c>
      <c r="C2917" s="8" t="n">
        <v>3</v>
      </c>
      <c r="D2917" s="8" t="n">
        <v>47.73</v>
      </c>
      <c r="E2917" s="8" t="n">
        <v>0</v>
      </c>
      <c r="F2917" s="8" t="n">
        <v>0</v>
      </c>
    </row>
    <row r="2918" customFormat="false" ht="15" hidden="false" customHeight="true" outlineLevel="0" collapsed="false">
      <c r="A2918" s="8" t="s">
        <v>315</v>
      </c>
      <c r="B2918" s="8" t="s">
        <v>1266</v>
      </c>
      <c r="C2918" s="8" t="n">
        <v>3</v>
      </c>
      <c r="D2918" s="8" t="n">
        <v>47.73</v>
      </c>
      <c r="E2918" s="8" t="n">
        <v>0</v>
      </c>
      <c r="F2918" s="8" t="n">
        <v>0</v>
      </c>
    </row>
    <row r="2919" customFormat="false" ht="15" hidden="false" customHeight="true" outlineLevel="0" collapsed="false">
      <c r="A2919" s="8" t="s">
        <v>252</v>
      </c>
      <c r="B2919" s="8" t="s">
        <v>1177</v>
      </c>
      <c r="C2919" s="8" t="n">
        <v>2</v>
      </c>
      <c r="D2919" s="8" t="n">
        <v>33.2</v>
      </c>
      <c r="E2919" s="8" t="n">
        <v>0</v>
      </c>
      <c r="F2919" s="8" t="n">
        <v>0</v>
      </c>
    </row>
    <row r="2920" customFormat="false" ht="15" hidden="false" customHeight="true" outlineLevel="0" collapsed="false">
      <c r="A2920" s="8" t="s">
        <v>203</v>
      </c>
      <c r="B2920" s="8" t="s">
        <v>1177</v>
      </c>
      <c r="C2920" s="8" t="n">
        <v>3</v>
      </c>
      <c r="D2920" s="8" t="n">
        <v>55.5</v>
      </c>
      <c r="E2920" s="8" t="n">
        <v>0</v>
      </c>
      <c r="F2920" s="8" t="n">
        <v>0</v>
      </c>
    </row>
    <row r="2921" customFormat="false" ht="15" hidden="false" customHeight="true" outlineLevel="0" collapsed="false">
      <c r="A2921" s="8" t="s">
        <v>196</v>
      </c>
      <c r="B2921" s="8" t="s">
        <v>1243</v>
      </c>
      <c r="C2921" s="8" t="n">
        <v>1</v>
      </c>
      <c r="D2921" s="8" t="n">
        <v>53.5</v>
      </c>
      <c r="E2921" s="8" t="n">
        <v>0</v>
      </c>
      <c r="F2921" s="8" t="n">
        <v>0</v>
      </c>
    </row>
    <row r="2922" customFormat="false" ht="15" hidden="false" customHeight="true" outlineLevel="0" collapsed="false">
      <c r="A2922" s="8" t="s">
        <v>312</v>
      </c>
      <c r="B2922" s="8" t="s">
        <v>767</v>
      </c>
      <c r="C2922" s="8" t="n">
        <v>1</v>
      </c>
      <c r="D2922" s="8" t="n">
        <v>20.5</v>
      </c>
      <c r="E2922" s="8" t="n">
        <v>0</v>
      </c>
      <c r="F2922" s="8" t="n">
        <v>0</v>
      </c>
    </row>
    <row r="2923" customFormat="false" ht="15" hidden="false" customHeight="true" outlineLevel="0" collapsed="false">
      <c r="A2923" s="8" t="s">
        <v>226</v>
      </c>
      <c r="B2923" s="8" t="s">
        <v>566</v>
      </c>
      <c r="C2923" s="8" t="n">
        <v>2</v>
      </c>
      <c r="D2923" s="8" t="n">
        <v>41.6</v>
      </c>
      <c r="E2923" s="8" t="n">
        <v>0</v>
      </c>
      <c r="F2923" s="8" t="n">
        <v>0</v>
      </c>
    </row>
    <row r="2924" customFormat="false" ht="15" hidden="false" customHeight="true" outlineLevel="0" collapsed="false">
      <c r="A2924" s="8" t="s">
        <v>200</v>
      </c>
      <c r="B2924" s="8" t="s">
        <v>1279</v>
      </c>
      <c r="C2924" s="8" t="n">
        <v>1</v>
      </c>
      <c r="D2924" s="8" t="n">
        <v>77.24</v>
      </c>
      <c r="E2924" s="8" t="n">
        <v>0</v>
      </c>
      <c r="F2924" s="8" t="n">
        <v>0</v>
      </c>
    </row>
    <row r="2925" customFormat="false" ht="15" hidden="false" customHeight="true" outlineLevel="0" collapsed="false">
      <c r="A2925" s="8" t="s">
        <v>290</v>
      </c>
      <c r="B2925" s="8" t="s">
        <v>897</v>
      </c>
      <c r="C2925" s="8" t="n">
        <v>0</v>
      </c>
      <c r="D2925" s="8" t="n">
        <v>0</v>
      </c>
      <c r="E2925" s="8" t="n">
        <v>2</v>
      </c>
      <c r="F2925" s="8" t="n">
        <v>130</v>
      </c>
    </row>
    <row r="2926" customFormat="false" ht="15" hidden="false" customHeight="true" outlineLevel="0" collapsed="false">
      <c r="A2926" s="8" t="s">
        <v>283</v>
      </c>
      <c r="B2926" s="8" t="s">
        <v>1223</v>
      </c>
      <c r="C2926" s="8" t="n">
        <v>3</v>
      </c>
      <c r="D2926" s="8" t="n">
        <v>233.4</v>
      </c>
      <c r="E2926" s="8" t="n">
        <v>0</v>
      </c>
      <c r="F2926" s="8" t="n">
        <v>0</v>
      </c>
    </row>
    <row r="2927" customFormat="false" ht="15" hidden="false" customHeight="true" outlineLevel="0" collapsed="false">
      <c r="A2927" s="8" t="s">
        <v>216</v>
      </c>
      <c r="B2927" s="8" t="s">
        <v>1223</v>
      </c>
      <c r="C2927" s="8" t="n">
        <v>4</v>
      </c>
      <c r="D2927" s="8" t="n">
        <v>311.2</v>
      </c>
      <c r="E2927" s="8" t="n">
        <v>0</v>
      </c>
      <c r="F2927" s="8" t="n">
        <v>0</v>
      </c>
    </row>
    <row r="2928" customFormat="false" ht="15" hidden="false" customHeight="true" outlineLevel="0" collapsed="false">
      <c r="A2928" s="8" t="s">
        <v>236</v>
      </c>
      <c r="B2928" s="8" t="s">
        <v>1223</v>
      </c>
      <c r="C2928" s="8" t="n">
        <v>5</v>
      </c>
      <c r="D2928" s="8" t="n">
        <v>389</v>
      </c>
      <c r="E2928" s="8" t="n">
        <v>0</v>
      </c>
      <c r="F2928" s="8" t="n">
        <v>0</v>
      </c>
    </row>
    <row r="2929" customFormat="false" ht="15" hidden="false" customHeight="true" outlineLevel="0" collapsed="false">
      <c r="A2929" s="8" t="s">
        <v>190</v>
      </c>
      <c r="B2929" s="8" t="s">
        <v>1224</v>
      </c>
      <c r="C2929" s="8" t="n">
        <v>0</v>
      </c>
      <c r="D2929" s="8" t="n">
        <v>0</v>
      </c>
      <c r="E2929" s="8" t="n">
        <v>1</v>
      </c>
      <c r="F2929" s="8" t="n">
        <v>24.43</v>
      </c>
    </row>
    <row r="2930" customFormat="false" ht="15" hidden="false" customHeight="true" outlineLevel="0" collapsed="false">
      <c r="A2930" s="8" t="s">
        <v>183</v>
      </c>
      <c r="B2930" s="8" t="s">
        <v>1224</v>
      </c>
      <c r="C2930" s="8" t="n">
        <v>0</v>
      </c>
      <c r="D2930" s="8" t="n">
        <v>0</v>
      </c>
      <c r="E2930" s="8" t="n">
        <v>3</v>
      </c>
      <c r="F2930" s="8" t="n">
        <v>73.29</v>
      </c>
    </row>
    <row r="2931" customFormat="false" ht="15" hidden="false" customHeight="true" outlineLevel="0" collapsed="false">
      <c r="A2931" s="8" t="s">
        <v>218</v>
      </c>
      <c r="B2931" s="8" t="s">
        <v>1224</v>
      </c>
      <c r="C2931" s="8" t="n">
        <v>0</v>
      </c>
      <c r="D2931" s="8" t="n">
        <v>0</v>
      </c>
      <c r="E2931" s="8" t="n">
        <v>2</v>
      </c>
      <c r="F2931" s="8" t="n">
        <v>48.86</v>
      </c>
    </row>
    <row r="2932" customFormat="false" ht="15" hidden="false" customHeight="true" outlineLevel="0" collapsed="false">
      <c r="A2932" s="8" t="s">
        <v>231</v>
      </c>
      <c r="B2932" s="8" t="s">
        <v>1224</v>
      </c>
      <c r="C2932" s="8" t="n">
        <v>0</v>
      </c>
      <c r="D2932" s="8" t="n">
        <v>0</v>
      </c>
      <c r="E2932" s="8" t="n">
        <v>1</v>
      </c>
      <c r="F2932" s="8" t="n">
        <v>24.43</v>
      </c>
    </row>
    <row r="2933" customFormat="false" ht="15" hidden="false" customHeight="true" outlineLevel="0" collapsed="false">
      <c r="A2933" s="8" t="s">
        <v>171</v>
      </c>
      <c r="B2933" s="8" t="s">
        <v>1210</v>
      </c>
      <c r="C2933" s="8" t="n">
        <v>3</v>
      </c>
      <c r="D2933" s="8" t="n">
        <v>141.69</v>
      </c>
      <c r="E2933" s="8" t="n">
        <v>0</v>
      </c>
      <c r="F2933" s="8" t="n">
        <v>0</v>
      </c>
    </row>
    <row r="2934" customFormat="false" ht="15" hidden="false" customHeight="true" outlineLevel="0" collapsed="false">
      <c r="A2934" s="8" t="s">
        <v>174</v>
      </c>
      <c r="B2934" s="8" t="s">
        <v>1210</v>
      </c>
      <c r="C2934" s="8" t="n">
        <v>2</v>
      </c>
      <c r="D2934" s="8" t="n">
        <v>94.46</v>
      </c>
      <c r="E2934" s="8" t="n">
        <v>1</v>
      </c>
      <c r="F2934" s="8" t="n">
        <v>47.23</v>
      </c>
    </row>
    <row r="2935" customFormat="false" ht="15" hidden="false" customHeight="true" outlineLevel="0" collapsed="false">
      <c r="A2935" s="8" t="s">
        <v>270</v>
      </c>
      <c r="B2935" s="8" t="s">
        <v>1251</v>
      </c>
      <c r="C2935" s="8" t="n">
        <v>0</v>
      </c>
      <c r="D2935" s="8" t="n">
        <v>0</v>
      </c>
      <c r="E2935" s="8" t="n">
        <v>1</v>
      </c>
      <c r="F2935" s="8" t="n">
        <v>9.82</v>
      </c>
    </row>
    <row r="2936" customFormat="false" ht="15" hidden="false" customHeight="true" outlineLevel="0" collapsed="false">
      <c r="A2936" s="8" t="s">
        <v>188</v>
      </c>
      <c r="B2936" s="8" t="s">
        <v>1225</v>
      </c>
      <c r="C2936" s="8" t="n">
        <v>0</v>
      </c>
      <c r="D2936" s="8" t="n">
        <v>0</v>
      </c>
      <c r="E2936" s="8" t="n">
        <v>1</v>
      </c>
      <c r="F2936" s="8" t="n">
        <v>28.93</v>
      </c>
    </row>
    <row r="2937" customFormat="false" ht="15" hidden="false" customHeight="true" outlineLevel="0" collapsed="false">
      <c r="A2937" s="8" t="s">
        <v>186</v>
      </c>
      <c r="B2937" s="8" t="s">
        <v>1225</v>
      </c>
      <c r="C2937" s="8" t="n">
        <v>0</v>
      </c>
      <c r="D2937" s="8" t="n">
        <v>0</v>
      </c>
      <c r="E2937" s="8" t="n">
        <v>1</v>
      </c>
      <c r="F2937" s="8" t="n">
        <v>28.93</v>
      </c>
    </row>
    <row r="2938" customFormat="false" ht="15" hidden="false" customHeight="true" outlineLevel="0" collapsed="false">
      <c r="A2938" s="8" t="s">
        <v>239</v>
      </c>
      <c r="B2938" s="8" t="s">
        <v>1225</v>
      </c>
      <c r="C2938" s="8" t="n">
        <v>0</v>
      </c>
      <c r="D2938" s="8" t="n">
        <v>0</v>
      </c>
      <c r="E2938" s="8" t="n">
        <v>1</v>
      </c>
      <c r="F2938" s="8" t="n">
        <v>28.93</v>
      </c>
    </row>
    <row r="2939" customFormat="false" ht="15" hidden="false" customHeight="true" outlineLevel="0" collapsed="false">
      <c r="A2939" s="8" t="s">
        <v>210</v>
      </c>
      <c r="B2939" s="8" t="s">
        <v>1225</v>
      </c>
      <c r="C2939" s="8" t="n">
        <v>0</v>
      </c>
      <c r="D2939" s="8" t="n">
        <v>0</v>
      </c>
      <c r="E2939" s="8" t="n">
        <v>1</v>
      </c>
      <c r="F2939" s="8" t="n">
        <v>28.93</v>
      </c>
    </row>
    <row r="2940" customFormat="false" ht="15" hidden="false" customHeight="true" outlineLevel="0" collapsed="false">
      <c r="A2940" s="8" t="s">
        <v>320</v>
      </c>
      <c r="B2940" s="8" t="s">
        <v>1225</v>
      </c>
      <c r="C2940" s="8" t="n">
        <v>0</v>
      </c>
      <c r="D2940" s="8" t="n">
        <v>0</v>
      </c>
      <c r="E2940" s="8" t="n">
        <v>1</v>
      </c>
      <c r="F2940" s="8" t="n">
        <v>28.93</v>
      </c>
    </row>
    <row r="2941" customFormat="false" ht="15" hidden="false" customHeight="true" outlineLevel="0" collapsed="false">
      <c r="A2941" s="8" t="s">
        <v>278</v>
      </c>
      <c r="B2941" s="8" t="s">
        <v>1225</v>
      </c>
      <c r="C2941" s="8" t="n">
        <v>0</v>
      </c>
      <c r="D2941" s="8" t="n">
        <v>0</v>
      </c>
      <c r="E2941" s="8" t="n">
        <v>1</v>
      </c>
      <c r="F2941" s="8" t="n">
        <v>28.93</v>
      </c>
    </row>
    <row r="2942" customFormat="false" ht="15" hidden="false" customHeight="true" outlineLevel="0" collapsed="false">
      <c r="A2942" s="8" t="s">
        <v>238</v>
      </c>
      <c r="B2942" s="8" t="s">
        <v>1226</v>
      </c>
      <c r="C2942" s="8" t="n">
        <v>0</v>
      </c>
      <c r="D2942" s="8" t="n">
        <v>0</v>
      </c>
      <c r="E2942" s="8" t="n">
        <v>1</v>
      </c>
      <c r="F2942" s="8" t="n">
        <v>42.17</v>
      </c>
    </row>
    <row r="2943" customFormat="false" ht="15" hidden="false" customHeight="true" outlineLevel="0" collapsed="false">
      <c r="A2943" s="8" t="s">
        <v>201</v>
      </c>
      <c r="B2943" s="8" t="s">
        <v>1226</v>
      </c>
      <c r="C2943" s="8" t="n">
        <v>0</v>
      </c>
      <c r="D2943" s="8" t="n">
        <v>0</v>
      </c>
      <c r="E2943" s="8" t="n">
        <v>1</v>
      </c>
      <c r="F2943" s="8" t="n">
        <v>42.17</v>
      </c>
    </row>
    <row r="2944" customFormat="false" ht="15" hidden="false" customHeight="true" outlineLevel="0" collapsed="false">
      <c r="A2944" s="8" t="s">
        <v>314</v>
      </c>
      <c r="B2944" s="8" t="s">
        <v>1226</v>
      </c>
      <c r="C2944" s="8" t="n">
        <v>0</v>
      </c>
      <c r="D2944" s="8" t="n">
        <v>0</v>
      </c>
      <c r="E2944" s="8" t="n">
        <v>1</v>
      </c>
      <c r="F2944" s="8" t="n">
        <v>42.17</v>
      </c>
    </row>
    <row r="2945" customFormat="false" ht="15" hidden="false" customHeight="true" outlineLevel="0" collapsed="false">
      <c r="A2945" s="8" t="s">
        <v>241</v>
      </c>
      <c r="B2945" s="8" t="s">
        <v>1227</v>
      </c>
      <c r="C2945" s="8" t="n">
        <v>0</v>
      </c>
      <c r="D2945" s="8" t="n">
        <v>0</v>
      </c>
      <c r="E2945" s="8" t="n">
        <v>1</v>
      </c>
      <c r="F2945" s="8" t="n">
        <v>17</v>
      </c>
    </row>
    <row r="2946" customFormat="false" ht="15" hidden="false" customHeight="true" outlineLevel="0" collapsed="false">
      <c r="A2946" s="8" t="s">
        <v>219</v>
      </c>
      <c r="B2946" s="8" t="s">
        <v>1227</v>
      </c>
      <c r="C2946" s="8" t="n">
        <v>0</v>
      </c>
      <c r="D2946" s="8" t="n">
        <v>0</v>
      </c>
      <c r="E2946" s="8" t="n">
        <v>1</v>
      </c>
      <c r="F2946" s="8" t="n">
        <v>17</v>
      </c>
    </row>
    <row r="2947" customFormat="false" ht="15" hidden="false" customHeight="true" outlineLevel="0" collapsed="false">
      <c r="A2947" s="8" t="s">
        <v>292</v>
      </c>
      <c r="B2947" s="8" t="s">
        <v>1227</v>
      </c>
      <c r="C2947" s="8" t="n">
        <v>2</v>
      </c>
      <c r="D2947" s="8" t="n">
        <v>34</v>
      </c>
      <c r="E2947" s="8" t="n">
        <v>1</v>
      </c>
      <c r="F2947" s="8" t="n">
        <v>17</v>
      </c>
    </row>
    <row r="2948" customFormat="false" ht="15" hidden="false" customHeight="true" outlineLevel="0" collapsed="false">
      <c r="A2948" s="8" t="s">
        <v>223</v>
      </c>
      <c r="B2948" s="8" t="s">
        <v>1227</v>
      </c>
      <c r="C2948" s="8" t="n">
        <v>4</v>
      </c>
      <c r="D2948" s="8" t="n">
        <v>68</v>
      </c>
      <c r="E2948" s="8" t="n">
        <v>0</v>
      </c>
      <c r="F2948" s="8" t="n">
        <v>0</v>
      </c>
    </row>
    <row r="2949" customFormat="false" ht="15" hidden="false" customHeight="true" outlineLevel="0" collapsed="false">
      <c r="A2949" s="8" t="s">
        <v>237</v>
      </c>
      <c r="B2949" s="8" t="s">
        <v>1259</v>
      </c>
      <c r="C2949" s="8" t="n">
        <v>3</v>
      </c>
      <c r="D2949" s="8" t="n">
        <v>55.35</v>
      </c>
      <c r="E2949" s="8" t="n">
        <v>0</v>
      </c>
      <c r="F2949" s="8" t="n">
        <v>0</v>
      </c>
    </row>
    <row r="2950" customFormat="false" ht="15" hidden="false" customHeight="true" outlineLevel="0" collapsed="false">
      <c r="A2950" s="8" t="s">
        <v>202</v>
      </c>
      <c r="B2950" s="8" t="s">
        <v>1212</v>
      </c>
      <c r="C2950" s="8" t="n">
        <v>0</v>
      </c>
      <c r="D2950" s="8" t="n">
        <v>0</v>
      </c>
      <c r="E2950" s="8" t="n">
        <v>1</v>
      </c>
      <c r="F2950" s="8" t="n">
        <v>9.5</v>
      </c>
    </row>
    <row r="2951" customFormat="false" ht="15" hidden="false" customHeight="true" outlineLevel="0" collapsed="false">
      <c r="A2951" s="8" t="s">
        <v>244</v>
      </c>
      <c r="B2951" s="8" t="s">
        <v>1213</v>
      </c>
      <c r="C2951" s="8" t="n">
        <v>0</v>
      </c>
      <c r="D2951" s="8" t="n">
        <v>0</v>
      </c>
      <c r="E2951" s="8" t="n">
        <v>1</v>
      </c>
      <c r="F2951" s="8" t="n">
        <v>9.5</v>
      </c>
    </row>
    <row r="2952" customFormat="false" ht="15" hidden="false" customHeight="true" outlineLevel="0" collapsed="false">
      <c r="A2952" s="8" t="s">
        <v>172</v>
      </c>
      <c r="B2952" s="8" t="s">
        <v>1214</v>
      </c>
      <c r="C2952" s="8" t="n">
        <v>1</v>
      </c>
      <c r="D2952" s="8" t="n">
        <v>12.18</v>
      </c>
      <c r="E2952" s="8" t="n">
        <v>0</v>
      </c>
      <c r="F2952" s="8" t="n">
        <v>0</v>
      </c>
    </row>
    <row r="2953" customFormat="false" ht="15" hidden="false" customHeight="true" outlineLevel="0" collapsed="false">
      <c r="A2953" s="8" t="s">
        <v>261</v>
      </c>
      <c r="B2953" s="8" t="s">
        <v>1215</v>
      </c>
      <c r="C2953" s="8" t="n">
        <v>0</v>
      </c>
      <c r="D2953" s="8" t="n">
        <v>0</v>
      </c>
      <c r="E2953" s="8" t="n">
        <v>1</v>
      </c>
      <c r="F2953" s="8" t="n">
        <v>21.21</v>
      </c>
    </row>
    <row r="2954" customFormat="false" ht="15" hidden="false" customHeight="true" outlineLevel="0" collapsed="false">
      <c r="A2954" s="8" t="s">
        <v>213</v>
      </c>
      <c r="B2954" s="8" t="s">
        <v>1232</v>
      </c>
      <c r="C2954" s="8" t="n">
        <v>0</v>
      </c>
      <c r="D2954" s="8" t="n">
        <v>0</v>
      </c>
      <c r="E2954" s="8" t="n">
        <v>1</v>
      </c>
      <c r="F2954" s="8" t="n">
        <v>27.55</v>
      </c>
    </row>
    <row r="2955" customFormat="false" ht="15" hidden="false" customHeight="true" outlineLevel="0" collapsed="false">
      <c r="A2955" s="8" t="s">
        <v>255</v>
      </c>
      <c r="B2955" s="8" t="s">
        <v>1273</v>
      </c>
      <c r="C2955" s="8" t="n">
        <v>0</v>
      </c>
      <c r="D2955" s="8" t="n">
        <v>0</v>
      </c>
      <c r="E2955" s="8" t="n">
        <v>3</v>
      </c>
      <c r="F2955" s="8" t="n">
        <v>24.6</v>
      </c>
    </row>
    <row r="2956" customFormat="false" ht="15" hidden="false" customHeight="true" outlineLevel="0" collapsed="false">
      <c r="A2956" s="8" t="s">
        <v>194</v>
      </c>
      <c r="B2956" s="8" t="s">
        <v>1239</v>
      </c>
      <c r="C2956" s="8" t="n">
        <v>0</v>
      </c>
      <c r="D2956" s="8" t="n">
        <v>0</v>
      </c>
      <c r="E2956" s="8" t="n">
        <v>1</v>
      </c>
      <c r="F2956" s="8" t="n">
        <v>9.82</v>
      </c>
    </row>
    <row r="2957" customFormat="false" ht="15" hidden="false" customHeight="true" outlineLevel="0" collapsed="false">
      <c r="A2957" s="8" t="s">
        <v>267</v>
      </c>
      <c r="B2957" s="8" t="s">
        <v>1216</v>
      </c>
      <c r="C2957" s="8" t="n">
        <v>3</v>
      </c>
      <c r="D2957" s="8" t="n">
        <v>49.5</v>
      </c>
      <c r="E2957" s="8" t="n">
        <v>0</v>
      </c>
      <c r="F2957" s="8" t="n">
        <v>0</v>
      </c>
    </row>
    <row r="2958" customFormat="false" ht="15" hidden="false" customHeight="true" outlineLevel="0" collapsed="false">
      <c r="A2958" s="8" t="s">
        <v>199</v>
      </c>
      <c r="B2958" s="8" t="s">
        <v>1216</v>
      </c>
      <c r="C2958" s="8" t="n">
        <v>3</v>
      </c>
      <c r="D2958" s="8" t="n">
        <v>49.5</v>
      </c>
      <c r="E2958" s="8" t="n">
        <v>0</v>
      </c>
      <c r="F2958" s="8" t="n">
        <v>0</v>
      </c>
    </row>
    <row r="2959" customFormat="false" ht="15" hidden="false" customHeight="true" outlineLevel="0" collapsed="false">
      <c r="A2959" s="8" t="s">
        <v>193</v>
      </c>
      <c r="B2959" s="8" t="s">
        <v>1217</v>
      </c>
      <c r="C2959" s="8" t="n">
        <v>0</v>
      </c>
      <c r="D2959" s="8" t="n">
        <v>0</v>
      </c>
      <c r="E2959" s="8" t="n">
        <v>3</v>
      </c>
      <c r="F2959" s="8" t="n">
        <v>61.5</v>
      </c>
    </row>
    <row r="2960" customFormat="false" ht="15" hidden="false" customHeight="true" outlineLevel="0" collapsed="false">
      <c r="A2960" s="8" t="s">
        <v>302</v>
      </c>
      <c r="B2960" s="8" t="s">
        <v>1217</v>
      </c>
      <c r="C2960" s="8" t="n">
        <v>0</v>
      </c>
      <c r="D2960" s="8" t="n">
        <v>0</v>
      </c>
      <c r="E2960" s="8" t="n">
        <v>1</v>
      </c>
      <c r="F2960" s="8" t="n">
        <v>20.5</v>
      </c>
    </row>
    <row r="2961" customFormat="false" ht="15" hidden="false" customHeight="true" outlineLevel="0" collapsed="false">
      <c r="A2961" s="8" t="s">
        <v>205</v>
      </c>
      <c r="B2961" s="8" t="s">
        <v>1217</v>
      </c>
      <c r="C2961" s="8" t="n">
        <v>1</v>
      </c>
      <c r="D2961" s="8" t="n">
        <v>20.5</v>
      </c>
      <c r="E2961" s="8" t="n">
        <v>0</v>
      </c>
      <c r="F2961" s="8" t="n">
        <v>0</v>
      </c>
    </row>
    <row r="2962" customFormat="false" ht="15" hidden="false" customHeight="true" outlineLevel="0" collapsed="false">
      <c r="A2962" s="8" t="s">
        <v>249</v>
      </c>
      <c r="B2962" s="8" t="s">
        <v>1285</v>
      </c>
      <c r="C2962" s="8" t="n">
        <v>3</v>
      </c>
      <c r="D2962" s="8" t="n">
        <v>408.9</v>
      </c>
      <c r="E2962" s="8" t="n">
        <v>0</v>
      </c>
      <c r="F2962" s="8" t="n">
        <v>0</v>
      </c>
    </row>
    <row r="2963" customFormat="false" ht="15" hidden="false" customHeight="true" outlineLevel="0" collapsed="false">
      <c r="A2963" s="8" t="s">
        <v>178</v>
      </c>
      <c r="B2963" s="8" t="s">
        <v>1236</v>
      </c>
      <c r="C2963" s="8" t="n">
        <v>0</v>
      </c>
      <c r="D2963" s="8" t="n">
        <v>0</v>
      </c>
      <c r="E2963" s="8" t="n">
        <v>1</v>
      </c>
      <c r="F2963" s="8" t="n">
        <v>35</v>
      </c>
    </row>
    <row r="2964" customFormat="false" ht="15" hidden="false" customHeight="true" outlineLevel="0" collapsed="false">
      <c r="A2964" s="8" t="s">
        <v>176</v>
      </c>
      <c r="B2964" s="8" t="s">
        <v>1236</v>
      </c>
      <c r="C2964" s="8" t="n">
        <v>0</v>
      </c>
      <c r="D2964" s="8" t="n">
        <v>0</v>
      </c>
      <c r="E2964" s="8" t="n">
        <v>1</v>
      </c>
      <c r="F2964" s="8" t="n">
        <v>35</v>
      </c>
    </row>
    <row r="2965" customFormat="false" ht="15" hidden="false" customHeight="true" outlineLevel="0" collapsed="false">
      <c r="A2965" s="8" t="s">
        <v>235</v>
      </c>
      <c r="B2965" s="8" t="s">
        <v>1236</v>
      </c>
      <c r="C2965" s="8" t="n">
        <v>0</v>
      </c>
      <c r="D2965" s="8" t="n">
        <v>0</v>
      </c>
      <c r="E2965" s="8" t="n">
        <v>1</v>
      </c>
      <c r="F2965" s="8" t="n">
        <v>35</v>
      </c>
    </row>
    <row r="2966" customFormat="false" ht="15" hidden="false" customHeight="true" outlineLevel="0" collapsed="false">
      <c r="A2966" s="8" t="s">
        <v>182</v>
      </c>
      <c r="B2966" s="8" t="s">
        <v>799</v>
      </c>
      <c r="C2966" s="8" t="n">
        <v>0</v>
      </c>
      <c r="D2966" s="8" t="n">
        <v>0</v>
      </c>
      <c r="E2966" s="8" t="n">
        <v>1</v>
      </c>
      <c r="F2966" s="8" t="n">
        <v>20</v>
      </c>
    </row>
    <row r="2967" customFormat="false" ht="15" hidden="false" customHeight="true" outlineLevel="0" collapsed="false">
      <c r="A2967" s="8" t="s">
        <v>274</v>
      </c>
      <c r="B2967" s="8" t="s">
        <v>1219</v>
      </c>
      <c r="C2967" s="8" t="n">
        <v>0</v>
      </c>
      <c r="D2967" s="8" t="n">
        <v>0</v>
      </c>
      <c r="E2967" s="8" t="n">
        <v>5</v>
      </c>
      <c r="F2967" s="8" t="n">
        <v>43.65</v>
      </c>
    </row>
    <row r="2968" customFormat="false" ht="15" hidden="false" customHeight="true" outlineLevel="0" collapsed="false">
      <c r="A2968" s="8" t="s">
        <v>170</v>
      </c>
      <c r="B2968" s="8" t="s">
        <v>1220</v>
      </c>
      <c r="C2968" s="8" t="n">
        <v>0</v>
      </c>
      <c r="D2968" s="8" t="n">
        <v>0</v>
      </c>
      <c r="E2968" s="8" t="n">
        <v>6</v>
      </c>
      <c r="F2968" s="8" t="n">
        <v>88.8</v>
      </c>
    </row>
    <row r="2969" customFormat="false" ht="15" hidden="false" customHeight="true" outlineLevel="0" collapsed="false">
      <c r="A2969" s="8" t="s">
        <v>167</v>
      </c>
      <c r="B2969" s="8" t="s">
        <v>1238</v>
      </c>
      <c r="C2969" s="8" t="n">
        <v>32</v>
      </c>
      <c r="D2969" s="8" t="n">
        <v>428.8</v>
      </c>
      <c r="E2969" s="8" t="n">
        <v>10</v>
      </c>
      <c r="F2969" s="8" t="n">
        <v>134</v>
      </c>
    </row>
    <row r="2970" customFormat="false" ht="15" hidden="false" customHeight="true" outlineLevel="0" collapsed="false">
      <c r="A2970" s="8" t="s">
        <v>323</v>
      </c>
      <c r="B2970" s="8" t="s">
        <v>875</v>
      </c>
      <c r="C2970" s="8" t="n">
        <v>7</v>
      </c>
      <c r="D2970" s="8" t="n">
        <v>111.37</v>
      </c>
      <c r="E2970" s="8" t="n">
        <v>2</v>
      </c>
      <c r="F2970" s="8" t="n">
        <v>31.82</v>
      </c>
    </row>
    <row r="2971" customFormat="false" ht="15" hidden="false" customHeight="true" outlineLevel="0" collapsed="false">
      <c r="A2971" s="8" t="s">
        <v>220</v>
      </c>
      <c r="B2971" s="8" t="s">
        <v>1248</v>
      </c>
      <c r="C2971" s="8" t="n">
        <v>8</v>
      </c>
      <c r="D2971" s="8" t="n">
        <v>83.2</v>
      </c>
      <c r="E2971" s="8" t="n">
        <v>0</v>
      </c>
      <c r="F2971" s="8" t="n">
        <v>0</v>
      </c>
    </row>
    <row r="2972" customFormat="false" ht="15" hidden="false" customHeight="true" outlineLevel="0" collapsed="false">
      <c r="A2972" s="8" t="s">
        <v>252</v>
      </c>
      <c r="B2972" s="8" t="s">
        <v>1177</v>
      </c>
      <c r="C2972" s="8" t="n">
        <v>0</v>
      </c>
      <c r="D2972" s="8" t="n">
        <v>0</v>
      </c>
      <c r="E2972" s="8" t="n">
        <v>3</v>
      </c>
      <c r="F2972" s="8" t="n">
        <v>49.8</v>
      </c>
    </row>
    <row r="2973" customFormat="false" ht="15" hidden="false" customHeight="true" outlineLevel="0" collapsed="false">
      <c r="A2973" s="8" t="s">
        <v>203</v>
      </c>
      <c r="B2973" s="8" t="s">
        <v>1177</v>
      </c>
      <c r="C2973" s="8" t="n">
        <v>0</v>
      </c>
      <c r="D2973" s="8" t="n">
        <v>0</v>
      </c>
      <c r="E2973" s="8" t="n">
        <v>3</v>
      </c>
      <c r="F2973" s="8" t="n">
        <v>55.5</v>
      </c>
    </row>
    <row r="2974" customFormat="false" ht="15" hidden="false" customHeight="true" outlineLevel="0" collapsed="false">
      <c r="A2974" s="8" t="s">
        <v>196</v>
      </c>
      <c r="B2974" s="8" t="s">
        <v>1243</v>
      </c>
      <c r="C2974" s="8" t="n">
        <v>0</v>
      </c>
      <c r="D2974" s="8" t="n">
        <v>0</v>
      </c>
      <c r="E2974" s="8" t="n">
        <v>1</v>
      </c>
      <c r="F2974" s="8" t="n">
        <v>53.5</v>
      </c>
    </row>
    <row r="2975" customFormat="false" ht="15" hidden="false" customHeight="true" outlineLevel="0" collapsed="false">
      <c r="A2975" s="8" t="s">
        <v>344</v>
      </c>
      <c r="B2975" s="8" t="s">
        <v>1293</v>
      </c>
      <c r="C2975" s="8" t="n">
        <v>0</v>
      </c>
      <c r="D2975" s="8" t="n">
        <v>0</v>
      </c>
      <c r="E2975" s="8" t="n">
        <v>1</v>
      </c>
      <c r="F2975" s="8" t="n">
        <v>73.8</v>
      </c>
    </row>
    <row r="2976" customFormat="false" ht="15" hidden="false" customHeight="true" outlineLevel="0" collapsed="false">
      <c r="A2976" s="8" t="s">
        <v>221</v>
      </c>
      <c r="B2976" s="8" t="s">
        <v>1179</v>
      </c>
      <c r="C2976" s="8" t="n">
        <v>0</v>
      </c>
      <c r="D2976" s="8" t="n">
        <v>0</v>
      </c>
      <c r="E2976" s="8" t="n">
        <v>1</v>
      </c>
      <c r="F2976" s="8" t="n">
        <v>72.34</v>
      </c>
    </row>
    <row r="2977" customFormat="false" ht="15" hidden="false" customHeight="true" outlineLevel="0" collapsed="false">
      <c r="A2977" s="8" t="s">
        <v>216</v>
      </c>
      <c r="B2977" s="8" t="s">
        <v>1223</v>
      </c>
      <c r="C2977" s="8" t="n">
        <v>0</v>
      </c>
      <c r="D2977" s="8" t="n">
        <v>0</v>
      </c>
      <c r="E2977" s="8" t="n">
        <v>1</v>
      </c>
      <c r="F2977" s="8" t="n">
        <v>77.8</v>
      </c>
    </row>
    <row r="2978" customFormat="false" ht="15" hidden="false" customHeight="true" outlineLevel="0" collapsed="false">
      <c r="A2978" s="8" t="s">
        <v>236</v>
      </c>
      <c r="B2978" s="8" t="s">
        <v>1223</v>
      </c>
      <c r="C2978" s="8" t="n">
        <v>3</v>
      </c>
      <c r="D2978" s="8" t="n">
        <v>233.4</v>
      </c>
      <c r="E2978" s="8" t="n">
        <v>0</v>
      </c>
      <c r="F2978" s="8" t="n">
        <v>0</v>
      </c>
    </row>
    <row r="2979" customFormat="false" ht="15" hidden="false" customHeight="true" outlineLevel="0" collapsed="false">
      <c r="A2979" s="8" t="s">
        <v>289</v>
      </c>
      <c r="B2979" s="8" t="s">
        <v>1270</v>
      </c>
      <c r="C2979" s="8" t="n">
        <v>6</v>
      </c>
      <c r="D2979" s="8" t="n">
        <v>66</v>
      </c>
      <c r="E2979" s="8" t="n">
        <v>0</v>
      </c>
      <c r="F2979" s="8" t="n">
        <v>0</v>
      </c>
    </row>
    <row r="2980" customFormat="false" ht="15" hidden="false" customHeight="true" outlineLevel="0" collapsed="false">
      <c r="A2980" s="8" t="s">
        <v>324</v>
      </c>
      <c r="B2980" s="8" t="s">
        <v>1271</v>
      </c>
      <c r="C2980" s="8" t="n">
        <v>6</v>
      </c>
      <c r="D2980" s="8" t="n">
        <v>66</v>
      </c>
      <c r="E2980" s="8" t="n">
        <v>0</v>
      </c>
      <c r="F2980" s="8" t="n">
        <v>0</v>
      </c>
    </row>
    <row r="2981" customFormat="false" ht="15" hidden="false" customHeight="true" outlineLevel="0" collapsed="false">
      <c r="A2981" s="8" t="s">
        <v>161</v>
      </c>
      <c r="B2981" s="8" t="s">
        <v>1208</v>
      </c>
      <c r="C2981" s="8" t="n">
        <v>3</v>
      </c>
      <c r="D2981" s="8" t="n">
        <v>136.5</v>
      </c>
      <c r="E2981" s="8" t="n">
        <v>0</v>
      </c>
      <c r="F2981" s="8" t="n">
        <v>0</v>
      </c>
    </row>
    <row r="2982" customFormat="false" ht="15" hidden="false" customHeight="true" outlineLevel="0" collapsed="false">
      <c r="A2982" s="8" t="s">
        <v>188</v>
      </c>
      <c r="B2982" s="8" t="s">
        <v>1225</v>
      </c>
      <c r="C2982" s="8" t="n">
        <v>3</v>
      </c>
      <c r="D2982" s="8" t="n">
        <v>86.79</v>
      </c>
      <c r="E2982" s="8" t="n">
        <v>0</v>
      </c>
      <c r="F2982" s="8" t="n">
        <v>0</v>
      </c>
    </row>
    <row r="2983" customFormat="false" ht="15" hidden="false" customHeight="true" outlineLevel="0" collapsed="false">
      <c r="A2983" s="8" t="s">
        <v>241</v>
      </c>
      <c r="B2983" s="8" t="s">
        <v>1227</v>
      </c>
      <c r="C2983" s="8" t="n">
        <v>1</v>
      </c>
      <c r="D2983" s="8" t="n">
        <v>17</v>
      </c>
      <c r="E2983" s="8" t="n">
        <v>0</v>
      </c>
      <c r="F2983" s="8" t="n">
        <v>0</v>
      </c>
    </row>
    <row r="2984" customFormat="false" ht="15" hidden="false" customHeight="true" outlineLevel="0" collapsed="false">
      <c r="A2984" s="8" t="s">
        <v>219</v>
      </c>
      <c r="B2984" s="8" t="s">
        <v>1227</v>
      </c>
      <c r="C2984" s="8" t="n">
        <v>1</v>
      </c>
      <c r="D2984" s="8" t="n">
        <v>17</v>
      </c>
      <c r="E2984" s="8" t="n">
        <v>0</v>
      </c>
      <c r="F2984" s="8" t="n">
        <v>0</v>
      </c>
    </row>
    <row r="2985" customFormat="false" ht="15" hidden="false" customHeight="true" outlineLevel="0" collapsed="false">
      <c r="A2985" s="8" t="s">
        <v>251</v>
      </c>
      <c r="B2985" s="8" t="s">
        <v>1262</v>
      </c>
      <c r="C2985" s="8" t="n">
        <v>0</v>
      </c>
      <c r="D2985" s="8" t="n">
        <v>0</v>
      </c>
      <c r="E2985" s="8" t="n">
        <v>1</v>
      </c>
      <c r="F2985" s="8" t="n">
        <v>9.71</v>
      </c>
    </row>
    <row r="2986" customFormat="false" ht="15" hidden="false" customHeight="true" outlineLevel="0" collapsed="false">
      <c r="A2986" s="8" t="s">
        <v>172</v>
      </c>
      <c r="B2986" s="8" t="s">
        <v>1214</v>
      </c>
      <c r="C2986" s="8" t="n">
        <v>1</v>
      </c>
      <c r="D2986" s="8" t="n">
        <v>12.18</v>
      </c>
      <c r="E2986" s="8" t="n">
        <v>1</v>
      </c>
      <c r="F2986" s="8" t="n">
        <v>12.18</v>
      </c>
    </row>
    <row r="2987" customFormat="false" ht="15" hidden="false" customHeight="true" outlineLevel="0" collapsed="false">
      <c r="A2987" s="8" t="s">
        <v>265</v>
      </c>
      <c r="B2987" s="8" t="s">
        <v>621</v>
      </c>
      <c r="C2987" s="8" t="n">
        <v>1</v>
      </c>
      <c r="D2987" s="8" t="n">
        <v>42</v>
      </c>
      <c r="E2987" s="8" t="n">
        <v>0</v>
      </c>
      <c r="F2987" s="8" t="n">
        <v>0</v>
      </c>
    </row>
    <row r="2988" customFormat="false" ht="15" hidden="false" customHeight="true" outlineLevel="0" collapsed="false">
      <c r="A2988" s="8" t="s">
        <v>276</v>
      </c>
      <c r="B2988" s="8" t="s">
        <v>621</v>
      </c>
      <c r="C2988" s="8" t="n">
        <v>1</v>
      </c>
      <c r="D2988" s="8" t="n">
        <v>42</v>
      </c>
      <c r="E2988" s="8" t="n">
        <v>0</v>
      </c>
      <c r="F2988" s="8" t="n">
        <v>0</v>
      </c>
    </row>
    <row r="2989" customFormat="false" ht="15" hidden="false" customHeight="true" outlineLevel="0" collapsed="false">
      <c r="A2989" s="8" t="s">
        <v>168</v>
      </c>
      <c r="B2989" s="8" t="s">
        <v>1240</v>
      </c>
      <c r="C2989" s="8" t="n">
        <v>1</v>
      </c>
      <c r="D2989" s="8" t="n">
        <v>41.81</v>
      </c>
      <c r="E2989" s="8" t="n">
        <v>0</v>
      </c>
      <c r="F2989" s="8" t="n">
        <v>0</v>
      </c>
    </row>
    <row r="2990" customFormat="false" ht="15" hidden="false" customHeight="true" outlineLevel="0" collapsed="false">
      <c r="A2990" s="8" t="s">
        <v>180</v>
      </c>
      <c r="B2990" s="8" t="s">
        <v>1216</v>
      </c>
      <c r="C2990" s="8" t="n">
        <v>0</v>
      </c>
      <c r="D2990" s="8" t="n">
        <v>0</v>
      </c>
      <c r="E2990" s="8" t="n">
        <v>1</v>
      </c>
      <c r="F2990" s="8" t="n">
        <v>16.5</v>
      </c>
    </row>
    <row r="2991" customFormat="false" ht="15" hidden="false" customHeight="true" outlineLevel="0" collapsed="false">
      <c r="A2991" s="8" t="s">
        <v>198</v>
      </c>
      <c r="B2991" s="8" t="s">
        <v>1217</v>
      </c>
      <c r="C2991" s="8" t="n">
        <v>0</v>
      </c>
      <c r="D2991" s="8" t="n">
        <v>0</v>
      </c>
      <c r="E2991" s="8" t="n">
        <v>1</v>
      </c>
      <c r="F2991" s="8" t="n">
        <v>20.5</v>
      </c>
    </row>
    <row r="2992" customFormat="false" ht="15" hidden="false" customHeight="true" outlineLevel="0" collapsed="false">
      <c r="A2992" s="8" t="s">
        <v>193</v>
      </c>
      <c r="B2992" s="8" t="s">
        <v>1217</v>
      </c>
      <c r="C2992" s="8" t="n">
        <v>3</v>
      </c>
      <c r="D2992" s="8" t="n">
        <v>61.5</v>
      </c>
      <c r="E2992" s="8" t="n">
        <v>0</v>
      </c>
      <c r="F2992" s="8" t="n">
        <v>0</v>
      </c>
    </row>
    <row r="2993" customFormat="false" ht="15" hidden="false" customHeight="true" outlineLevel="0" collapsed="false">
      <c r="A2993" s="8" t="s">
        <v>205</v>
      </c>
      <c r="B2993" s="8" t="s">
        <v>1217</v>
      </c>
      <c r="C2993" s="8" t="n">
        <v>3</v>
      </c>
      <c r="D2993" s="8" t="n">
        <v>61.5</v>
      </c>
      <c r="E2993" s="8" t="n">
        <v>0</v>
      </c>
      <c r="F2993" s="8" t="n">
        <v>0</v>
      </c>
    </row>
    <row r="2994" customFormat="false" ht="15" hidden="false" customHeight="true" outlineLevel="0" collapsed="false">
      <c r="A2994" s="8" t="s">
        <v>234</v>
      </c>
      <c r="B2994" s="8" t="s">
        <v>769</v>
      </c>
      <c r="C2994" s="8" t="n">
        <v>3</v>
      </c>
      <c r="D2994" s="8" t="n">
        <v>51</v>
      </c>
      <c r="E2994" s="8" t="n">
        <v>0</v>
      </c>
      <c r="F2994" s="8" t="n">
        <v>0</v>
      </c>
    </row>
    <row r="2995" customFormat="false" ht="15" hidden="false" customHeight="true" outlineLevel="0" collapsed="false">
      <c r="A2995" s="8" t="s">
        <v>182</v>
      </c>
      <c r="B2995" s="8" t="s">
        <v>799</v>
      </c>
      <c r="C2995" s="8" t="n">
        <v>1</v>
      </c>
      <c r="D2995" s="8" t="n">
        <v>20</v>
      </c>
      <c r="E2995" s="8" t="n">
        <v>0</v>
      </c>
      <c r="F2995" s="8" t="n">
        <v>0</v>
      </c>
    </row>
    <row r="2996" customFormat="false" ht="15" hidden="false" customHeight="true" outlineLevel="0" collapsed="false">
      <c r="A2996" s="8" t="s">
        <v>190</v>
      </c>
      <c r="B2996" s="8" t="s">
        <v>1224</v>
      </c>
      <c r="C2996" s="8" t="n">
        <v>0</v>
      </c>
      <c r="D2996" s="8" t="n">
        <v>0</v>
      </c>
      <c r="E2996" s="8" t="n">
        <v>3</v>
      </c>
      <c r="F2996" s="8" t="n">
        <v>73.29</v>
      </c>
    </row>
    <row r="2997" customFormat="false" ht="15" hidden="false" customHeight="true" outlineLevel="0" collapsed="false">
      <c r="A2997" s="8" t="s">
        <v>183</v>
      </c>
      <c r="B2997" s="8" t="s">
        <v>1224</v>
      </c>
      <c r="C2997" s="8" t="n">
        <v>0</v>
      </c>
      <c r="D2997" s="8" t="n">
        <v>0</v>
      </c>
      <c r="E2997" s="8" t="n">
        <v>3</v>
      </c>
      <c r="F2997" s="8" t="n">
        <v>73.29</v>
      </c>
    </row>
    <row r="2998" customFormat="false" ht="15" hidden="false" customHeight="true" outlineLevel="0" collapsed="false">
      <c r="A2998" s="8" t="s">
        <v>218</v>
      </c>
      <c r="B2998" s="8" t="s">
        <v>1224</v>
      </c>
      <c r="C2998" s="8" t="n">
        <v>0</v>
      </c>
      <c r="D2998" s="8" t="n">
        <v>0</v>
      </c>
      <c r="E2998" s="8" t="n">
        <v>3</v>
      </c>
      <c r="F2998" s="8" t="n">
        <v>73.29</v>
      </c>
    </row>
    <row r="2999" customFormat="false" ht="15" hidden="false" customHeight="true" outlineLevel="0" collapsed="false">
      <c r="A2999" s="8" t="s">
        <v>251</v>
      </c>
      <c r="B2999" s="8" t="s">
        <v>1262</v>
      </c>
      <c r="C2999" s="8" t="n">
        <v>0</v>
      </c>
      <c r="D2999" s="8" t="n">
        <v>0</v>
      </c>
      <c r="E2999" s="8" t="n">
        <v>3</v>
      </c>
      <c r="F2999" s="8" t="n">
        <v>29.13</v>
      </c>
    </row>
    <row r="3000" customFormat="false" ht="15" hidden="false" customHeight="true" outlineLevel="0" collapsed="false">
      <c r="A3000" s="8" t="s">
        <v>172</v>
      </c>
      <c r="B3000" s="8" t="s">
        <v>1214</v>
      </c>
      <c r="C3000" s="8" t="n">
        <v>0</v>
      </c>
      <c r="D3000" s="8" t="n">
        <v>0</v>
      </c>
      <c r="E3000" s="8" t="n">
        <v>3</v>
      </c>
      <c r="F3000" s="8" t="n">
        <v>36.54</v>
      </c>
    </row>
    <row r="3001" customFormat="false" ht="15" hidden="false" customHeight="true" outlineLevel="0" collapsed="false">
      <c r="A3001" s="8" t="s">
        <v>269</v>
      </c>
      <c r="B3001" s="8" t="s">
        <v>1231</v>
      </c>
      <c r="C3001" s="8" t="n">
        <v>0</v>
      </c>
      <c r="D3001" s="8" t="n">
        <v>0</v>
      </c>
      <c r="E3001" s="8" t="n">
        <v>3</v>
      </c>
      <c r="F3001" s="8" t="n">
        <v>33.99</v>
      </c>
    </row>
    <row r="3002" customFormat="false" ht="15" hidden="false" customHeight="true" outlineLevel="0" collapsed="false">
      <c r="A3002" s="8" t="s">
        <v>232</v>
      </c>
      <c r="B3002" s="8" t="s">
        <v>1233</v>
      </c>
      <c r="C3002" s="8" t="n">
        <v>0</v>
      </c>
      <c r="D3002" s="8" t="n">
        <v>0</v>
      </c>
      <c r="E3002" s="8" t="n">
        <v>3</v>
      </c>
      <c r="F3002" s="8" t="n">
        <v>48.6</v>
      </c>
    </row>
    <row r="3003" customFormat="false" ht="15" hidden="false" customHeight="true" outlineLevel="0" collapsed="false">
      <c r="A3003" s="8" t="s">
        <v>215</v>
      </c>
      <c r="B3003" s="8" t="s">
        <v>1233</v>
      </c>
      <c r="C3003" s="8" t="n">
        <v>0</v>
      </c>
      <c r="D3003" s="8" t="n">
        <v>0</v>
      </c>
      <c r="E3003" s="8" t="n">
        <v>3</v>
      </c>
      <c r="F3003" s="8" t="n">
        <v>53.46</v>
      </c>
    </row>
    <row r="3004" customFormat="false" ht="15" hidden="false" customHeight="true" outlineLevel="0" collapsed="false">
      <c r="A3004" s="8" t="s">
        <v>99</v>
      </c>
      <c r="B3004" s="8" t="s">
        <v>1247</v>
      </c>
      <c r="C3004" s="8" t="n">
        <v>0</v>
      </c>
      <c r="D3004" s="8" t="n">
        <v>0</v>
      </c>
      <c r="E3004" s="8" t="n">
        <v>3</v>
      </c>
      <c r="F3004" s="8" t="n">
        <v>75</v>
      </c>
    </row>
    <row r="3005" customFormat="false" ht="15" hidden="false" customHeight="true" outlineLevel="0" collapsed="false">
      <c r="A3005" s="8" t="s">
        <v>274</v>
      </c>
      <c r="B3005" s="8" t="s">
        <v>1219</v>
      </c>
      <c r="C3005" s="8" t="n">
        <v>0</v>
      </c>
      <c r="D3005" s="8" t="n">
        <v>0</v>
      </c>
      <c r="E3005" s="8" t="n">
        <v>3</v>
      </c>
      <c r="F3005" s="8" t="n">
        <v>26.19</v>
      </c>
    </row>
    <row r="3006" customFormat="false" ht="15" hidden="false" customHeight="true" outlineLevel="0" collapsed="false">
      <c r="A3006" s="8" t="s">
        <v>167</v>
      </c>
      <c r="B3006" s="8" t="s">
        <v>1238</v>
      </c>
      <c r="C3006" s="8" t="n">
        <v>0</v>
      </c>
      <c r="D3006" s="8" t="n">
        <v>0</v>
      </c>
      <c r="E3006" s="8" t="n">
        <v>3</v>
      </c>
      <c r="F3006" s="8" t="n">
        <v>40.2</v>
      </c>
    </row>
    <row r="3007" customFormat="false" ht="15" hidden="false" customHeight="true" outlineLevel="0" collapsed="false">
      <c r="A3007" s="8" t="s">
        <v>220</v>
      </c>
      <c r="B3007" s="8" t="s">
        <v>1248</v>
      </c>
      <c r="C3007" s="8" t="n">
        <v>0</v>
      </c>
      <c r="D3007" s="8" t="n">
        <v>0</v>
      </c>
      <c r="E3007" s="8" t="n">
        <v>6</v>
      </c>
      <c r="F3007" s="8" t="n">
        <v>62.4</v>
      </c>
    </row>
    <row r="3008" customFormat="false" ht="15" hidden="false" customHeight="true" outlineLevel="0" collapsed="false">
      <c r="A3008" s="8" t="s">
        <v>275</v>
      </c>
      <c r="B3008" s="8" t="s">
        <v>1257</v>
      </c>
      <c r="C3008" s="8" t="n">
        <v>0</v>
      </c>
      <c r="D3008" s="8" t="n">
        <v>0</v>
      </c>
      <c r="E3008" s="8" t="n">
        <v>3</v>
      </c>
      <c r="F3008" s="8" t="n">
        <v>64.8</v>
      </c>
    </row>
    <row r="3009" customFormat="false" ht="15" hidden="false" customHeight="true" outlineLevel="0" collapsed="false">
      <c r="A3009" s="8" t="s">
        <v>233</v>
      </c>
      <c r="B3009" s="8" t="s">
        <v>1249</v>
      </c>
      <c r="C3009" s="8" t="n">
        <v>0</v>
      </c>
      <c r="D3009" s="8" t="n">
        <v>0</v>
      </c>
      <c r="E3009" s="8" t="n">
        <v>6</v>
      </c>
      <c r="F3009" s="8" t="n">
        <v>107.7</v>
      </c>
    </row>
    <row r="3010" customFormat="false" ht="15" hidden="false" customHeight="true" outlineLevel="0" collapsed="false">
      <c r="A3010" s="8" t="s">
        <v>197</v>
      </c>
      <c r="B3010" s="8" t="s">
        <v>1222</v>
      </c>
      <c r="C3010" s="8" t="n">
        <v>0</v>
      </c>
      <c r="D3010" s="8" t="n">
        <v>0</v>
      </c>
      <c r="E3010" s="8" t="n">
        <v>1</v>
      </c>
      <c r="F3010" s="8" t="n">
        <v>65</v>
      </c>
    </row>
    <row r="3011" customFormat="false" ht="15" hidden="false" customHeight="true" outlineLevel="0" collapsed="false">
      <c r="A3011" s="8" t="s">
        <v>253</v>
      </c>
      <c r="B3011" s="8" t="s">
        <v>1222</v>
      </c>
      <c r="C3011" s="8" t="n">
        <v>0</v>
      </c>
      <c r="D3011" s="8" t="n">
        <v>0</v>
      </c>
      <c r="E3011" s="8" t="n">
        <v>2</v>
      </c>
      <c r="F3011" s="8" t="n">
        <v>130</v>
      </c>
    </row>
    <row r="3012" customFormat="false" ht="15" hidden="false" customHeight="true" outlineLevel="0" collapsed="false">
      <c r="A3012" s="8" t="s">
        <v>207</v>
      </c>
      <c r="B3012" s="8" t="s">
        <v>1222</v>
      </c>
      <c r="C3012" s="8" t="n">
        <v>0</v>
      </c>
      <c r="D3012" s="8" t="n">
        <v>0</v>
      </c>
      <c r="E3012" s="8" t="n">
        <v>1</v>
      </c>
      <c r="F3012" s="8" t="n">
        <v>65</v>
      </c>
    </row>
    <row r="3013" customFormat="false" ht="15" hidden="false" customHeight="true" outlineLevel="0" collapsed="false">
      <c r="A3013" s="8" t="s">
        <v>208</v>
      </c>
      <c r="B3013" s="8" t="s">
        <v>1179</v>
      </c>
      <c r="C3013" s="8" t="n">
        <v>0</v>
      </c>
      <c r="D3013" s="8" t="n">
        <v>0</v>
      </c>
      <c r="E3013" s="8" t="n">
        <v>1</v>
      </c>
      <c r="F3013" s="8" t="n">
        <v>72.34</v>
      </c>
    </row>
    <row r="3014" customFormat="false" ht="15" hidden="false" customHeight="true" outlineLevel="0" collapsed="false">
      <c r="A3014" s="8" t="s">
        <v>221</v>
      </c>
      <c r="B3014" s="8" t="s">
        <v>1179</v>
      </c>
      <c r="C3014" s="8" t="n">
        <v>0</v>
      </c>
      <c r="D3014" s="8" t="n">
        <v>0</v>
      </c>
      <c r="E3014" s="8" t="n">
        <v>1</v>
      </c>
      <c r="F3014" s="8" t="n">
        <v>72.34</v>
      </c>
    </row>
    <row r="3015" customFormat="false" ht="15" hidden="false" customHeight="true" outlineLevel="0" collapsed="false">
      <c r="A3015" s="8" t="s">
        <v>191</v>
      </c>
      <c r="B3015" s="8" t="s">
        <v>1179</v>
      </c>
      <c r="C3015" s="8" t="n">
        <v>0</v>
      </c>
      <c r="D3015" s="8" t="n">
        <v>0</v>
      </c>
      <c r="E3015" s="8" t="n">
        <v>1</v>
      </c>
      <c r="F3015" s="8" t="n">
        <v>72.34</v>
      </c>
    </row>
    <row r="3016" customFormat="false" ht="15" hidden="false" customHeight="true" outlineLevel="0" collapsed="false">
      <c r="A3016" s="8" t="s">
        <v>183</v>
      </c>
      <c r="B3016" s="8" t="s">
        <v>1224</v>
      </c>
      <c r="C3016" s="8" t="n">
        <v>0</v>
      </c>
      <c r="D3016" s="8" t="n">
        <v>0</v>
      </c>
      <c r="E3016" s="8" t="n">
        <v>2</v>
      </c>
      <c r="F3016" s="8" t="n">
        <v>48.86</v>
      </c>
    </row>
    <row r="3017" customFormat="false" ht="15" hidden="false" customHeight="true" outlineLevel="0" collapsed="false">
      <c r="A3017" s="8" t="s">
        <v>218</v>
      </c>
      <c r="B3017" s="8" t="s">
        <v>1224</v>
      </c>
      <c r="C3017" s="8" t="n">
        <v>0</v>
      </c>
      <c r="D3017" s="8" t="n">
        <v>0</v>
      </c>
      <c r="E3017" s="8" t="n">
        <v>3</v>
      </c>
      <c r="F3017" s="8" t="n">
        <v>73.29</v>
      </c>
    </row>
    <row r="3018" customFormat="false" ht="15" hidden="false" customHeight="true" outlineLevel="0" collapsed="false">
      <c r="A3018" s="8" t="s">
        <v>231</v>
      </c>
      <c r="B3018" s="8" t="s">
        <v>1224</v>
      </c>
      <c r="C3018" s="8" t="n">
        <v>0</v>
      </c>
      <c r="D3018" s="8" t="n">
        <v>0</v>
      </c>
      <c r="E3018" s="8" t="n">
        <v>2</v>
      </c>
      <c r="F3018" s="8" t="n">
        <v>48.86</v>
      </c>
    </row>
    <row r="3019" customFormat="false" ht="15" hidden="false" customHeight="true" outlineLevel="0" collapsed="false">
      <c r="A3019" s="8" t="s">
        <v>161</v>
      </c>
      <c r="B3019" s="8" t="s">
        <v>1208</v>
      </c>
      <c r="C3019" s="8" t="n">
        <v>0</v>
      </c>
      <c r="D3019" s="8" t="n">
        <v>0</v>
      </c>
      <c r="E3019" s="8" t="n">
        <v>6</v>
      </c>
      <c r="F3019" s="8" t="n">
        <v>273</v>
      </c>
    </row>
    <row r="3020" customFormat="false" ht="15" hidden="false" customHeight="true" outlineLevel="0" collapsed="false">
      <c r="A3020" s="8" t="s">
        <v>162</v>
      </c>
      <c r="B3020" s="8" t="s">
        <v>1209</v>
      </c>
      <c r="C3020" s="8" t="n">
        <v>0</v>
      </c>
      <c r="D3020" s="8" t="n">
        <v>0</v>
      </c>
      <c r="E3020" s="8" t="n">
        <v>12</v>
      </c>
      <c r="F3020" s="8" t="n">
        <v>933.6</v>
      </c>
    </row>
    <row r="3021" customFormat="false" ht="15" hidden="false" customHeight="true" outlineLevel="0" collapsed="false">
      <c r="A3021" s="8" t="s">
        <v>188</v>
      </c>
      <c r="B3021" s="8" t="s">
        <v>1225</v>
      </c>
      <c r="C3021" s="8" t="n">
        <v>0</v>
      </c>
      <c r="D3021" s="8" t="n">
        <v>0</v>
      </c>
      <c r="E3021" s="8" t="n">
        <v>3</v>
      </c>
      <c r="F3021" s="8" t="n">
        <v>86.79</v>
      </c>
    </row>
    <row r="3022" customFormat="false" ht="15" hidden="false" customHeight="true" outlineLevel="0" collapsed="false">
      <c r="A3022" s="8" t="s">
        <v>210</v>
      </c>
      <c r="B3022" s="8" t="s">
        <v>1225</v>
      </c>
      <c r="C3022" s="8" t="n">
        <v>0</v>
      </c>
      <c r="D3022" s="8" t="n">
        <v>0</v>
      </c>
      <c r="E3022" s="8" t="n">
        <v>1</v>
      </c>
      <c r="F3022" s="8" t="n">
        <v>28.93</v>
      </c>
    </row>
    <row r="3023" customFormat="false" ht="15" hidden="false" customHeight="true" outlineLevel="0" collapsed="false">
      <c r="A3023" s="8" t="s">
        <v>238</v>
      </c>
      <c r="B3023" s="8" t="s">
        <v>1226</v>
      </c>
      <c r="C3023" s="8" t="n">
        <v>0</v>
      </c>
      <c r="D3023" s="8" t="n">
        <v>0</v>
      </c>
      <c r="E3023" s="8" t="n">
        <v>2</v>
      </c>
      <c r="F3023" s="8" t="n">
        <v>84.34</v>
      </c>
    </row>
    <row r="3024" customFormat="false" ht="15" hidden="false" customHeight="true" outlineLevel="0" collapsed="false">
      <c r="A3024" s="8" t="s">
        <v>201</v>
      </c>
      <c r="B3024" s="8" t="s">
        <v>1226</v>
      </c>
      <c r="C3024" s="8" t="n">
        <v>0</v>
      </c>
      <c r="D3024" s="8" t="n">
        <v>0</v>
      </c>
      <c r="E3024" s="8" t="n">
        <v>2</v>
      </c>
      <c r="F3024" s="8" t="n">
        <v>84.34</v>
      </c>
    </row>
    <row r="3025" customFormat="false" ht="15" hidden="false" customHeight="true" outlineLevel="0" collapsed="false">
      <c r="A3025" s="8" t="s">
        <v>214</v>
      </c>
      <c r="B3025" s="8" t="s">
        <v>1226</v>
      </c>
      <c r="C3025" s="8" t="n">
        <v>0</v>
      </c>
      <c r="D3025" s="8" t="n">
        <v>0</v>
      </c>
      <c r="E3025" s="8" t="n">
        <v>1</v>
      </c>
      <c r="F3025" s="8" t="n">
        <v>42.17</v>
      </c>
    </row>
    <row r="3026" customFormat="false" ht="15" hidden="false" customHeight="true" outlineLevel="0" collapsed="false">
      <c r="A3026" s="8" t="s">
        <v>241</v>
      </c>
      <c r="B3026" s="8" t="s">
        <v>1227</v>
      </c>
      <c r="C3026" s="8" t="n">
        <v>0</v>
      </c>
      <c r="D3026" s="8" t="n">
        <v>0</v>
      </c>
      <c r="E3026" s="8" t="n">
        <v>3</v>
      </c>
      <c r="F3026" s="8" t="n">
        <v>51</v>
      </c>
    </row>
    <row r="3027" customFormat="false" ht="15" hidden="false" customHeight="true" outlineLevel="0" collapsed="false">
      <c r="A3027" s="8" t="s">
        <v>219</v>
      </c>
      <c r="B3027" s="8" t="s">
        <v>1227</v>
      </c>
      <c r="C3027" s="8" t="n">
        <v>0</v>
      </c>
      <c r="D3027" s="8" t="n">
        <v>0</v>
      </c>
      <c r="E3027" s="8" t="n">
        <v>3</v>
      </c>
      <c r="F3027" s="8" t="n">
        <v>51</v>
      </c>
    </row>
    <row r="3028" customFormat="false" ht="15" hidden="false" customHeight="true" outlineLevel="0" collapsed="false">
      <c r="A3028" s="8" t="s">
        <v>292</v>
      </c>
      <c r="B3028" s="8" t="s">
        <v>1227</v>
      </c>
      <c r="C3028" s="8" t="n">
        <v>0</v>
      </c>
      <c r="D3028" s="8" t="n">
        <v>0</v>
      </c>
      <c r="E3028" s="8" t="n">
        <v>2</v>
      </c>
      <c r="F3028" s="8" t="n">
        <v>34</v>
      </c>
    </row>
    <row r="3029" customFormat="false" ht="15" hidden="false" customHeight="true" outlineLevel="0" collapsed="false">
      <c r="A3029" s="8" t="s">
        <v>223</v>
      </c>
      <c r="B3029" s="8" t="s">
        <v>1227</v>
      </c>
      <c r="C3029" s="8" t="n">
        <v>0</v>
      </c>
      <c r="D3029" s="8" t="n">
        <v>0</v>
      </c>
      <c r="E3029" s="8" t="n">
        <v>1</v>
      </c>
      <c r="F3029" s="8" t="n">
        <v>17</v>
      </c>
    </row>
    <row r="3030" customFormat="false" ht="15" hidden="false" customHeight="true" outlineLevel="0" collapsed="false">
      <c r="A3030" s="8" t="s">
        <v>351</v>
      </c>
      <c r="B3030" s="8" t="s">
        <v>1281</v>
      </c>
      <c r="C3030" s="8" t="n">
        <v>0</v>
      </c>
      <c r="D3030" s="8" t="n">
        <v>0</v>
      </c>
      <c r="E3030" s="8" t="n">
        <v>3</v>
      </c>
      <c r="F3030" s="8" t="n">
        <v>70.8</v>
      </c>
    </row>
    <row r="3031" customFormat="false" ht="15" hidden="false" customHeight="true" outlineLevel="0" collapsed="false">
      <c r="A3031" s="8" t="s">
        <v>326</v>
      </c>
      <c r="B3031" s="8" t="s">
        <v>1281</v>
      </c>
      <c r="C3031" s="8" t="n">
        <v>0</v>
      </c>
      <c r="D3031" s="8" t="n">
        <v>0</v>
      </c>
      <c r="E3031" s="8" t="n">
        <v>4</v>
      </c>
      <c r="F3031" s="8" t="n">
        <v>94.4</v>
      </c>
    </row>
    <row r="3032" customFormat="false" ht="15" hidden="false" customHeight="true" outlineLevel="0" collapsed="false">
      <c r="A3032" s="8" t="s">
        <v>338</v>
      </c>
      <c r="B3032" s="8" t="s">
        <v>1281</v>
      </c>
      <c r="C3032" s="8" t="n">
        <v>0</v>
      </c>
      <c r="D3032" s="8" t="n">
        <v>0</v>
      </c>
      <c r="E3032" s="8" t="n">
        <v>31</v>
      </c>
      <c r="F3032" s="8" t="n">
        <v>731.6</v>
      </c>
    </row>
    <row r="3033" customFormat="false" ht="15" hidden="false" customHeight="true" outlineLevel="0" collapsed="false">
      <c r="A3033" s="8" t="s">
        <v>362</v>
      </c>
      <c r="B3033" s="8" t="s">
        <v>1255</v>
      </c>
      <c r="C3033" s="8" t="n">
        <v>0</v>
      </c>
      <c r="D3033" s="8" t="n">
        <v>0</v>
      </c>
      <c r="E3033" s="8" t="n">
        <v>6</v>
      </c>
      <c r="F3033" s="8" t="n">
        <v>141.6</v>
      </c>
    </row>
    <row r="3034" customFormat="false" ht="15" hidden="false" customHeight="true" outlineLevel="0" collapsed="false">
      <c r="A3034" s="8" t="s">
        <v>342</v>
      </c>
      <c r="B3034" s="8" t="s">
        <v>1255</v>
      </c>
      <c r="C3034" s="8" t="n">
        <v>0</v>
      </c>
      <c r="D3034" s="8" t="n">
        <v>0</v>
      </c>
      <c r="E3034" s="8" t="n">
        <v>4</v>
      </c>
      <c r="F3034" s="8" t="n">
        <v>94.4</v>
      </c>
    </row>
    <row r="3035" customFormat="false" ht="15" hidden="false" customHeight="true" outlineLevel="0" collapsed="false">
      <c r="A3035" s="8" t="s">
        <v>268</v>
      </c>
      <c r="B3035" s="8" t="s">
        <v>1234</v>
      </c>
      <c r="C3035" s="8" t="n">
        <v>0</v>
      </c>
      <c r="D3035" s="8" t="n">
        <v>0</v>
      </c>
      <c r="E3035" s="8" t="n">
        <v>3</v>
      </c>
      <c r="F3035" s="8" t="n">
        <v>107.01</v>
      </c>
    </row>
    <row r="3036" customFormat="false" ht="15" hidden="false" customHeight="true" outlineLevel="0" collapsed="false">
      <c r="A3036" s="8" t="s">
        <v>209</v>
      </c>
      <c r="B3036" s="8" t="s">
        <v>1245</v>
      </c>
      <c r="C3036" s="8" t="n">
        <v>0</v>
      </c>
      <c r="D3036" s="8" t="n">
        <v>0</v>
      </c>
      <c r="E3036" s="8" t="n">
        <v>1</v>
      </c>
      <c r="F3036" s="8" t="n">
        <v>64.89</v>
      </c>
    </row>
    <row r="3037" customFormat="false" ht="15" hidden="false" customHeight="true" outlineLevel="0" collapsed="false">
      <c r="A3037" s="8" t="s">
        <v>180</v>
      </c>
      <c r="B3037" s="8" t="s">
        <v>1216</v>
      </c>
      <c r="C3037" s="8" t="n">
        <v>0</v>
      </c>
      <c r="D3037" s="8" t="n">
        <v>0</v>
      </c>
      <c r="E3037" s="8" t="n">
        <v>2</v>
      </c>
      <c r="F3037" s="8" t="n">
        <v>33</v>
      </c>
    </row>
    <row r="3038" customFormat="false" ht="15" hidden="false" customHeight="true" outlineLevel="0" collapsed="false">
      <c r="A3038" s="8" t="s">
        <v>189</v>
      </c>
      <c r="B3038" s="8" t="s">
        <v>1216</v>
      </c>
      <c r="C3038" s="8" t="n">
        <v>0</v>
      </c>
      <c r="D3038" s="8" t="n">
        <v>0</v>
      </c>
      <c r="E3038" s="8" t="n">
        <v>2</v>
      </c>
      <c r="F3038" s="8" t="n">
        <v>33</v>
      </c>
    </row>
    <row r="3039" customFormat="false" ht="15" hidden="false" customHeight="true" outlineLevel="0" collapsed="false">
      <c r="A3039" s="8" t="s">
        <v>267</v>
      </c>
      <c r="B3039" s="8" t="s">
        <v>1216</v>
      </c>
      <c r="C3039" s="8" t="n">
        <v>0</v>
      </c>
      <c r="D3039" s="8" t="n">
        <v>0</v>
      </c>
      <c r="E3039" s="8" t="n">
        <v>1</v>
      </c>
      <c r="F3039" s="8" t="n">
        <v>16.5</v>
      </c>
    </row>
    <row r="3040" customFormat="false" ht="15" hidden="false" customHeight="true" outlineLevel="0" collapsed="false">
      <c r="A3040" s="8" t="s">
        <v>199</v>
      </c>
      <c r="B3040" s="8" t="s">
        <v>1216</v>
      </c>
      <c r="C3040" s="8" t="n">
        <v>0</v>
      </c>
      <c r="D3040" s="8" t="n">
        <v>0</v>
      </c>
      <c r="E3040" s="8" t="n">
        <v>3</v>
      </c>
      <c r="F3040" s="8" t="n">
        <v>49.5</v>
      </c>
    </row>
    <row r="3041" customFormat="false" ht="15" hidden="false" customHeight="true" outlineLevel="0" collapsed="false">
      <c r="A3041" s="8" t="s">
        <v>198</v>
      </c>
      <c r="B3041" s="8" t="s">
        <v>1217</v>
      </c>
      <c r="C3041" s="8" t="n">
        <v>0</v>
      </c>
      <c r="D3041" s="8" t="n">
        <v>0</v>
      </c>
      <c r="E3041" s="8" t="n">
        <v>2</v>
      </c>
      <c r="F3041" s="8" t="n">
        <v>41</v>
      </c>
    </row>
    <row r="3042" customFormat="false" ht="15" hidden="false" customHeight="true" outlineLevel="0" collapsed="false">
      <c r="A3042" s="8" t="s">
        <v>193</v>
      </c>
      <c r="B3042" s="8" t="s">
        <v>1217</v>
      </c>
      <c r="C3042" s="8" t="n">
        <v>0</v>
      </c>
      <c r="D3042" s="8" t="n">
        <v>0</v>
      </c>
      <c r="E3042" s="8" t="n">
        <v>2</v>
      </c>
      <c r="F3042" s="8" t="n">
        <v>41</v>
      </c>
    </row>
    <row r="3043" customFormat="false" ht="15" hidden="false" customHeight="true" outlineLevel="0" collapsed="false">
      <c r="A3043" s="8" t="s">
        <v>302</v>
      </c>
      <c r="B3043" s="8" t="s">
        <v>1217</v>
      </c>
      <c r="C3043" s="8" t="n">
        <v>0</v>
      </c>
      <c r="D3043" s="8" t="n">
        <v>0</v>
      </c>
      <c r="E3043" s="8" t="n">
        <v>2</v>
      </c>
      <c r="F3043" s="8" t="n">
        <v>41</v>
      </c>
    </row>
    <row r="3044" customFormat="false" ht="15" hidden="false" customHeight="true" outlineLevel="0" collapsed="false">
      <c r="A3044" s="8" t="s">
        <v>205</v>
      </c>
      <c r="B3044" s="8" t="s">
        <v>1217</v>
      </c>
      <c r="C3044" s="8" t="n">
        <v>0</v>
      </c>
      <c r="D3044" s="8" t="n">
        <v>0</v>
      </c>
      <c r="E3044" s="8" t="n">
        <v>3</v>
      </c>
      <c r="F3044" s="8" t="n">
        <v>61.5</v>
      </c>
    </row>
    <row r="3045" customFormat="false" ht="15" hidden="false" customHeight="true" outlineLevel="0" collapsed="false">
      <c r="A3045" s="8" t="s">
        <v>381</v>
      </c>
      <c r="B3045" s="8" t="s">
        <v>1235</v>
      </c>
      <c r="C3045" s="8" t="n">
        <v>0</v>
      </c>
      <c r="D3045" s="8" t="n">
        <v>0</v>
      </c>
      <c r="E3045" s="8" t="n">
        <v>1</v>
      </c>
      <c r="F3045" s="8" t="n">
        <v>0</v>
      </c>
    </row>
    <row r="3046" customFormat="false" ht="15" hidden="false" customHeight="true" outlineLevel="0" collapsed="false">
      <c r="A3046" s="8" t="s">
        <v>277</v>
      </c>
      <c r="B3046" s="8" t="s">
        <v>1285</v>
      </c>
      <c r="C3046" s="8" t="n">
        <v>0</v>
      </c>
      <c r="D3046" s="8" t="n">
        <v>0</v>
      </c>
      <c r="E3046" s="8" t="n">
        <v>3</v>
      </c>
      <c r="F3046" s="8" t="n">
        <v>408.9</v>
      </c>
    </row>
    <row r="3047" customFormat="false" ht="15" hidden="false" customHeight="true" outlineLevel="0" collapsed="false">
      <c r="A3047" s="8" t="s">
        <v>249</v>
      </c>
      <c r="B3047" s="8" t="s">
        <v>1285</v>
      </c>
      <c r="C3047" s="8" t="n">
        <v>0</v>
      </c>
      <c r="D3047" s="8" t="n">
        <v>0</v>
      </c>
      <c r="E3047" s="8" t="n">
        <v>3</v>
      </c>
      <c r="F3047" s="8" t="n">
        <v>408.9</v>
      </c>
    </row>
    <row r="3048" customFormat="false" ht="15" hidden="false" customHeight="true" outlineLevel="0" collapsed="false">
      <c r="A3048" s="8" t="s">
        <v>356</v>
      </c>
      <c r="B3048" s="8" t="s">
        <v>1285</v>
      </c>
      <c r="C3048" s="8" t="n">
        <v>0</v>
      </c>
      <c r="D3048" s="8" t="n">
        <v>0</v>
      </c>
      <c r="E3048" s="8" t="n">
        <v>1</v>
      </c>
      <c r="F3048" s="8" t="n">
        <v>136.3</v>
      </c>
    </row>
    <row r="3049" customFormat="false" ht="15" hidden="false" customHeight="true" outlineLevel="0" collapsed="false">
      <c r="A3049" s="8" t="s">
        <v>99</v>
      </c>
      <c r="B3049" s="8" t="s">
        <v>1247</v>
      </c>
      <c r="C3049" s="8" t="n">
        <v>0</v>
      </c>
      <c r="D3049" s="8" t="n">
        <v>0</v>
      </c>
      <c r="E3049" s="8" t="n">
        <v>4</v>
      </c>
      <c r="F3049" s="8" t="n">
        <v>100</v>
      </c>
    </row>
    <row r="3050" customFormat="false" ht="15" hidden="false" customHeight="true" outlineLevel="0" collapsed="false">
      <c r="A3050" s="8" t="s">
        <v>257</v>
      </c>
      <c r="B3050" s="8" t="s">
        <v>1284</v>
      </c>
      <c r="C3050" s="8" t="n">
        <v>0</v>
      </c>
      <c r="D3050" s="8" t="n">
        <v>0</v>
      </c>
      <c r="E3050" s="8" t="n">
        <v>4</v>
      </c>
      <c r="F3050" s="8" t="n">
        <v>129.72</v>
      </c>
    </row>
    <row r="3051" customFormat="false" ht="15" hidden="false" customHeight="true" outlineLevel="0" collapsed="false">
      <c r="A3051" s="8" t="s">
        <v>178</v>
      </c>
      <c r="B3051" s="8" t="s">
        <v>1236</v>
      </c>
      <c r="C3051" s="8" t="n">
        <v>0</v>
      </c>
      <c r="D3051" s="8" t="n">
        <v>0</v>
      </c>
      <c r="E3051" s="8" t="n">
        <v>1</v>
      </c>
      <c r="F3051" s="8" t="n">
        <v>35</v>
      </c>
    </row>
    <row r="3052" customFormat="false" ht="15" hidden="false" customHeight="true" outlineLevel="0" collapsed="false">
      <c r="A3052" s="8" t="s">
        <v>176</v>
      </c>
      <c r="B3052" s="8" t="s">
        <v>1236</v>
      </c>
      <c r="C3052" s="8" t="n">
        <v>0</v>
      </c>
      <c r="D3052" s="8" t="n">
        <v>0</v>
      </c>
      <c r="E3052" s="8" t="n">
        <v>2</v>
      </c>
      <c r="F3052" s="8" t="n">
        <v>70</v>
      </c>
    </row>
    <row r="3053" customFormat="false" ht="15" hidden="false" customHeight="true" outlineLevel="0" collapsed="false">
      <c r="A3053" s="8" t="s">
        <v>224</v>
      </c>
      <c r="B3053" s="8" t="s">
        <v>1236</v>
      </c>
      <c r="C3053" s="8" t="n">
        <v>0</v>
      </c>
      <c r="D3053" s="8" t="n">
        <v>0</v>
      </c>
      <c r="E3053" s="8" t="n">
        <v>1</v>
      </c>
      <c r="F3053" s="8" t="n">
        <v>35</v>
      </c>
    </row>
    <row r="3054" customFormat="false" ht="15" hidden="false" customHeight="true" outlineLevel="0" collapsed="false">
      <c r="A3054" s="8" t="s">
        <v>240</v>
      </c>
      <c r="B3054" s="8" t="s">
        <v>769</v>
      </c>
      <c r="C3054" s="8" t="n">
        <v>0</v>
      </c>
      <c r="D3054" s="8" t="n">
        <v>0</v>
      </c>
      <c r="E3054" s="8" t="n">
        <v>3</v>
      </c>
      <c r="F3054" s="8" t="n">
        <v>51</v>
      </c>
    </row>
    <row r="3055" customFormat="false" ht="15" hidden="false" customHeight="true" outlineLevel="0" collapsed="false">
      <c r="A3055" s="8" t="s">
        <v>234</v>
      </c>
      <c r="B3055" s="8" t="s">
        <v>769</v>
      </c>
      <c r="C3055" s="8" t="n">
        <v>0</v>
      </c>
      <c r="D3055" s="8" t="n">
        <v>0</v>
      </c>
      <c r="E3055" s="8" t="n">
        <v>2</v>
      </c>
      <c r="F3055" s="8" t="n">
        <v>34</v>
      </c>
    </row>
    <row r="3056" customFormat="false" ht="15" hidden="false" customHeight="true" outlineLevel="0" collapsed="false">
      <c r="A3056" s="8" t="s">
        <v>300</v>
      </c>
      <c r="B3056" s="8" t="s">
        <v>769</v>
      </c>
      <c r="C3056" s="8" t="n">
        <v>0</v>
      </c>
      <c r="D3056" s="8" t="n">
        <v>0</v>
      </c>
      <c r="E3056" s="8" t="n">
        <v>2</v>
      </c>
      <c r="F3056" s="8" t="n">
        <v>34</v>
      </c>
    </row>
    <row r="3057" customFormat="false" ht="15" hidden="false" customHeight="true" outlineLevel="0" collapsed="false">
      <c r="A3057" s="8" t="s">
        <v>182</v>
      </c>
      <c r="B3057" s="8" t="s">
        <v>799</v>
      </c>
      <c r="C3057" s="8" t="n">
        <v>0</v>
      </c>
      <c r="D3057" s="8" t="n">
        <v>0</v>
      </c>
      <c r="E3057" s="8" t="n">
        <v>4</v>
      </c>
      <c r="F3057" s="8" t="n">
        <v>80</v>
      </c>
    </row>
    <row r="3058" customFormat="false" ht="15" hidden="false" customHeight="true" outlineLevel="0" collapsed="false">
      <c r="A3058" s="8" t="s">
        <v>274</v>
      </c>
      <c r="B3058" s="8" t="s">
        <v>1219</v>
      </c>
      <c r="C3058" s="8" t="n">
        <v>0</v>
      </c>
      <c r="D3058" s="8" t="n">
        <v>0</v>
      </c>
      <c r="E3058" s="8" t="n">
        <v>3</v>
      </c>
      <c r="F3058" s="8" t="n">
        <v>26.19</v>
      </c>
    </row>
    <row r="3059" customFormat="false" ht="15" hidden="false" customHeight="true" outlineLevel="0" collapsed="false">
      <c r="A3059" s="8" t="s">
        <v>220</v>
      </c>
      <c r="B3059" s="8" t="s">
        <v>1248</v>
      </c>
      <c r="C3059" s="8" t="n">
        <v>0</v>
      </c>
      <c r="D3059" s="8" t="n">
        <v>0</v>
      </c>
      <c r="E3059" s="8" t="n">
        <v>6</v>
      </c>
      <c r="F3059" s="8" t="n">
        <v>62.4</v>
      </c>
    </row>
    <row r="3060" customFormat="false" ht="15" hidden="false" customHeight="true" outlineLevel="0" collapsed="false">
      <c r="A3060" s="8" t="s">
        <v>275</v>
      </c>
      <c r="B3060" s="8" t="s">
        <v>1257</v>
      </c>
      <c r="C3060" s="8" t="n">
        <v>0</v>
      </c>
      <c r="D3060" s="8" t="n">
        <v>0</v>
      </c>
      <c r="E3060" s="8" t="n">
        <v>6</v>
      </c>
      <c r="F3060" s="8" t="n">
        <v>129.6</v>
      </c>
    </row>
    <row r="3061" customFormat="false" ht="15" hidden="false" customHeight="true" outlineLevel="0" collapsed="false">
      <c r="A3061" s="8" t="s">
        <v>264</v>
      </c>
      <c r="B3061" s="8" t="s">
        <v>1221</v>
      </c>
      <c r="C3061" s="8" t="n">
        <v>0</v>
      </c>
      <c r="D3061" s="8" t="n">
        <v>0</v>
      </c>
      <c r="E3061" s="8" t="n">
        <v>6</v>
      </c>
      <c r="F3061" s="8" t="n">
        <v>34.86</v>
      </c>
    </row>
    <row r="3062" customFormat="false" ht="15" hidden="false" customHeight="true" outlineLevel="0" collapsed="false">
      <c r="A3062" s="8" t="s">
        <v>348</v>
      </c>
      <c r="B3062" s="8" t="s">
        <v>1277</v>
      </c>
      <c r="C3062" s="8" t="n">
        <v>0</v>
      </c>
      <c r="D3062" s="8" t="n">
        <v>0</v>
      </c>
      <c r="E3062" s="8" t="n">
        <v>6</v>
      </c>
      <c r="F3062" s="8" t="n">
        <v>40.8</v>
      </c>
    </row>
    <row r="3063" customFormat="false" ht="15" hidden="false" customHeight="true" outlineLevel="0" collapsed="false">
      <c r="A3063" s="8" t="s">
        <v>196</v>
      </c>
      <c r="B3063" s="8" t="s">
        <v>1243</v>
      </c>
      <c r="C3063" s="8" t="n">
        <v>0</v>
      </c>
      <c r="D3063" s="8" t="n">
        <v>0</v>
      </c>
      <c r="E3063" s="8" t="n">
        <v>3</v>
      </c>
      <c r="F3063" s="8" t="n">
        <v>160.5</v>
      </c>
    </row>
    <row r="3064" customFormat="false" ht="15" hidden="false" customHeight="true" outlineLevel="0" collapsed="false">
      <c r="A3064" s="8" t="s">
        <v>212</v>
      </c>
      <c r="B3064" s="8" t="s">
        <v>1278</v>
      </c>
      <c r="C3064" s="8" t="n">
        <v>0</v>
      </c>
      <c r="D3064" s="8" t="n">
        <v>0</v>
      </c>
      <c r="E3064" s="8" t="n">
        <v>2</v>
      </c>
      <c r="F3064" s="8" t="n">
        <v>187</v>
      </c>
    </row>
    <row r="3065" customFormat="false" ht="15" hidden="false" customHeight="true" outlineLevel="0" collapsed="false">
      <c r="A3065" s="8" t="s">
        <v>340</v>
      </c>
      <c r="B3065" s="8" t="s">
        <v>1267</v>
      </c>
      <c r="C3065" s="8" t="n">
        <v>0</v>
      </c>
      <c r="D3065" s="8" t="n">
        <v>0</v>
      </c>
      <c r="E3065" s="8" t="n">
        <v>1</v>
      </c>
      <c r="F3065" s="8" t="n">
        <v>128.71</v>
      </c>
    </row>
    <row r="3066" customFormat="false" ht="15" hidden="false" customHeight="true" outlineLevel="0" collapsed="false">
      <c r="A3066" s="8" t="s">
        <v>163</v>
      </c>
      <c r="B3066" s="8" t="s">
        <v>897</v>
      </c>
      <c r="C3066" s="8" t="n">
        <v>4</v>
      </c>
      <c r="D3066" s="8" t="n">
        <v>260</v>
      </c>
      <c r="E3066" s="8" t="n">
        <v>0</v>
      </c>
      <c r="F3066" s="8" t="n">
        <v>0</v>
      </c>
    </row>
    <row r="3067" customFormat="false" ht="15" hidden="false" customHeight="true" outlineLevel="0" collapsed="false">
      <c r="A3067" s="8" t="s">
        <v>208</v>
      </c>
      <c r="B3067" s="8" t="s">
        <v>1179</v>
      </c>
      <c r="C3067" s="8" t="n">
        <v>5</v>
      </c>
      <c r="D3067" s="8" t="n">
        <v>361.7</v>
      </c>
      <c r="E3067" s="8" t="n">
        <v>0</v>
      </c>
      <c r="F3067" s="8" t="n">
        <v>0</v>
      </c>
    </row>
    <row r="3068" customFormat="false" ht="15" hidden="false" customHeight="true" outlineLevel="0" collapsed="false">
      <c r="A3068" s="8" t="s">
        <v>221</v>
      </c>
      <c r="B3068" s="8" t="s">
        <v>1179</v>
      </c>
      <c r="C3068" s="8" t="n">
        <v>3</v>
      </c>
      <c r="D3068" s="8" t="n">
        <v>217.02</v>
      </c>
      <c r="E3068" s="8" t="n">
        <v>0</v>
      </c>
      <c r="F3068" s="8" t="n">
        <v>0</v>
      </c>
    </row>
    <row r="3069" customFormat="false" ht="15" hidden="false" customHeight="true" outlineLevel="0" collapsed="false">
      <c r="A3069" s="8" t="s">
        <v>191</v>
      </c>
      <c r="B3069" s="8" t="s">
        <v>1179</v>
      </c>
      <c r="C3069" s="8" t="n">
        <v>0</v>
      </c>
      <c r="D3069" s="8" t="n">
        <v>0</v>
      </c>
      <c r="E3069" s="8" t="n">
        <v>3</v>
      </c>
      <c r="F3069" s="8" t="n">
        <v>217.02</v>
      </c>
    </row>
    <row r="3070" customFormat="false" ht="15" hidden="false" customHeight="true" outlineLevel="0" collapsed="false">
      <c r="A3070" s="8" t="s">
        <v>201</v>
      </c>
      <c r="B3070" s="8" t="s">
        <v>1226</v>
      </c>
      <c r="C3070" s="8" t="n">
        <v>3</v>
      </c>
      <c r="D3070" s="8" t="n">
        <v>126.51</v>
      </c>
      <c r="E3070" s="8" t="n">
        <v>0</v>
      </c>
      <c r="F3070" s="8" t="n">
        <v>0</v>
      </c>
    </row>
    <row r="3071" customFormat="false" ht="15" hidden="false" customHeight="true" outlineLevel="0" collapsed="false">
      <c r="A3071" s="8" t="s">
        <v>214</v>
      </c>
      <c r="B3071" s="8" t="s">
        <v>1226</v>
      </c>
      <c r="C3071" s="8" t="n">
        <v>6</v>
      </c>
      <c r="D3071" s="8" t="n">
        <v>253.02</v>
      </c>
      <c r="E3071" s="8" t="n">
        <v>0</v>
      </c>
      <c r="F3071" s="8" t="n">
        <v>0</v>
      </c>
    </row>
    <row r="3072" customFormat="false" ht="15" hidden="false" customHeight="true" outlineLevel="0" collapsed="false">
      <c r="A3072" s="8" t="s">
        <v>265</v>
      </c>
      <c r="B3072" s="8" t="s">
        <v>621</v>
      </c>
      <c r="C3072" s="8" t="n">
        <v>1</v>
      </c>
      <c r="D3072" s="8" t="n">
        <v>42</v>
      </c>
      <c r="E3072" s="8" t="n">
        <v>0</v>
      </c>
      <c r="F3072" s="8" t="n">
        <v>0</v>
      </c>
    </row>
    <row r="3073" customFormat="false" ht="15" hidden="false" customHeight="true" outlineLevel="0" collapsed="false">
      <c r="A3073" s="8" t="s">
        <v>170</v>
      </c>
      <c r="B3073" s="8" t="s">
        <v>1220</v>
      </c>
      <c r="C3073" s="8" t="n">
        <v>6</v>
      </c>
      <c r="D3073" s="8" t="n">
        <v>88.8</v>
      </c>
      <c r="E3073" s="8" t="n">
        <v>0</v>
      </c>
      <c r="F3073" s="8" t="n">
        <v>0</v>
      </c>
    </row>
    <row r="3074" customFormat="false" ht="15" hidden="false" customHeight="true" outlineLevel="0" collapsed="false">
      <c r="A3074" s="8" t="s">
        <v>258</v>
      </c>
      <c r="B3074" s="8" t="s">
        <v>562</v>
      </c>
      <c r="C3074" s="8" t="n">
        <v>4</v>
      </c>
      <c r="D3074" s="8" t="n">
        <v>144</v>
      </c>
      <c r="E3074" s="8" t="n">
        <v>0</v>
      </c>
      <c r="F3074" s="8" t="n">
        <v>0</v>
      </c>
    </row>
    <row r="3075" customFormat="false" ht="15" hidden="false" customHeight="true" outlineLevel="0" collapsed="false">
      <c r="A3075" s="8" t="s">
        <v>203</v>
      </c>
      <c r="B3075" s="8" t="s">
        <v>1177</v>
      </c>
      <c r="C3075" s="8" t="n">
        <v>6</v>
      </c>
      <c r="D3075" s="8" t="n">
        <v>111</v>
      </c>
      <c r="E3075" s="8" t="n">
        <v>0</v>
      </c>
      <c r="F3075" s="8" t="n">
        <v>0</v>
      </c>
    </row>
    <row r="3076" customFormat="false" ht="15" hidden="false" customHeight="true" outlineLevel="0" collapsed="false">
      <c r="A3076" s="8" t="s">
        <v>211</v>
      </c>
      <c r="B3076" s="8" t="s">
        <v>1250</v>
      </c>
      <c r="C3076" s="8" t="n">
        <v>6</v>
      </c>
      <c r="D3076" s="8" t="n">
        <v>150</v>
      </c>
      <c r="E3076" s="8" t="n">
        <v>0</v>
      </c>
      <c r="F3076" s="8" t="n">
        <v>0</v>
      </c>
    </row>
    <row r="3077" customFormat="false" ht="15" hidden="false" customHeight="true" outlineLevel="0" collapsed="false">
      <c r="A3077" s="8" t="s">
        <v>248</v>
      </c>
      <c r="B3077" s="8" t="s">
        <v>1242</v>
      </c>
      <c r="C3077" s="8" t="n">
        <v>1</v>
      </c>
      <c r="D3077" s="8" t="n">
        <v>21</v>
      </c>
      <c r="E3077" s="8" t="n">
        <v>0</v>
      </c>
      <c r="F3077" s="8" t="n">
        <v>0</v>
      </c>
    </row>
    <row r="3078" customFormat="false" ht="15" hidden="false" customHeight="true" outlineLevel="0" collapsed="false">
      <c r="A3078" s="8" t="s">
        <v>196</v>
      </c>
      <c r="B3078" s="8" t="s">
        <v>1243</v>
      </c>
      <c r="C3078" s="8" t="n">
        <v>4</v>
      </c>
      <c r="D3078" s="8" t="n">
        <v>214</v>
      </c>
      <c r="E3078" s="8" t="n">
        <v>0</v>
      </c>
      <c r="F3078" s="8" t="n">
        <v>0</v>
      </c>
    </row>
    <row r="3079" customFormat="false" ht="15" hidden="false" customHeight="true" outlineLevel="0" collapsed="false">
      <c r="A3079" s="8" t="s">
        <v>226</v>
      </c>
      <c r="B3079" s="8" t="s">
        <v>566</v>
      </c>
      <c r="C3079" s="8" t="n">
        <v>2</v>
      </c>
      <c r="D3079" s="8" t="n">
        <v>41.6</v>
      </c>
      <c r="E3079" s="8" t="n">
        <v>0</v>
      </c>
      <c r="F3079" s="8" t="n">
        <v>0</v>
      </c>
    </row>
    <row r="3080" customFormat="false" ht="15" hidden="false" customHeight="true" outlineLevel="0" collapsed="false">
      <c r="A3080" s="8" t="s">
        <v>163</v>
      </c>
      <c r="B3080" s="8" t="s">
        <v>897</v>
      </c>
      <c r="C3080" s="8" t="n">
        <v>6</v>
      </c>
      <c r="D3080" s="8" t="n">
        <v>390</v>
      </c>
      <c r="E3080" s="8" t="n">
        <v>0</v>
      </c>
      <c r="F3080" s="8" t="n">
        <v>0</v>
      </c>
    </row>
    <row r="3081" customFormat="false" ht="15" hidden="false" customHeight="true" outlineLevel="0" collapsed="false">
      <c r="A3081" s="8" t="s">
        <v>181</v>
      </c>
      <c r="B3081" s="8" t="s">
        <v>897</v>
      </c>
      <c r="C3081" s="8" t="n">
        <v>4</v>
      </c>
      <c r="D3081" s="8" t="n">
        <v>260</v>
      </c>
      <c r="E3081" s="8" t="n">
        <v>0</v>
      </c>
      <c r="F3081" s="8" t="n">
        <v>0</v>
      </c>
    </row>
    <row r="3082" customFormat="false" ht="15" hidden="false" customHeight="true" outlineLevel="0" collapsed="false">
      <c r="A3082" s="8" t="s">
        <v>165</v>
      </c>
      <c r="B3082" s="8" t="s">
        <v>897</v>
      </c>
      <c r="C3082" s="8" t="n">
        <v>2</v>
      </c>
      <c r="D3082" s="8" t="n">
        <v>130</v>
      </c>
      <c r="E3082" s="8" t="n">
        <v>2</v>
      </c>
      <c r="F3082" s="8" t="n">
        <v>130</v>
      </c>
    </row>
    <row r="3083" customFormat="false" ht="15" hidden="false" customHeight="true" outlineLevel="0" collapsed="false">
      <c r="A3083" s="8" t="s">
        <v>184</v>
      </c>
      <c r="B3083" s="8" t="s">
        <v>897</v>
      </c>
      <c r="C3083" s="8" t="n">
        <v>3</v>
      </c>
      <c r="D3083" s="8" t="n">
        <v>195</v>
      </c>
      <c r="E3083" s="8" t="n">
        <v>3</v>
      </c>
      <c r="F3083" s="8" t="n">
        <v>195</v>
      </c>
    </row>
    <row r="3084" customFormat="false" ht="15" hidden="false" customHeight="true" outlineLevel="0" collapsed="false">
      <c r="A3084" s="8" t="s">
        <v>173</v>
      </c>
      <c r="B3084" s="8" t="s">
        <v>1244</v>
      </c>
      <c r="C3084" s="8" t="n">
        <v>1</v>
      </c>
      <c r="D3084" s="8" t="n">
        <v>175.5</v>
      </c>
      <c r="E3084" s="8" t="n">
        <v>0</v>
      </c>
      <c r="F3084" s="8" t="n">
        <v>0</v>
      </c>
    </row>
    <row r="3085" customFormat="false" ht="15" hidden="false" customHeight="true" outlineLevel="0" collapsed="false">
      <c r="A3085" s="8" t="s">
        <v>177</v>
      </c>
      <c r="B3085" s="8" t="s">
        <v>1244</v>
      </c>
      <c r="C3085" s="8" t="n">
        <v>4</v>
      </c>
      <c r="D3085" s="8" t="n">
        <v>702</v>
      </c>
      <c r="E3085" s="8" t="n">
        <v>1</v>
      </c>
      <c r="F3085" s="8" t="n">
        <v>175.5</v>
      </c>
    </row>
    <row r="3086" customFormat="false" ht="15" hidden="false" customHeight="true" outlineLevel="0" collapsed="false">
      <c r="A3086" s="8" t="s">
        <v>221</v>
      </c>
      <c r="B3086" s="8" t="s">
        <v>1179</v>
      </c>
      <c r="C3086" s="8" t="n">
        <v>1</v>
      </c>
      <c r="D3086" s="8" t="n">
        <v>72.34</v>
      </c>
      <c r="E3086" s="8" t="n">
        <v>0</v>
      </c>
      <c r="F3086" s="8" t="n">
        <v>0</v>
      </c>
    </row>
    <row r="3087" customFormat="false" ht="15" hidden="false" customHeight="true" outlineLevel="0" collapsed="false">
      <c r="A3087" s="8" t="s">
        <v>191</v>
      </c>
      <c r="B3087" s="8" t="s">
        <v>1179</v>
      </c>
      <c r="C3087" s="8" t="n">
        <v>3</v>
      </c>
      <c r="D3087" s="8" t="n">
        <v>217.02</v>
      </c>
      <c r="E3087" s="8" t="n">
        <v>0</v>
      </c>
      <c r="F3087" s="8" t="n">
        <v>0</v>
      </c>
    </row>
    <row r="3088" customFormat="false" ht="15" hidden="false" customHeight="true" outlineLevel="0" collapsed="false">
      <c r="A3088" s="8" t="s">
        <v>204</v>
      </c>
      <c r="B3088" s="8" t="s">
        <v>1179</v>
      </c>
      <c r="C3088" s="8" t="n">
        <v>1</v>
      </c>
      <c r="D3088" s="8" t="n">
        <v>72.34</v>
      </c>
      <c r="E3088" s="8" t="n">
        <v>0</v>
      </c>
      <c r="F3088" s="8" t="n">
        <v>0</v>
      </c>
    </row>
    <row r="3089" customFormat="false" ht="15" hidden="false" customHeight="true" outlineLevel="0" collapsed="false">
      <c r="A3089" s="8" t="s">
        <v>190</v>
      </c>
      <c r="B3089" s="8" t="s">
        <v>1224</v>
      </c>
      <c r="C3089" s="8" t="n">
        <v>0</v>
      </c>
      <c r="D3089" s="8" t="n">
        <v>0</v>
      </c>
      <c r="E3089" s="8" t="n">
        <v>2</v>
      </c>
      <c r="F3089" s="8" t="n">
        <v>48.86</v>
      </c>
    </row>
    <row r="3090" customFormat="false" ht="15" hidden="false" customHeight="true" outlineLevel="0" collapsed="false">
      <c r="A3090" s="8" t="s">
        <v>183</v>
      </c>
      <c r="B3090" s="8" t="s">
        <v>1224</v>
      </c>
      <c r="C3090" s="8" t="n">
        <v>2</v>
      </c>
      <c r="D3090" s="8" t="n">
        <v>48.86</v>
      </c>
      <c r="E3090" s="8" t="n">
        <v>4</v>
      </c>
      <c r="F3090" s="8" t="n">
        <v>97.72</v>
      </c>
    </row>
    <row r="3091" customFormat="false" ht="15" hidden="false" customHeight="true" outlineLevel="0" collapsed="false">
      <c r="A3091" s="8" t="s">
        <v>231</v>
      </c>
      <c r="B3091" s="8" t="s">
        <v>1224</v>
      </c>
      <c r="C3091" s="8" t="n">
        <v>1</v>
      </c>
      <c r="D3091" s="8" t="n">
        <v>24.43</v>
      </c>
      <c r="E3091" s="8" t="n">
        <v>0</v>
      </c>
      <c r="F3091" s="8" t="n">
        <v>0</v>
      </c>
    </row>
    <row r="3092" customFormat="false" ht="15" hidden="false" customHeight="true" outlineLevel="0" collapsed="false">
      <c r="A3092" s="8" t="s">
        <v>161</v>
      </c>
      <c r="B3092" s="8" t="s">
        <v>1208</v>
      </c>
      <c r="C3092" s="8" t="n">
        <v>24</v>
      </c>
      <c r="D3092" s="8" t="n">
        <v>1092</v>
      </c>
      <c r="E3092" s="8" t="n">
        <v>2</v>
      </c>
      <c r="F3092" s="8" t="n">
        <v>91</v>
      </c>
    </row>
    <row r="3093" customFormat="false" ht="15" hidden="false" customHeight="true" outlineLevel="0" collapsed="false">
      <c r="A3093" s="8" t="s">
        <v>174</v>
      </c>
      <c r="B3093" s="8" t="s">
        <v>1210</v>
      </c>
      <c r="C3093" s="8" t="n">
        <v>15</v>
      </c>
      <c r="D3093" s="8" t="n">
        <v>708.45</v>
      </c>
      <c r="E3093" s="8" t="n">
        <v>0</v>
      </c>
      <c r="F3093" s="8" t="n">
        <v>0</v>
      </c>
    </row>
    <row r="3094" customFormat="false" ht="15" hidden="false" customHeight="true" outlineLevel="0" collapsed="false">
      <c r="A3094" s="8" t="s">
        <v>166</v>
      </c>
      <c r="B3094" s="8" t="s">
        <v>1211</v>
      </c>
      <c r="C3094" s="8" t="n">
        <v>2</v>
      </c>
      <c r="D3094" s="8" t="n">
        <v>126.54</v>
      </c>
      <c r="E3094" s="8" t="n">
        <v>1</v>
      </c>
      <c r="F3094" s="8" t="n">
        <v>63.27</v>
      </c>
    </row>
    <row r="3095" customFormat="false" ht="15" hidden="false" customHeight="true" outlineLevel="0" collapsed="false">
      <c r="A3095" s="8" t="s">
        <v>164</v>
      </c>
      <c r="B3095" s="8" t="s">
        <v>1211</v>
      </c>
      <c r="C3095" s="8" t="n">
        <v>5</v>
      </c>
      <c r="D3095" s="8" t="n">
        <v>316.35</v>
      </c>
      <c r="E3095" s="8" t="n">
        <v>0</v>
      </c>
      <c r="F3095" s="8" t="n">
        <v>0</v>
      </c>
    </row>
    <row r="3096" customFormat="false" ht="15" hidden="false" customHeight="true" outlineLevel="0" collapsed="false">
      <c r="A3096" s="8" t="s">
        <v>222</v>
      </c>
      <c r="B3096" s="8" t="s">
        <v>1211</v>
      </c>
      <c r="C3096" s="8" t="n">
        <v>3</v>
      </c>
      <c r="D3096" s="8" t="n">
        <v>189.81</v>
      </c>
      <c r="E3096" s="8" t="n">
        <v>0</v>
      </c>
      <c r="F3096" s="8" t="n">
        <v>0</v>
      </c>
    </row>
    <row r="3097" customFormat="false" ht="15" hidden="false" customHeight="true" outlineLevel="0" collapsed="false">
      <c r="A3097" s="8" t="s">
        <v>187</v>
      </c>
      <c r="B3097" s="8" t="s">
        <v>1211</v>
      </c>
      <c r="C3097" s="8" t="n">
        <v>2</v>
      </c>
      <c r="D3097" s="8" t="n">
        <v>126.54</v>
      </c>
      <c r="E3097" s="8" t="n">
        <v>0</v>
      </c>
      <c r="F3097" s="8" t="n">
        <v>0</v>
      </c>
    </row>
    <row r="3098" customFormat="false" ht="15" hidden="false" customHeight="true" outlineLevel="0" collapsed="false">
      <c r="A3098" s="8" t="s">
        <v>188</v>
      </c>
      <c r="B3098" s="8" t="s">
        <v>1225</v>
      </c>
      <c r="C3098" s="8" t="n">
        <v>2</v>
      </c>
      <c r="D3098" s="8" t="n">
        <v>57.86</v>
      </c>
      <c r="E3098" s="8" t="n">
        <v>0</v>
      </c>
      <c r="F3098" s="8" t="n">
        <v>0</v>
      </c>
    </row>
    <row r="3099" customFormat="false" ht="15" hidden="false" customHeight="true" outlineLevel="0" collapsed="false">
      <c r="A3099" s="8" t="s">
        <v>186</v>
      </c>
      <c r="B3099" s="8" t="s">
        <v>1225</v>
      </c>
      <c r="C3099" s="8" t="n">
        <v>3</v>
      </c>
      <c r="D3099" s="8" t="n">
        <v>86.79</v>
      </c>
      <c r="E3099" s="8" t="n">
        <v>0</v>
      </c>
      <c r="F3099" s="8" t="n">
        <v>0</v>
      </c>
    </row>
    <row r="3100" customFormat="false" ht="15" hidden="false" customHeight="true" outlineLevel="0" collapsed="false">
      <c r="A3100" s="8" t="s">
        <v>278</v>
      </c>
      <c r="B3100" s="8" t="s">
        <v>1225</v>
      </c>
      <c r="C3100" s="8" t="n">
        <v>4</v>
      </c>
      <c r="D3100" s="8" t="n">
        <v>115.72</v>
      </c>
      <c r="E3100" s="8" t="n">
        <v>0</v>
      </c>
      <c r="F3100" s="8" t="n">
        <v>0</v>
      </c>
    </row>
    <row r="3101" customFormat="false" ht="15" hidden="false" customHeight="true" outlineLevel="0" collapsed="false">
      <c r="A3101" s="8" t="s">
        <v>214</v>
      </c>
      <c r="B3101" s="8" t="s">
        <v>1226</v>
      </c>
      <c r="C3101" s="8" t="n">
        <v>2</v>
      </c>
      <c r="D3101" s="8" t="n">
        <v>84.34</v>
      </c>
      <c r="E3101" s="8" t="n">
        <v>0</v>
      </c>
      <c r="F3101" s="8" t="n">
        <v>0</v>
      </c>
    </row>
    <row r="3102" customFormat="false" ht="15" hidden="false" customHeight="true" outlineLevel="0" collapsed="false">
      <c r="A3102" s="8" t="s">
        <v>219</v>
      </c>
      <c r="B3102" s="8" t="s">
        <v>1227</v>
      </c>
      <c r="C3102" s="8" t="n">
        <v>1</v>
      </c>
      <c r="D3102" s="8" t="n">
        <v>17</v>
      </c>
      <c r="E3102" s="8" t="n">
        <v>0</v>
      </c>
      <c r="F3102" s="8" t="n">
        <v>0</v>
      </c>
    </row>
    <row r="3103" customFormat="false" ht="15" hidden="false" customHeight="true" outlineLevel="0" collapsed="false">
      <c r="A3103" s="8" t="s">
        <v>292</v>
      </c>
      <c r="B3103" s="8" t="s">
        <v>1227</v>
      </c>
      <c r="C3103" s="8" t="n">
        <v>1</v>
      </c>
      <c r="D3103" s="8" t="n">
        <v>17</v>
      </c>
      <c r="E3103" s="8" t="n">
        <v>0</v>
      </c>
      <c r="F3103" s="8" t="n">
        <v>0</v>
      </c>
    </row>
    <row r="3104" customFormat="false" ht="15" hidden="false" customHeight="true" outlineLevel="0" collapsed="false">
      <c r="A3104" s="8" t="s">
        <v>223</v>
      </c>
      <c r="B3104" s="8" t="s">
        <v>1227</v>
      </c>
      <c r="C3104" s="8" t="n">
        <v>0</v>
      </c>
      <c r="D3104" s="8" t="n">
        <v>0</v>
      </c>
      <c r="E3104" s="8" t="n">
        <v>1</v>
      </c>
      <c r="F3104" s="8" t="n">
        <v>17</v>
      </c>
    </row>
    <row r="3105" customFormat="false" ht="15" hidden="false" customHeight="true" outlineLevel="0" collapsed="false">
      <c r="A3105" s="8" t="s">
        <v>287</v>
      </c>
      <c r="B3105" s="8" t="s">
        <v>1227</v>
      </c>
      <c r="C3105" s="8" t="n">
        <v>2</v>
      </c>
      <c r="D3105" s="8" t="n">
        <v>34</v>
      </c>
      <c r="E3105" s="8" t="n">
        <v>0</v>
      </c>
      <c r="F3105" s="8" t="n">
        <v>0</v>
      </c>
    </row>
    <row r="3106" customFormat="false" ht="15" hidden="false" customHeight="true" outlineLevel="0" collapsed="false">
      <c r="A3106" s="8" t="s">
        <v>237</v>
      </c>
      <c r="B3106" s="8" t="s">
        <v>1259</v>
      </c>
      <c r="C3106" s="8" t="n">
        <v>1</v>
      </c>
      <c r="D3106" s="8" t="n">
        <v>18.45</v>
      </c>
      <c r="E3106" s="8" t="n">
        <v>1</v>
      </c>
      <c r="F3106" s="8" t="n">
        <v>18.45</v>
      </c>
    </row>
    <row r="3107" customFormat="false" ht="15" hidden="false" customHeight="true" outlineLevel="0" collapsed="false">
      <c r="A3107" s="8" t="s">
        <v>202</v>
      </c>
      <c r="B3107" s="8" t="s">
        <v>1212</v>
      </c>
      <c r="C3107" s="8" t="n">
        <v>10</v>
      </c>
      <c r="D3107" s="8" t="n">
        <v>95</v>
      </c>
      <c r="E3107" s="8" t="n">
        <v>0</v>
      </c>
      <c r="F3107" s="8" t="n">
        <v>0</v>
      </c>
    </row>
    <row r="3108" customFormat="false" ht="15" hidden="false" customHeight="true" outlineLevel="0" collapsed="false">
      <c r="A3108" s="8" t="s">
        <v>243</v>
      </c>
      <c r="B3108" s="8" t="s">
        <v>1253</v>
      </c>
      <c r="C3108" s="8" t="n">
        <v>2</v>
      </c>
      <c r="D3108" s="8" t="n">
        <v>25.9</v>
      </c>
      <c r="E3108" s="8" t="n">
        <v>0</v>
      </c>
      <c r="F3108" s="8" t="n">
        <v>0</v>
      </c>
    </row>
    <row r="3109" customFormat="false" ht="15" hidden="false" customHeight="true" outlineLevel="0" collapsed="false">
      <c r="A3109" s="8" t="s">
        <v>172</v>
      </c>
      <c r="B3109" s="8" t="s">
        <v>1214</v>
      </c>
      <c r="C3109" s="8" t="n">
        <v>12</v>
      </c>
      <c r="D3109" s="8" t="n">
        <v>146.16</v>
      </c>
      <c r="E3109" s="8" t="n">
        <v>4</v>
      </c>
      <c r="F3109" s="8" t="n">
        <v>48.72</v>
      </c>
    </row>
    <row r="3110" customFormat="false" ht="15" hidden="false" customHeight="true" outlineLevel="0" collapsed="false">
      <c r="A3110" s="8" t="s">
        <v>242</v>
      </c>
      <c r="B3110" s="8" t="s">
        <v>1230</v>
      </c>
      <c r="C3110" s="8" t="n">
        <v>1</v>
      </c>
      <c r="D3110" s="8" t="n">
        <v>38.7</v>
      </c>
      <c r="E3110" s="8" t="n">
        <v>0</v>
      </c>
      <c r="F3110" s="8" t="n">
        <v>0</v>
      </c>
    </row>
    <row r="3111" customFormat="false" ht="15" hidden="false" customHeight="true" outlineLevel="0" collapsed="false">
      <c r="A3111" s="8" t="s">
        <v>232</v>
      </c>
      <c r="B3111" s="8" t="s">
        <v>1233</v>
      </c>
      <c r="C3111" s="8" t="n">
        <v>3</v>
      </c>
      <c r="D3111" s="8" t="n">
        <v>48.6</v>
      </c>
      <c r="E3111" s="8" t="n">
        <v>0</v>
      </c>
      <c r="F3111" s="8" t="n">
        <v>0</v>
      </c>
    </row>
    <row r="3112" customFormat="false" ht="15" hidden="false" customHeight="true" outlineLevel="0" collapsed="false">
      <c r="A3112" s="8" t="s">
        <v>215</v>
      </c>
      <c r="B3112" s="8" t="s">
        <v>1233</v>
      </c>
      <c r="C3112" s="8" t="n">
        <v>2</v>
      </c>
      <c r="D3112" s="8" t="n">
        <v>35.64</v>
      </c>
      <c r="E3112" s="8" t="n">
        <v>0</v>
      </c>
      <c r="F3112" s="8" t="n">
        <v>0</v>
      </c>
    </row>
    <row r="3113" customFormat="false" ht="15" hidden="false" customHeight="true" outlineLevel="0" collapsed="false">
      <c r="A3113" s="8" t="s">
        <v>255</v>
      </c>
      <c r="B3113" s="8" t="s">
        <v>1273</v>
      </c>
      <c r="C3113" s="8" t="n">
        <v>13</v>
      </c>
      <c r="D3113" s="8" t="n">
        <v>106.6</v>
      </c>
      <c r="E3113" s="8" t="n">
        <v>10</v>
      </c>
      <c r="F3113" s="8" t="n">
        <v>82</v>
      </c>
    </row>
    <row r="3114" customFormat="false" ht="15" hidden="false" customHeight="true" outlineLevel="0" collapsed="false">
      <c r="A3114" s="8" t="s">
        <v>194</v>
      </c>
      <c r="B3114" s="8" t="s">
        <v>1239</v>
      </c>
      <c r="C3114" s="8" t="n">
        <v>24</v>
      </c>
      <c r="D3114" s="8" t="n">
        <v>235.68</v>
      </c>
      <c r="E3114" s="8" t="n">
        <v>10</v>
      </c>
      <c r="F3114" s="8" t="n">
        <v>98.2</v>
      </c>
    </row>
    <row r="3115" customFormat="false" ht="15" hidden="false" customHeight="true" outlineLevel="0" collapsed="false">
      <c r="A3115" s="8" t="s">
        <v>209</v>
      </c>
      <c r="B3115" s="8" t="s">
        <v>1245</v>
      </c>
      <c r="C3115" s="8" t="n">
        <v>4</v>
      </c>
      <c r="D3115" s="8" t="n">
        <v>259.56</v>
      </c>
      <c r="E3115" s="8" t="n">
        <v>2</v>
      </c>
      <c r="F3115" s="8" t="n">
        <v>129.78</v>
      </c>
    </row>
    <row r="3116" customFormat="false" ht="15" hidden="false" customHeight="true" outlineLevel="0" collapsed="false">
      <c r="A3116" s="8" t="s">
        <v>180</v>
      </c>
      <c r="B3116" s="8" t="s">
        <v>1216</v>
      </c>
      <c r="C3116" s="8" t="n">
        <v>9</v>
      </c>
      <c r="D3116" s="8" t="n">
        <v>148.5</v>
      </c>
      <c r="E3116" s="8" t="n">
        <v>4</v>
      </c>
      <c r="F3116" s="8" t="n">
        <v>66</v>
      </c>
    </row>
    <row r="3117" customFormat="false" ht="15" hidden="false" customHeight="true" outlineLevel="0" collapsed="false">
      <c r="A3117" s="8" t="s">
        <v>189</v>
      </c>
      <c r="B3117" s="8" t="s">
        <v>1216</v>
      </c>
      <c r="C3117" s="8" t="n">
        <v>3</v>
      </c>
      <c r="D3117" s="8" t="n">
        <v>49.5</v>
      </c>
      <c r="E3117" s="8" t="n">
        <v>0</v>
      </c>
      <c r="F3117" s="8" t="n">
        <v>0</v>
      </c>
    </row>
    <row r="3118" customFormat="false" ht="15" hidden="false" customHeight="true" outlineLevel="0" collapsed="false">
      <c r="A3118" s="8" t="s">
        <v>267</v>
      </c>
      <c r="B3118" s="8" t="s">
        <v>1216</v>
      </c>
      <c r="C3118" s="8" t="n">
        <v>1</v>
      </c>
      <c r="D3118" s="8" t="n">
        <v>16.5</v>
      </c>
      <c r="E3118" s="8" t="n">
        <v>2</v>
      </c>
      <c r="F3118" s="8" t="n">
        <v>33</v>
      </c>
    </row>
    <row r="3119" customFormat="false" ht="15" hidden="false" customHeight="true" outlineLevel="0" collapsed="false">
      <c r="A3119" s="8" t="s">
        <v>199</v>
      </c>
      <c r="B3119" s="8" t="s">
        <v>1216</v>
      </c>
      <c r="C3119" s="8" t="n">
        <v>6</v>
      </c>
      <c r="D3119" s="8" t="n">
        <v>99</v>
      </c>
      <c r="E3119" s="8" t="n">
        <v>2</v>
      </c>
      <c r="F3119" s="8" t="n">
        <v>33</v>
      </c>
    </row>
    <row r="3120" customFormat="false" ht="15" hidden="false" customHeight="true" outlineLevel="0" collapsed="false">
      <c r="A3120" s="8" t="s">
        <v>250</v>
      </c>
      <c r="B3120" s="8" t="s">
        <v>1216</v>
      </c>
      <c r="C3120" s="8" t="n">
        <v>9</v>
      </c>
      <c r="D3120" s="8" t="n">
        <v>148.5</v>
      </c>
      <c r="E3120" s="8" t="n">
        <v>0</v>
      </c>
      <c r="F3120" s="8" t="n">
        <v>0</v>
      </c>
    </row>
    <row r="3121" customFormat="false" ht="15" hidden="false" customHeight="true" outlineLevel="0" collapsed="false">
      <c r="A3121" s="8" t="s">
        <v>198</v>
      </c>
      <c r="B3121" s="8" t="s">
        <v>1217</v>
      </c>
      <c r="C3121" s="8" t="n">
        <v>8</v>
      </c>
      <c r="D3121" s="8" t="n">
        <v>164</v>
      </c>
      <c r="E3121" s="8" t="n">
        <v>0</v>
      </c>
      <c r="F3121" s="8" t="n">
        <v>0</v>
      </c>
    </row>
    <row r="3122" customFormat="false" ht="15" hidden="false" customHeight="true" outlineLevel="0" collapsed="false">
      <c r="A3122" s="8" t="s">
        <v>193</v>
      </c>
      <c r="B3122" s="8" t="s">
        <v>1217</v>
      </c>
      <c r="C3122" s="8" t="n">
        <v>6</v>
      </c>
      <c r="D3122" s="8" t="n">
        <v>123</v>
      </c>
      <c r="E3122" s="8" t="n">
        <v>0</v>
      </c>
      <c r="F3122" s="8" t="n">
        <v>0</v>
      </c>
    </row>
    <row r="3123" customFormat="false" ht="15" hidden="false" customHeight="true" outlineLevel="0" collapsed="false">
      <c r="A3123" s="8" t="s">
        <v>205</v>
      </c>
      <c r="B3123" s="8" t="s">
        <v>1217</v>
      </c>
      <c r="C3123" s="8" t="n">
        <v>14</v>
      </c>
      <c r="D3123" s="8" t="n">
        <v>287</v>
      </c>
      <c r="E3123" s="8" t="n">
        <v>0</v>
      </c>
      <c r="F3123" s="8" t="n">
        <v>0</v>
      </c>
    </row>
    <row r="3124" customFormat="false" ht="15" hidden="false" customHeight="true" outlineLevel="0" collapsed="false">
      <c r="A3124" s="8" t="s">
        <v>256</v>
      </c>
      <c r="B3124" s="8" t="s">
        <v>1217</v>
      </c>
      <c r="C3124" s="8" t="n">
        <v>1</v>
      </c>
      <c r="D3124" s="8" t="n">
        <v>20.5</v>
      </c>
      <c r="E3124" s="8" t="n">
        <v>0</v>
      </c>
      <c r="F3124" s="8" t="n">
        <v>0</v>
      </c>
    </row>
    <row r="3125" customFormat="false" ht="15" hidden="false" customHeight="true" outlineLevel="0" collapsed="false">
      <c r="A3125" s="8" t="s">
        <v>369</v>
      </c>
      <c r="B3125" s="8" t="s">
        <v>767</v>
      </c>
      <c r="C3125" s="8" t="n">
        <v>0</v>
      </c>
      <c r="D3125" s="8" t="n">
        <v>0</v>
      </c>
      <c r="E3125" s="8" t="n">
        <v>2</v>
      </c>
      <c r="F3125" s="8" t="n">
        <v>42</v>
      </c>
    </row>
    <row r="3126" customFormat="false" ht="15" hidden="false" customHeight="true" outlineLevel="0" collapsed="false">
      <c r="A3126" s="8" t="s">
        <v>272</v>
      </c>
      <c r="B3126" s="8" t="s">
        <v>1246</v>
      </c>
      <c r="C3126" s="8" t="n">
        <v>1</v>
      </c>
      <c r="D3126" s="8" t="n">
        <v>126.57</v>
      </c>
      <c r="E3126" s="8" t="n">
        <v>0</v>
      </c>
      <c r="F3126" s="8" t="n">
        <v>0</v>
      </c>
    </row>
    <row r="3127" customFormat="false" ht="15" hidden="false" customHeight="true" outlineLevel="0" collapsed="false">
      <c r="A3127" s="8" t="s">
        <v>113</v>
      </c>
      <c r="B3127" s="8" t="s">
        <v>1247</v>
      </c>
      <c r="C3127" s="8" t="n">
        <v>6</v>
      </c>
      <c r="D3127" s="8" t="n">
        <v>150</v>
      </c>
      <c r="E3127" s="8" t="n">
        <v>8</v>
      </c>
      <c r="F3127" s="8" t="n">
        <v>200</v>
      </c>
    </row>
    <row r="3128" customFormat="false" ht="15" hidden="false" customHeight="true" outlineLevel="0" collapsed="false">
      <c r="A3128" s="8" t="s">
        <v>99</v>
      </c>
      <c r="B3128" s="8" t="s">
        <v>1247</v>
      </c>
      <c r="C3128" s="8" t="n">
        <v>9</v>
      </c>
      <c r="D3128" s="8" t="n">
        <v>225</v>
      </c>
      <c r="E3128" s="8" t="n">
        <v>0</v>
      </c>
      <c r="F3128" s="8" t="n">
        <v>0</v>
      </c>
    </row>
    <row r="3129" customFormat="false" ht="15" hidden="false" customHeight="true" outlineLevel="0" collapsed="false">
      <c r="A3129" s="8" t="s">
        <v>303</v>
      </c>
      <c r="B3129" s="8" t="s">
        <v>1247</v>
      </c>
      <c r="C3129" s="8" t="n">
        <v>6</v>
      </c>
      <c r="D3129" s="8" t="n">
        <v>377.82</v>
      </c>
      <c r="E3129" s="8" t="n">
        <v>0</v>
      </c>
      <c r="F3129" s="8" t="n">
        <v>0</v>
      </c>
    </row>
    <row r="3130" customFormat="false" ht="15" hidden="false" customHeight="true" outlineLevel="0" collapsed="false">
      <c r="A3130" s="8" t="s">
        <v>257</v>
      </c>
      <c r="B3130" s="8" t="s">
        <v>1284</v>
      </c>
      <c r="C3130" s="8" t="n">
        <v>10</v>
      </c>
      <c r="D3130" s="8" t="n">
        <v>324.3</v>
      </c>
      <c r="E3130" s="8" t="n">
        <v>0</v>
      </c>
      <c r="F3130" s="8" t="n">
        <v>0</v>
      </c>
    </row>
    <row r="3131" customFormat="false" ht="15" hidden="false" customHeight="true" outlineLevel="0" collapsed="false">
      <c r="A3131" s="8" t="s">
        <v>176</v>
      </c>
      <c r="B3131" s="8" t="s">
        <v>1236</v>
      </c>
      <c r="C3131" s="8" t="n">
        <v>9</v>
      </c>
      <c r="D3131" s="8" t="n">
        <v>315</v>
      </c>
      <c r="E3131" s="8" t="n">
        <v>0</v>
      </c>
      <c r="F3131" s="8" t="n">
        <v>0</v>
      </c>
    </row>
    <row r="3132" customFormat="false" ht="15" hidden="false" customHeight="true" outlineLevel="0" collapsed="false">
      <c r="A3132" s="8" t="s">
        <v>224</v>
      </c>
      <c r="B3132" s="8" t="s">
        <v>1236</v>
      </c>
      <c r="C3132" s="8" t="n">
        <v>1</v>
      </c>
      <c r="D3132" s="8" t="n">
        <v>35</v>
      </c>
      <c r="E3132" s="8" t="n">
        <v>0</v>
      </c>
      <c r="F3132" s="8" t="n">
        <v>0</v>
      </c>
    </row>
    <row r="3133" customFormat="false" ht="15" hidden="false" customHeight="true" outlineLevel="0" collapsed="false">
      <c r="A3133" s="8" t="s">
        <v>234</v>
      </c>
      <c r="B3133" s="8" t="s">
        <v>769</v>
      </c>
      <c r="C3133" s="8" t="n">
        <v>3</v>
      </c>
      <c r="D3133" s="8" t="n">
        <v>51</v>
      </c>
      <c r="E3133" s="8" t="n">
        <v>0</v>
      </c>
      <c r="F3133" s="8" t="n">
        <v>0</v>
      </c>
    </row>
    <row r="3134" customFormat="false" ht="15" hidden="false" customHeight="true" outlineLevel="0" collapsed="false">
      <c r="A3134" s="8" t="s">
        <v>247</v>
      </c>
      <c r="B3134" s="8" t="s">
        <v>769</v>
      </c>
      <c r="C3134" s="8" t="n">
        <v>3</v>
      </c>
      <c r="D3134" s="8" t="n">
        <v>51</v>
      </c>
      <c r="E3134" s="8" t="n">
        <v>1</v>
      </c>
      <c r="F3134" s="8" t="n">
        <v>17</v>
      </c>
    </row>
    <row r="3135" customFormat="false" ht="15" hidden="false" customHeight="true" outlineLevel="0" collapsed="false">
      <c r="A3135" s="8" t="s">
        <v>328</v>
      </c>
      <c r="B3135" s="8" t="s">
        <v>769</v>
      </c>
      <c r="C3135" s="8" t="n">
        <v>1</v>
      </c>
      <c r="D3135" s="8" t="n">
        <v>17</v>
      </c>
      <c r="E3135" s="8" t="n">
        <v>0</v>
      </c>
      <c r="F3135" s="8" t="n">
        <v>0</v>
      </c>
    </row>
    <row r="3136" customFormat="false" ht="15" hidden="false" customHeight="true" outlineLevel="0" collapsed="false">
      <c r="A3136" s="8" t="s">
        <v>182</v>
      </c>
      <c r="B3136" s="8" t="s">
        <v>799</v>
      </c>
      <c r="C3136" s="8" t="n">
        <v>11</v>
      </c>
      <c r="D3136" s="8" t="n">
        <v>220</v>
      </c>
      <c r="E3136" s="8" t="n">
        <v>0</v>
      </c>
      <c r="F3136" s="8" t="n">
        <v>0</v>
      </c>
    </row>
    <row r="3137" customFormat="false" ht="15" hidden="false" customHeight="true" outlineLevel="0" collapsed="false">
      <c r="A3137" s="8" t="s">
        <v>170</v>
      </c>
      <c r="B3137" s="8" t="s">
        <v>1220</v>
      </c>
      <c r="C3137" s="8" t="n">
        <v>24</v>
      </c>
      <c r="D3137" s="8" t="n">
        <v>355.2</v>
      </c>
      <c r="E3137" s="8" t="n">
        <v>6</v>
      </c>
      <c r="F3137" s="8" t="n">
        <v>88.8</v>
      </c>
    </row>
    <row r="3138" customFormat="false" ht="15" hidden="false" customHeight="true" outlineLevel="0" collapsed="false">
      <c r="A3138" s="8" t="s">
        <v>167</v>
      </c>
      <c r="B3138" s="8" t="s">
        <v>1238</v>
      </c>
      <c r="C3138" s="8" t="n">
        <v>30</v>
      </c>
      <c r="D3138" s="8" t="n">
        <v>402</v>
      </c>
      <c r="E3138" s="8" t="n">
        <v>0</v>
      </c>
      <c r="F3138" s="8" t="n">
        <v>0</v>
      </c>
    </row>
    <row r="3139" customFormat="false" ht="15" hidden="false" customHeight="true" outlineLevel="0" collapsed="false">
      <c r="A3139" s="8" t="s">
        <v>163</v>
      </c>
      <c r="B3139" s="8" t="s">
        <v>897</v>
      </c>
      <c r="C3139" s="8" t="n">
        <v>19</v>
      </c>
      <c r="D3139" s="8" t="n">
        <v>1235</v>
      </c>
      <c r="E3139" s="8" t="n">
        <v>7</v>
      </c>
      <c r="F3139" s="8" t="n">
        <v>455</v>
      </c>
    </row>
    <row r="3140" customFormat="false" ht="15" hidden="false" customHeight="true" outlineLevel="0" collapsed="false">
      <c r="A3140" s="8" t="s">
        <v>181</v>
      </c>
      <c r="B3140" s="8" t="s">
        <v>897</v>
      </c>
      <c r="C3140" s="8" t="n">
        <v>9</v>
      </c>
      <c r="D3140" s="8" t="n">
        <v>585</v>
      </c>
      <c r="E3140" s="8" t="n">
        <v>3</v>
      </c>
      <c r="F3140" s="8" t="n">
        <v>195</v>
      </c>
    </row>
    <row r="3141" customFormat="false" ht="15" hidden="false" customHeight="true" outlineLevel="0" collapsed="false">
      <c r="A3141" s="8" t="s">
        <v>290</v>
      </c>
      <c r="B3141" s="8" t="s">
        <v>897</v>
      </c>
      <c r="C3141" s="8" t="n">
        <v>1</v>
      </c>
      <c r="D3141" s="8" t="n">
        <v>65</v>
      </c>
      <c r="E3141" s="8" t="n">
        <v>0</v>
      </c>
      <c r="F3141" s="8" t="n">
        <v>0</v>
      </c>
    </row>
    <row r="3142" customFormat="false" ht="15" hidden="false" customHeight="true" outlineLevel="0" collapsed="false">
      <c r="A3142" s="8" t="s">
        <v>165</v>
      </c>
      <c r="B3142" s="8" t="s">
        <v>897</v>
      </c>
      <c r="C3142" s="8" t="n">
        <v>10</v>
      </c>
      <c r="D3142" s="8" t="n">
        <v>650</v>
      </c>
      <c r="E3142" s="8" t="n">
        <v>3</v>
      </c>
      <c r="F3142" s="8" t="n">
        <v>195</v>
      </c>
    </row>
    <row r="3143" customFormat="false" ht="15" hidden="false" customHeight="true" outlineLevel="0" collapsed="false">
      <c r="A3143" s="8" t="s">
        <v>184</v>
      </c>
      <c r="B3143" s="8" t="s">
        <v>897</v>
      </c>
      <c r="C3143" s="8" t="n">
        <v>9</v>
      </c>
      <c r="D3143" s="8" t="n">
        <v>585</v>
      </c>
      <c r="E3143" s="8" t="n">
        <v>0</v>
      </c>
      <c r="F3143" s="8" t="n">
        <v>0</v>
      </c>
    </row>
    <row r="3144" customFormat="false" ht="15" hidden="false" customHeight="true" outlineLevel="0" collapsed="false">
      <c r="A3144" s="8" t="s">
        <v>208</v>
      </c>
      <c r="B3144" s="8" t="s">
        <v>1179</v>
      </c>
      <c r="C3144" s="8" t="n">
        <v>1</v>
      </c>
      <c r="D3144" s="8" t="n">
        <v>72.34</v>
      </c>
      <c r="E3144" s="8" t="n">
        <v>0</v>
      </c>
      <c r="F3144" s="8" t="n">
        <v>0</v>
      </c>
    </row>
    <row r="3145" customFormat="false" ht="15" hidden="false" customHeight="true" outlineLevel="0" collapsed="false">
      <c r="A3145" s="8" t="s">
        <v>221</v>
      </c>
      <c r="B3145" s="8" t="s">
        <v>1179</v>
      </c>
      <c r="C3145" s="8" t="n">
        <v>1</v>
      </c>
      <c r="D3145" s="8" t="n">
        <v>72.34</v>
      </c>
      <c r="E3145" s="8" t="n">
        <v>1</v>
      </c>
      <c r="F3145" s="8" t="n">
        <v>72.34</v>
      </c>
    </row>
    <row r="3146" customFormat="false" ht="15" hidden="false" customHeight="true" outlineLevel="0" collapsed="false">
      <c r="A3146" s="8" t="s">
        <v>191</v>
      </c>
      <c r="B3146" s="8" t="s">
        <v>1179</v>
      </c>
      <c r="C3146" s="8" t="n">
        <v>2</v>
      </c>
      <c r="D3146" s="8" t="n">
        <v>144.68</v>
      </c>
      <c r="E3146" s="8" t="n">
        <v>1</v>
      </c>
      <c r="F3146" s="8" t="n">
        <v>72.34</v>
      </c>
    </row>
    <row r="3147" customFormat="false" ht="15" hidden="false" customHeight="true" outlineLevel="0" collapsed="false">
      <c r="A3147" s="8" t="s">
        <v>204</v>
      </c>
      <c r="B3147" s="8" t="s">
        <v>1179</v>
      </c>
      <c r="C3147" s="8" t="n">
        <v>3</v>
      </c>
      <c r="D3147" s="8" t="n">
        <v>217.02</v>
      </c>
      <c r="E3147" s="8" t="n">
        <v>0</v>
      </c>
      <c r="F3147" s="8" t="n">
        <v>0</v>
      </c>
    </row>
    <row r="3148" customFormat="false" ht="15" hidden="false" customHeight="true" outlineLevel="0" collapsed="false">
      <c r="A3148" s="8" t="s">
        <v>319</v>
      </c>
      <c r="B3148" s="8" t="s">
        <v>1268</v>
      </c>
      <c r="C3148" s="8" t="n">
        <v>1</v>
      </c>
      <c r="D3148" s="8" t="n">
        <v>113.58</v>
      </c>
      <c r="E3148" s="8" t="n">
        <v>0</v>
      </c>
      <c r="F3148" s="8" t="n">
        <v>0</v>
      </c>
    </row>
    <row r="3149" customFormat="false" ht="15" hidden="false" customHeight="true" outlineLevel="0" collapsed="false">
      <c r="A3149" s="8" t="s">
        <v>333</v>
      </c>
      <c r="B3149" s="8" t="s">
        <v>1268</v>
      </c>
      <c r="C3149" s="8" t="n">
        <v>1</v>
      </c>
      <c r="D3149" s="8" t="n">
        <v>113.58</v>
      </c>
      <c r="E3149" s="8" t="n">
        <v>0</v>
      </c>
      <c r="F3149" s="8" t="n">
        <v>0</v>
      </c>
    </row>
    <row r="3150" customFormat="false" ht="15" hidden="false" customHeight="true" outlineLevel="0" collapsed="false">
      <c r="A3150" s="8" t="s">
        <v>304</v>
      </c>
      <c r="B3150" s="8" t="s">
        <v>1268</v>
      </c>
      <c r="C3150" s="8" t="n">
        <v>2</v>
      </c>
      <c r="D3150" s="8" t="n">
        <v>227.16</v>
      </c>
      <c r="E3150" s="8" t="n">
        <v>0</v>
      </c>
      <c r="F3150" s="8" t="n">
        <v>0</v>
      </c>
    </row>
    <row r="3151" customFormat="false" ht="15" hidden="false" customHeight="true" outlineLevel="0" collapsed="false">
      <c r="A3151" s="8" t="s">
        <v>372</v>
      </c>
      <c r="B3151" s="8" t="s">
        <v>1286</v>
      </c>
      <c r="C3151" s="8" t="n">
        <v>2</v>
      </c>
      <c r="D3151" s="8" t="n">
        <v>129.78</v>
      </c>
      <c r="E3151" s="8" t="n">
        <v>0</v>
      </c>
      <c r="F3151" s="8" t="n">
        <v>0</v>
      </c>
    </row>
    <row r="3152" customFormat="false" ht="15" hidden="false" customHeight="true" outlineLevel="0" collapsed="false">
      <c r="A3152" s="8" t="s">
        <v>283</v>
      </c>
      <c r="B3152" s="8" t="s">
        <v>1223</v>
      </c>
      <c r="C3152" s="8" t="n">
        <v>1</v>
      </c>
      <c r="D3152" s="8" t="n">
        <v>77.8</v>
      </c>
      <c r="E3152" s="8" t="n">
        <v>0</v>
      </c>
      <c r="F3152" s="8" t="n">
        <v>0</v>
      </c>
    </row>
    <row r="3153" customFormat="false" ht="15" hidden="false" customHeight="true" outlineLevel="0" collapsed="false">
      <c r="A3153" s="8" t="s">
        <v>216</v>
      </c>
      <c r="B3153" s="8" t="s">
        <v>1223</v>
      </c>
      <c r="C3153" s="8" t="n">
        <v>4</v>
      </c>
      <c r="D3153" s="8" t="n">
        <v>311.2</v>
      </c>
      <c r="E3153" s="8" t="n">
        <v>0</v>
      </c>
      <c r="F3153" s="8" t="n">
        <v>0</v>
      </c>
    </row>
    <row r="3154" customFormat="false" ht="15" hidden="false" customHeight="true" outlineLevel="0" collapsed="false">
      <c r="A3154" s="8" t="s">
        <v>236</v>
      </c>
      <c r="B3154" s="8" t="s">
        <v>1223</v>
      </c>
      <c r="C3154" s="8" t="n">
        <v>2</v>
      </c>
      <c r="D3154" s="8" t="n">
        <v>155.6</v>
      </c>
      <c r="E3154" s="8" t="n">
        <v>0</v>
      </c>
      <c r="F3154" s="8" t="n">
        <v>0</v>
      </c>
    </row>
    <row r="3155" customFormat="false" ht="15" hidden="false" customHeight="true" outlineLevel="0" collapsed="false">
      <c r="A3155" s="8" t="s">
        <v>161</v>
      </c>
      <c r="B3155" s="8" t="s">
        <v>1208</v>
      </c>
      <c r="C3155" s="8" t="n">
        <v>81</v>
      </c>
      <c r="D3155" s="8" t="n">
        <v>3685.5</v>
      </c>
      <c r="E3155" s="8" t="n">
        <v>30</v>
      </c>
      <c r="F3155" s="8" t="n">
        <v>1365</v>
      </c>
    </row>
    <row r="3156" customFormat="false" ht="15" hidden="false" customHeight="true" outlineLevel="0" collapsed="false">
      <c r="A3156" s="8" t="s">
        <v>162</v>
      </c>
      <c r="B3156" s="8" t="s">
        <v>1209</v>
      </c>
      <c r="C3156" s="8" t="n">
        <v>9</v>
      </c>
      <c r="D3156" s="8" t="n">
        <v>700.2</v>
      </c>
      <c r="E3156" s="8" t="n">
        <v>4</v>
      </c>
      <c r="F3156" s="8" t="n">
        <v>311.2</v>
      </c>
    </row>
    <row r="3157" customFormat="false" ht="15" hidden="false" customHeight="true" outlineLevel="0" collapsed="false">
      <c r="A3157" s="8" t="s">
        <v>166</v>
      </c>
      <c r="B3157" s="8" t="s">
        <v>1211</v>
      </c>
      <c r="C3157" s="8" t="n">
        <v>9</v>
      </c>
      <c r="D3157" s="8" t="n">
        <v>569.43</v>
      </c>
      <c r="E3157" s="8" t="n">
        <v>2</v>
      </c>
      <c r="F3157" s="8" t="n">
        <v>126.54</v>
      </c>
    </row>
    <row r="3158" customFormat="false" ht="15" hidden="false" customHeight="true" outlineLevel="0" collapsed="false">
      <c r="A3158" s="8" t="s">
        <v>164</v>
      </c>
      <c r="B3158" s="8" t="s">
        <v>1211</v>
      </c>
      <c r="C3158" s="8" t="n">
        <v>14</v>
      </c>
      <c r="D3158" s="8" t="n">
        <v>885.78</v>
      </c>
      <c r="E3158" s="8" t="n">
        <v>4</v>
      </c>
      <c r="F3158" s="8" t="n">
        <v>253.08</v>
      </c>
    </row>
    <row r="3159" customFormat="false" ht="15" hidden="false" customHeight="true" outlineLevel="0" collapsed="false">
      <c r="A3159" s="8" t="s">
        <v>222</v>
      </c>
      <c r="B3159" s="8" t="s">
        <v>1211</v>
      </c>
      <c r="C3159" s="8" t="n">
        <v>4</v>
      </c>
      <c r="D3159" s="8" t="n">
        <v>253.08</v>
      </c>
      <c r="E3159" s="8" t="n">
        <v>4</v>
      </c>
      <c r="F3159" s="8" t="n">
        <v>253.08</v>
      </c>
    </row>
    <row r="3160" customFormat="false" ht="15" hidden="false" customHeight="true" outlineLevel="0" collapsed="false">
      <c r="A3160" s="8" t="s">
        <v>187</v>
      </c>
      <c r="B3160" s="8" t="s">
        <v>1211</v>
      </c>
      <c r="C3160" s="8" t="n">
        <v>8</v>
      </c>
      <c r="D3160" s="8" t="n">
        <v>506.16</v>
      </c>
      <c r="E3160" s="8" t="n">
        <v>2</v>
      </c>
      <c r="F3160" s="8" t="n">
        <v>126.54</v>
      </c>
    </row>
    <row r="3161" customFormat="false" ht="15" hidden="false" customHeight="true" outlineLevel="0" collapsed="false">
      <c r="A3161" s="8" t="s">
        <v>238</v>
      </c>
      <c r="B3161" s="8" t="s">
        <v>1226</v>
      </c>
      <c r="C3161" s="8" t="n">
        <v>3</v>
      </c>
      <c r="D3161" s="8" t="n">
        <v>126.51</v>
      </c>
      <c r="E3161" s="8" t="n">
        <v>5</v>
      </c>
      <c r="F3161" s="8" t="n">
        <v>210.85</v>
      </c>
    </row>
    <row r="3162" customFormat="false" ht="15" hidden="false" customHeight="true" outlineLevel="0" collapsed="false">
      <c r="A3162" s="8" t="s">
        <v>201</v>
      </c>
      <c r="B3162" s="8" t="s">
        <v>1226</v>
      </c>
      <c r="C3162" s="8" t="n">
        <v>8</v>
      </c>
      <c r="D3162" s="8" t="n">
        <v>337.36</v>
      </c>
      <c r="E3162" s="8" t="n">
        <v>-1</v>
      </c>
      <c r="F3162" s="8" t="n">
        <v>-42.17</v>
      </c>
    </row>
    <row r="3163" customFormat="false" ht="15" hidden="false" customHeight="true" outlineLevel="0" collapsed="false">
      <c r="A3163" s="8" t="s">
        <v>314</v>
      </c>
      <c r="B3163" s="8" t="s">
        <v>1226</v>
      </c>
      <c r="C3163" s="8" t="n">
        <v>2</v>
      </c>
      <c r="D3163" s="8" t="n">
        <v>84.34</v>
      </c>
      <c r="E3163" s="8" t="n">
        <v>0</v>
      </c>
      <c r="F3163" s="8" t="n">
        <v>0</v>
      </c>
    </row>
    <row r="3164" customFormat="false" ht="15" hidden="false" customHeight="true" outlineLevel="0" collapsed="false">
      <c r="A3164" s="8" t="s">
        <v>214</v>
      </c>
      <c r="B3164" s="8" t="s">
        <v>1226</v>
      </c>
      <c r="C3164" s="8" t="n">
        <v>7</v>
      </c>
      <c r="D3164" s="8" t="n">
        <v>295.19</v>
      </c>
      <c r="E3164" s="8" t="n">
        <v>0</v>
      </c>
      <c r="F3164" s="8" t="n">
        <v>0</v>
      </c>
    </row>
    <row r="3165" customFormat="false" ht="15" hidden="false" customHeight="true" outlineLevel="0" collapsed="false">
      <c r="A3165" s="8" t="s">
        <v>309</v>
      </c>
      <c r="B3165" s="8" t="s">
        <v>1226</v>
      </c>
      <c r="C3165" s="8" t="n">
        <v>1</v>
      </c>
      <c r="D3165" s="8" t="n">
        <v>42.17</v>
      </c>
      <c r="E3165" s="8" t="n">
        <v>0</v>
      </c>
      <c r="F3165" s="8" t="n">
        <v>0</v>
      </c>
    </row>
    <row r="3166" customFormat="false" ht="15" hidden="false" customHeight="true" outlineLevel="0" collapsed="false">
      <c r="A3166" s="8" t="s">
        <v>237</v>
      </c>
      <c r="B3166" s="8" t="s">
        <v>1259</v>
      </c>
      <c r="C3166" s="8" t="n">
        <v>6</v>
      </c>
      <c r="D3166" s="8" t="n">
        <v>110.7</v>
      </c>
      <c r="E3166" s="8" t="n">
        <v>0</v>
      </c>
      <c r="F3166" s="8" t="n">
        <v>0</v>
      </c>
    </row>
    <row r="3167" customFormat="false" ht="15" hidden="false" customHeight="true" outlineLevel="0" collapsed="false">
      <c r="A3167" s="8" t="s">
        <v>271</v>
      </c>
      <c r="B3167" s="8" t="s">
        <v>1260</v>
      </c>
      <c r="C3167" s="8" t="n">
        <v>3</v>
      </c>
      <c r="D3167" s="8" t="n">
        <v>70.2</v>
      </c>
      <c r="E3167" s="8" t="n">
        <v>0</v>
      </c>
      <c r="F3167" s="8" t="n">
        <v>0</v>
      </c>
    </row>
    <row r="3168" customFormat="false" ht="15" hidden="false" customHeight="true" outlineLevel="0" collapsed="false">
      <c r="A3168" s="8" t="s">
        <v>202</v>
      </c>
      <c r="B3168" s="8" t="s">
        <v>1212</v>
      </c>
      <c r="C3168" s="8" t="n">
        <v>11</v>
      </c>
      <c r="D3168" s="8" t="n">
        <v>104.5</v>
      </c>
      <c r="E3168" s="8" t="n">
        <v>7</v>
      </c>
      <c r="F3168" s="8" t="n">
        <v>66.5</v>
      </c>
    </row>
    <row r="3169" customFormat="false" ht="15" hidden="false" customHeight="true" outlineLevel="0" collapsed="false">
      <c r="A3169" s="8" t="s">
        <v>244</v>
      </c>
      <c r="B3169" s="8" t="s">
        <v>1213</v>
      </c>
      <c r="C3169" s="8" t="n">
        <v>5</v>
      </c>
      <c r="D3169" s="8" t="n">
        <v>47.5</v>
      </c>
      <c r="E3169" s="8" t="n">
        <v>0</v>
      </c>
      <c r="F3169" s="8" t="n">
        <v>0</v>
      </c>
    </row>
    <row r="3170" customFormat="false" ht="15" hidden="false" customHeight="true" outlineLevel="0" collapsed="false">
      <c r="A3170" s="8" t="s">
        <v>172</v>
      </c>
      <c r="B3170" s="8" t="s">
        <v>1214</v>
      </c>
      <c r="C3170" s="8" t="n">
        <v>70</v>
      </c>
      <c r="D3170" s="8" t="n">
        <v>852.6</v>
      </c>
      <c r="E3170" s="8" t="n">
        <v>20</v>
      </c>
      <c r="F3170" s="8" t="n">
        <v>243.6</v>
      </c>
    </row>
    <row r="3171" customFormat="false" ht="15" hidden="false" customHeight="true" outlineLevel="0" collapsed="false">
      <c r="A3171" s="8" t="s">
        <v>261</v>
      </c>
      <c r="B3171" s="8" t="s">
        <v>1215</v>
      </c>
      <c r="C3171" s="8" t="n">
        <v>5</v>
      </c>
      <c r="D3171" s="8" t="n">
        <v>106.05</v>
      </c>
      <c r="E3171" s="8" t="n">
        <v>0</v>
      </c>
      <c r="F3171" s="8" t="n">
        <v>0</v>
      </c>
    </row>
    <row r="3172" customFormat="false" ht="15" hidden="false" customHeight="true" outlineLevel="0" collapsed="false">
      <c r="A3172" s="8" t="s">
        <v>213</v>
      </c>
      <c r="B3172" s="8" t="s">
        <v>1232</v>
      </c>
      <c r="C3172" s="8" t="n">
        <v>5</v>
      </c>
      <c r="D3172" s="8" t="n">
        <v>137.75</v>
      </c>
      <c r="E3172" s="8" t="n">
        <v>0</v>
      </c>
      <c r="F3172" s="8" t="n">
        <v>0</v>
      </c>
    </row>
    <row r="3173" customFormat="false" ht="15" hidden="false" customHeight="true" outlineLevel="0" collapsed="false">
      <c r="A3173" s="8" t="s">
        <v>281</v>
      </c>
      <c r="B3173" s="8" t="s">
        <v>1254</v>
      </c>
      <c r="C3173" s="8" t="n">
        <v>3</v>
      </c>
      <c r="D3173" s="8" t="n">
        <v>41.52</v>
      </c>
      <c r="E3173" s="8" t="n">
        <v>0</v>
      </c>
      <c r="F3173" s="8" t="n">
        <v>0</v>
      </c>
    </row>
    <row r="3174" customFormat="false" ht="15" hidden="false" customHeight="true" outlineLevel="0" collapsed="false">
      <c r="A3174" s="8" t="s">
        <v>299</v>
      </c>
      <c r="B3174" s="8" t="s">
        <v>1263</v>
      </c>
      <c r="C3174" s="8" t="n">
        <v>5</v>
      </c>
      <c r="D3174" s="8" t="n">
        <v>267.65</v>
      </c>
      <c r="E3174" s="8" t="n">
        <v>-4</v>
      </c>
      <c r="F3174" s="8" t="n">
        <v>-214.12</v>
      </c>
    </row>
    <row r="3175" customFormat="false" ht="15" hidden="false" customHeight="true" outlineLevel="0" collapsed="false">
      <c r="A3175" s="8" t="s">
        <v>192</v>
      </c>
      <c r="B3175" s="8" t="s">
        <v>1240</v>
      </c>
      <c r="C3175" s="8" t="n">
        <v>1</v>
      </c>
      <c r="D3175" s="8" t="n">
        <v>41.81</v>
      </c>
      <c r="E3175" s="8" t="n">
        <v>0</v>
      </c>
      <c r="F3175" s="8" t="n">
        <v>0</v>
      </c>
    </row>
    <row r="3176" customFormat="false" ht="15" hidden="false" customHeight="true" outlineLevel="0" collapsed="false">
      <c r="A3176" s="8" t="s">
        <v>168</v>
      </c>
      <c r="B3176" s="8" t="s">
        <v>1240</v>
      </c>
      <c r="C3176" s="8" t="n">
        <v>3</v>
      </c>
      <c r="D3176" s="8" t="n">
        <v>125.43</v>
      </c>
      <c r="E3176" s="8" t="n">
        <v>0</v>
      </c>
      <c r="F3176" s="8" t="n">
        <v>0</v>
      </c>
    </row>
    <row r="3177" customFormat="false" ht="15" hidden="false" customHeight="true" outlineLevel="0" collapsed="false">
      <c r="A3177" s="8" t="s">
        <v>169</v>
      </c>
      <c r="B3177" s="8" t="s">
        <v>1240</v>
      </c>
      <c r="C3177" s="8" t="n">
        <v>1</v>
      </c>
      <c r="D3177" s="8" t="n">
        <v>41.81</v>
      </c>
      <c r="E3177" s="8" t="n">
        <v>0</v>
      </c>
      <c r="F3177" s="8" t="n">
        <v>0</v>
      </c>
    </row>
    <row r="3178" customFormat="false" ht="15" hidden="false" customHeight="true" outlineLevel="0" collapsed="false">
      <c r="A3178" s="8" t="s">
        <v>198</v>
      </c>
      <c r="B3178" s="8" t="s">
        <v>1217</v>
      </c>
      <c r="C3178" s="8" t="n">
        <v>0</v>
      </c>
      <c r="D3178" s="8" t="n">
        <v>0</v>
      </c>
      <c r="E3178" s="8" t="n">
        <v>4</v>
      </c>
      <c r="F3178" s="8" t="n">
        <v>82</v>
      </c>
    </row>
    <row r="3179" customFormat="false" ht="15" hidden="false" customHeight="true" outlineLevel="0" collapsed="false">
      <c r="A3179" s="8" t="s">
        <v>302</v>
      </c>
      <c r="B3179" s="8" t="s">
        <v>1217</v>
      </c>
      <c r="C3179" s="8" t="n">
        <v>1</v>
      </c>
      <c r="D3179" s="8" t="n">
        <v>20.5</v>
      </c>
      <c r="E3179" s="8" t="n">
        <v>0</v>
      </c>
      <c r="F3179" s="8" t="n">
        <v>0</v>
      </c>
    </row>
    <row r="3180" customFormat="false" ht="15" hidden="false" customHeight="true" outlineLevel="0" collapsed="false">
      <c r="A3180" s="8" t="s">
        <v>259</v>
      </c>
      <c r="B3180" s="8" t="s">
        <v>1265</v>
      </c>
      <c r="C3180" s="8" t="n">
        <v>2</v>
      </c>
      <c r="D3180" s="8" t="n">
        <v>253.14</v>
      </c>
      <c r="E3180" s="8" t="n">
        <v>0</v>
      </c>
      <c r="F3180" s="8" t="n">
        <v>0</v>
      </c>
    </row>
    <row r="3181" customFormat="false" ht="15" hidden="false" customHeight="true" outlineLevel="0" collapsed="false">
      <c r="A3181" s="8" t="s">
        <v>254</v>
      </c>
      <c r="B3181" s="8" t="s">
        <v>1265</v>
      </c>
      <c r="C3181" s="8" t="n">
        <v>1</v>
      </c>
      <c r="D3181" s="8" t="n">
        <v>126.57</v>
      </c>
      <c r="E3181" s="8" t="n">
        <v>0</v>
      </c>
      <c r="F3181" s="8" t="n">
        <v>0</v>
      </c>
    </row>
    <row r="3182" customFormat="false" ht="15" hidden="false" customHeight="true" outlineLevel="0" collapsed="false">
      <c r="A3182" s="8" t="s">
        <v>277</v>
      </c>
      <c r="B3182" s="8" t="s">
        <v>1285</v>
      </c>
      <c r="C3182" s="8" t="n">
        <v>1</v>
      </c>
      <c r="D3182" s="8" t="n">
        <v>136.3</v>
      </c>
      <c r="E3182" s="8" t="n">
        <v>2</v>
      </c>
      <c r="F3182" s="8" t="n">
        <v>272.6</v>
      </c>
    </row>
    <row r="3183" customFormat="false" ht="15" hidden="false" customHeight="true" outlineLevel="0" collapsed="false">
      <c r="A3183" s="8" t="s">
        <v>249</v>
      </c>
      <c r="B3183" s="8" t="s">
        <v>1285</v>
      </c>
      <c r="C3183" s="8" t="n">
        <v>1</v>
      </c>
      <c r="D3183" s="8" t="n">
        <v>136.3</v>
      </c>
      <c r="E3183" s="8" t="n">
        <v>0</v>
      </c>
      <c r="F3183" s="8" t="n">
        <v>0</v>
      </c>
    </row>
    <row r="3184" customFormat="false" ht="15" hidden="false" customHeight="true" outlineLevel="0" collapsed="false">
      <c r="A3184" s="8" t="s">
        <v>260</v>
      </c>
      <c r="B3184" s="8" t="s">
        <v>1285</v>
      </c>
      <c r="C3184" s="8" t="n">
        <v>1</v>
      </c>
      <c r="D3184" s="8" t="n">
        <v>136.3</v>
      </c>
      <c r="E3184" s="8" t="n">
        <v>0</v>
      </c>
      <c r="F3184" s="8" t="n">
        <v>0</v>
      </c>
    </row>
    <row r="3185" customFormat="false" ht="15" hidden="false" customHeight="true" outlineLevel="0" collapsed="false">
      <c r="A3185" s="8" t="s">
        <v>356</v>
      </c>
      <c r="B3185" s="8" t="s">
        <v>1285</v>
      </c>
      <c r="C3185" s="8" t="n">
        <v>1</v>
      </c>
      <c r="D3185" s="8" t="n">
        <v>136.3</v>
      </c>
      <c r="E3185" s="8" t="n">
        <v>-1</v>
      </c>
      <c r="F3185" s="8" t="n">
        <v>-136.3</v>
      </c>
    </row>
    <row r="3186" customFormat="false" ht="15" hidden="false" customHeight="true" outlineLevel="0" collapsed="false">
      <c r="A3186" s="8" t="s">
        <v>95</v>
      </c>
      <c r="B3186" s="8" t="s">
        <v>1247</v>
      </c>
      <c r="C3186" s="8" t="n">
        <v>3</v>
      </c>
      <c r="D3186" s="8" t="n">
        <v>75</v>
      </c>
      <c r="E3186" s="8" t="n">
        <v>0</v>
      </c>
      <c r="F3186" s="8" t="n">
        <v>0</v>
      </c>
    </row>
    <row r="3187" customFormat="false" ht="15" hidden="false" customHeight="true" outlineLevel="0" collapsed="false">
      <c r="A3187" s="8" t="s">
        <v>113</v>
      </c>
      <c r="B3187" s="8" t="s">
        <v>1247</v>
      </c>
      <c r="C3187" s="8" t="n">
        <v>3</v>
      </c>
      <c r="D3187" s="8" t="n">
        <v>75</v>
      </c>
      <c r="E3187" s="8" t="n">
        <v>0</v>
      </c>
      <c r="F3187" s="8" t="n">
        <v>0</v>
      </c>
    </row>
    <row r="3188" customFormat="false" ht="15" hidden="false" customHeight="true" outlineLevel="0" collapsed="false">
      <c r="A3188" s="8" t="s">
        <v>99</v>
      </c>
      <c r="B3188" s="8" t="s">
        <v>1247</v>
      </c>
      <c r="C3188" s="8" t="n">
        <v>3</v>
      </c>
      <c r="D3188" s="8" t="n">
        <v>75</v>
      </c>
      <c r="E3188" s="8" t="n">
        <v>0</v>
      </c>
      <c r="F3188" s="8" t="n">
        <v>0</v>
      </c>
    </row>
    <row r="3189" customFormat="false" ht="15" hidden="false" customHeight="true" outlineLevel="0" collapsed="false">
      <c r="A3189" s="8" t="s">
        <v>120</v>
      </c>
      <c r="B3189" s="8" t="s">
        <v>1247</v>
      </c>
      <c r="C3189" s="8" t="n">
        <v>3</v>
      </c>
      <c r="D3189" s="8" t="n">
        <v>75</v>
      </c>
      <c r="E3189" s="8" t="n">
        <v>0</v>
      </c>
      <c r="F3189" s="8" t="n">
        <v>0</v>
      </c>
    </row>
    <row r="3190" customFormat="false" ht="15" hidden="false" customHeight="true" outlineLevel="0" collapsed="false">
      <c r="A3190" s="8" t="s">
        <v>178</v>
      </c>
      <c r="B3190" s="8" t="s">
        <v>1236</v>
      </c>
      <c r="C3190" s="8" t="n">
        <v>1</v>
      </c>
      <c r="D3190" s="8" t="n">
        <v>35</v>
      </c>
      <c r="E3190" s="8" t="n">
        <v>1</v>
      </c>
      <c r="F3190" s="8" t="n">
        <v>35</v>
      </c>
    </row>
    <row r="3191" customFormat="false" ht="15" hidden="false" customHeight="true" outlineLevel="0" collapsed="false">
      <c r="A3191" s="8" t="s">
        <v>176</v>
      </c>
      <c r="B3191" s="8" t="s">
        <v>1236</v>
      </c>
      <c r="C3191" s="8" t="n">
        <v>1</v>
      </c>
      <c r="D3191" s="8" t="n">
        <v>35</v>
      </c>
      <c r="E3191" s="8" t="n">
        <v>1</v>
      </c>
      <c r="F3191" s="8" t="n">
        <v>35</v>
      </c>
    </row>
    <row r="3192" customFormat="false" ht="15" hidden="false" customHeight="true" outlineLevel="0" collapsed="false">
      <c r="A3192" s="8" t="s">
        <v>235</v>
      </c>
      <c r="B3192" s="8" t="s">
        <v>1236</v>
      </c>
      <c r="C3192" s="8" t="n">
        <v>1</v>
      </c>
      <c r="D3192" s="8" t="n">
        <v>35</v>
      </c>
      <c r="E3192" s="8" t="n">
        <v>1</v>
      </c>
      <c r="F3192" s="8" t="n">
        <v>35</v>
      </c>
    </row>
    <row r="3193" customFormat="false" ht="15" hidden="false" customHeight="true" outlineLevel="0" collapsed="false">
      <c r="A3193" s="8" t="s">
        <v>224</v>
      </c>
      <c r="B3193" s="8" t="s">
        <v>1236</v>
      </c>
      <c r="C3193" s="8" t="n">
        <v>1</v>
      </c>
      <c r="D3193" s="8" t="n">
        <v>35</v>
      </c>
      <c r="E3193" s="8" t="n">
        <v>0</v>
      </c>
      <c r="F3193" s="8" t="n">
        <v>0</v>
      </c>
    </row>
    <row r="3194" customFormat="false" ht="15" hidden="false" customHeight="true" outlineLevel="0" collapsed="false">
      <c r="A3194" s="8" t="s">
        <v>179</v>
      </c>
      <c r="B3194" s="8" t="s">
        <v>1218</v>
      </c>
      <c r="C3194" s="8" t="n">
        <v>1</v>
      </c>
      <c r="D3194" s="8" t="n">
        <v>126.5</v>
      </c>
      <c r="E3194" s="8" t="n">
        <v>0</v>
      </c>
      <c r="F3194" s="8" t="n">
        <v>0</v>
      </c>
    </row>
    <row r="3195" customFormat="false" ht="15" hidden="false" customHeight="true" outlineLevel="0" collapsed="false">
      <c r="A3195" s="8" t="s">
        <v>195</v>
      </c>
      <c r="B3195" s="8" t="s">
        <v>1218</v>
      </c>
      <c r="C3195" s="8" t="n">
        <v>1</v>
      </c>
      <c r="D3195" s="8" t="n">
        <v>126.5</v>
      </c>
      <c r="E3195" s="8" t="n">
        <v>0</v>
      </c>
      <c r="F3195" s="8" t="n">
        <v>0</v>
      </c>
    </row>
    <row r="3196" customFormat="false" ht="15" hidden="false" customHeight="true" outlineLevel="0" collapsed="false">
      <c r="A3196" s="8" t="s">
        <v>240</v>
      </c>
      <c r="B3196" s="8" t="s">
        <v>769</v>
      </c>
      <c r="C3196" s="8" t="n">
        <v>1</v>
      </c>
      <c r="D3196" s="8" t="n">
        <v>17</v>
      </c>
      <c r="E3196" s="8" t="n">
        <v>2</v>
      </c>
      <c r="F3196" s="8" t="n">
        <v>34</v>
      </c>
    </row>
    <row r="3197" customFormat="false" ht="15" hidden="false" customHeight="true" outlineLevel="0" collapsed="false">
      <c r="A3197" s="8" t="s">
        <v>234</v>
      </c>
      <c r="B3197" s="8" t="s">
        <v>769</v>
      </c>
      <c r="C3197" s="8" t="n">
        <v>3</v>
      </c>
      <c r="D3197" s="8" t="n">
        <v>51</v>
      </c>
      <c r="E3197" s="8" t="n">
        <v>2</v>
      </c>
      <c r="F3197" s="8" t="n">
        <v>34</v>
      </c>
    </row>
    <row r="3198" customFormat="false" ht="15" hidden="false" customHeight="true" outlineLevel="0" collapsed="false">
      <c r="A3198" s="8" t="s">
        <v>247</v>
      </c>
      <c r="B3198" s="8" t="s">
        <v>769</v>
      </c>
      <c r="C3198" s="8" t="n">
        <v>1</v>
      </c>
      <c r="D3198" s="8" t="n">
        <v>17</v>
      </c>
      <c r="E3198" s="8" t="n">
        <v>2</v>
      </c>
      <c r="F3198" s="8" t="n">
        <v>34</v>
      </c>
    </row>
    <row r="3199" customFormat="false" ht="15" hidden="false" customHeight="true" outlineLevel="0" collapsed="false">
      <c r="A3199" s="8" t="s">
        <v>300</v>
      </c>
      <c r="B3199" s="8" t="s">
        <v>769</v>
      </c>
      <c r="C3199" s="8" t="n">
        <v>1</v>
      </c>
      <c r="D3199" s="8" t="n">
        <v>17</v>
      </c>
      <c r="E3199" s="8" t="n">
        <v>2</v>
      </c>
      <c r="F3199" s="8" t="n">
        <v>34</v>
      </c>
    </row>
    <row r="3200" customFormat="false" ht="15" hidden="false" customHeight="true" outlineLevel="0" collapsed="false">
      <c r="A3200" s="8" t="s">
        <v>328</v>
      </c>
      <c r="B3200" s="8" t="s">
        <v>769</v>
      </c>
      <c r="C3200" s="8" t="n">
        <v>0</v>
      </c>
      <c r="D3200" s="8" t="n">
        <v>0</v>
      </c>
      <c r="E3200" s="8" t="n">
        <v>2</v>
      </c>
      <c r="F3200" s="8" t="n">
        <v>34</v>
      </c>
    </row>
    <row r="3201" customFormat="false" ht="15" hidden="false" customHeight="true" outlineLevel="0" collapsed="false">
      <c r="A3201" s="8" t="s">
        <v>367</v>
      </c>
      <c r="B3201" s="8" t="s">
        <v>769</v>
      </c>
      <c r="C3201" s="8" t="n">
        <v>1</v>
      </c>
      <c r="D3201" s="8" t="n">
        <v>17</v>
      </c>
      <c r="E3201" s="8" t="n">
        <v>2</v>
      </c>
      <c r="F3201" s="8" t="n">
        <v>34</v>
      </c>
    </row>
    <row r="3202" customFormat="false" ht="15" hidden="false" customHeight="true" outlineLevel="0" collapsed="false">
      <c r="A3202" s="8" t="s">
        <v>170</v>
      </c>
      <c r="B3202" s="8" t="s">
        <v>1220</v>
      </c>
      <c r="C3202" s="8" t="n">
        <v>18</v>
      </c>
      <c r="D3202" s="8" t="n">
        <v>266.4</v>
      </c>
      <c r="E3202" s="8" t="n">
        <v>0</v>
      </c>
      <c r="F3202" s="8" t="n">
        <v>0</v>
      </c>
    </row>
    <row r="3203" customFormat="false" ht="15" hidden="false" customHeight="true" outlineLevel="0" collapsed="false">
      <c r="A3203" s="8" t="s">
        <v>258</v>
      </c>
      <c r="B3203" s="8" t="s">
        <v>562</v>
      </c>
      <c r="C3203" s="8" t="n">
        <v>3</v>
      </c>
      <c r="D3203" s="8" t="n">
        <v>108</v>
      </c>
      <c r="E3203" s="8" t="n">
        <v>0</v>
      </c>
      <c r="F3203" s="8" t="n">
        <v>0</v>
      </c>
    </row>
    <row r="3204" customFormat="false" ht="15" hidden="false" customHeight="true" outlineLevel="0" collapsed="false">
      <c r="A3204" s="8" t="s">
        <v>203</v>
      </c>
      <c r="B3204" s="8" t="s">
        <v>1177</v>
      </c>
      <c r="C3204" s="8" t="n">
        <v>6</v>
      </c>
      <c r="D3204" s="8" t="n">
        <v>111</v>
      </c>
      <c r="E3204" s="8" t="n">
        <v>0</v>
      </c>
      <c r="F3204" s="8" t="n">
        <v>0</v>
      </c>
    </row>
    <row r="3205" customFormat="false" ht="15" hidden="false" customHeight="true" outlineLevel="0" collapsed="false">
      <c r="A3205" s="8" t="s">
        <v>211</v>
      </c>
      <c r="B3205" s="8" t="s">
        <v>1250</v>
      </c>
      <c r="C3205" s="8" t="n">
        <v>3</v>
      </c>
      <c r="D3205" s="8" t="n">
        <v>75</v>
      </c>
      <c r="E3205" s="8" t="n">
        <v>0</v>
      </c>
      <c r="F3205" s="8" t="n">
        <v>0</v>
      </c>
    </row>
    <row r="3206" customFormat="false" ht="15" hidden="false" customHeight="true" outlineLevel="0" collapsed="false">
      <c r="A3206" s="8" t="s">
        <v>248</v>
      </c>
      <c r="B3206" s="8" t="s">
        <v>1242</v>
      </c>
      <c r="C3206" s="8" t="n">
        <v>6</v>
      </c>
      <c r="D3206" s="8" t="n">
        <v>126</v>
      </c>
      <c r="E3206" s="8" t="n">
        <v>0</v>
      </c>
      <c r="F3206" s="8" t="n">
        <v>0</v>
      </c>
    </row>
    <row r="3207" customFormat="false" ht="15" hidden="false" customHeight="true" outlineLevel="0" collapsed="false">
      <c r="A3207" s="8" t="s">
        <v>196</v>
      </c>
      <c r="B3207" s="8" t="s">
        <v>1243</v>
      </c>
      <c r="C3207" s="8" t="n">
        <v>2</v>
      </c>
      <c r="D3207" s="8" t="n">
        <v>107</v>
      </c>
      <c r="E3207" s="8" t="n">
        <v>0</v>
      </c>
      <c r="F3207" s="8" t="n">
        <v>0</v>
      </c>
    </row>
    <row r="3208" customFormat="false" ht="15" hidden="false" customHeight="true" outlineLevel="0" collapsed="false">
      <c r="A3208" s="8" t="s">
        <v>163</v>
      </c>
      <c r="B3208" s="8" t="s">
        <v>897</v>
      </c>
      <c r="C3208" s="8" t="n">
        <v>5</v>
      </c>
      <c r="D3208" s="8" t="n">
        <v>325</v>
      </c>
      <c r="E3208" s="8" t="n">
        <v>0</v>
      </c>
      <c r="F3208" s="8" t="n">
        <v>0</v>
      </c>
    </row>
    <row r="3209" customFormat="false" ht="15" hidden="false" customHeight="true" outlineLevel="0" collapsed="false">
      <c r="A3209" s="8" t="s">
        <v>181</v>
      </c>
      <c r="B3209" s="8" t="s">
        <v>897</v>
      </c>
      <c r="C3209" s="8" t="n">
        <v>2</v>
      </c>
      <c r="D3209" s="8" t="n">
        <v>130</v>
      </c>
      <c r="E3209" s="8" t="n">
        <v>0</v>
      </c>
      <c r="F3209" s="8" t="n">
        <v>0</v>
      </c>
    </row>
    <row r="3210" customFormat="false" ht="15" hidden="false" customHeight="true" outlineLevel="0" collapsed="false">
      <c r="A3210" s="8" t="s">
        <v>165</v>
      </c>
      <c r="B3210" s="8" t="s">
        <v>897</v>
      </c>
      <c r="C3210" s="8" t="n">
        <v>7</v>
      </c>
      <c r="D3210" s="8" t="n">
        <v>455</v>
      </c>
      <c r="E3210" s="8" t="n">
        <v>2</v>
      </c>
      <c r="F3210" s="8" t="n">
        <v>130</v>
      </c>
    </row>
    <row r="3211" customFormat="false" ht="15" hidden="false" customHeight="true" outlineLevel="0" collapsed="false">
      <c r="A3211" s="8" t="s">
        <v>184</v>
      </c>
      <c r="B3211" s="8" t="s">
        <v>897</v>
      </c>
      <c r="C3211" s="8" t="n">
        <v>2</v>
      </c>
      <c r="D3211" s="8" t="n">
        <v>130</v>
      </c>
      <c r="E3211" s="8" t="n">
        <v>0</v>
      </c>
      <c r="F3211" s="8" t="n">
        <v>0</v>
      </c>
    </row>
    <row r="3212" customFormat="false" ht="15" hidden="false" customHeight="true" outlineLevel="0" collapsed="false">
      <c r="A3212" s="8" t="s">
        <v>208</v>
      </c>
      <c r="B3212" s="8" t="s">
        <v>1179</v>
      </c>
      <c r="C3212" s="8" t="n">
        <v>3</v>
      </c>
      <c r="D3212" s="8" t="n">
        <v>217.02</v>
      </c>
      <c r="E3212" s="8" t="n">
        <v>0</v>
      </c>
      <c r="F3212" s="8" t="n">
        <v>0</v>
      </c>
    </row>
    <row r="3213" customFormat="false" ht="15" hidden="false" customHeight="true" outlineLevel="0" collapsed="false">
      <c r="A3213" s="8" t="s">
        <v>365</v>
      </c>
      <c r="B3213" s="8" t="s">
        <v>1292</v>
      </c>
      <c r="C3213" s="8" t="n">
        <v>1</v>
      </c>
      <c r="D3213" s="8" t="n">
        <v>107.09</v>
      </c>
      <c r="E3213" s="8" t="n">
        <v>0</v>
      </c>
      <c r="F3213" s="8" t="n">
        <v>0</v>
      </c>
    </row>
    <row r="3214" customFormat="false" ht="15" hidden="false" customHeight="true" outlineLevel="0" collapsed="false">
      <c r="A3214" s="8" t="s">
        <v>293</v>
      </c>
      <c r="B3214" s="8" t="s">
        <v>1292</v>
      </c>
      <c r="C3214" s="8" t="n">
        <v>1</v>
      </c>
      <c r="D3214" s="8" t="n">
        <v>107.09</v>
      </c>
      <c r="E3214" s="8" t="n">
        <v>0</v>
      </c>
      <c r="F3214" s="8" t="n">
        <v>0</v>
      </c>
    </row>
    <row r="3215" customFormat="false" ht="15" hidden="false" customHeight="true" outlineLevel="0" collapsed="false">
      <c r="A3215" s="8" t="s">
        <v>236</v>
      </c>
      <c r="B3215" s="8" t="s">
        <v>1223</v>
      </c>
      <c r="C3215" s="8" t="n">
        <v>0</v>
      </c>
      <c r="D3215" s="8" t="n">
        <v>0</v>
      </c>
      <c r="E3215" s="8" t="n">
        <v>1</v>
      </c>
      <c r="F3215" s="8" t="n">
        <v>77.8</v>
      </c>
    </row>
    <row r="3216" customFormat="false" ht="15" hidden="false" customHeight="true" outlineLevel="0" collapsed="false">
      <c r="A3216" s="8" t="s">
        <v>161</v>
      </c>
      <c r="B3216" s="8" t="s">
        <v>1208</v>
      </c>
      <c r="C3216" s="8" t="n">
        <v>4</v>
      </c>
      <c r="D3216" s="8" t="n">
        <v>182</v>
      </c>
      <c r="E3216" s="8" t="n">
        <v>3</v>
      </c>
      <c r="F3216" s="8" t="n">
        <v>136.5</v>
      </c>
    </row>
    <row r="3217" customFormat="false" ht="15" hidden="false" customHeight="true" outlineLevel="0" collapsed="false">
      <c r="A3217" s="8" t="s">
        <v>162</v>
      </c>
      <c r="B3217" s="8" t="s">
        <v>1209</v>
      </c>
      <c r="C3217" s="8" t="n">
        <v>4</v>
      </c>
      <c r="D3217" s="8" t="n">
        <v>311.2</v>
      </c>
      <c r="E3217" s="8" t="n">
        <v>3</v>
      </c>
      <c r="F3217" s="8" t="n">
        <v>233.4</v>
      </c>
    </row>
    <row r="3218" customFormat="false" ht="15" hidden="false" customHeight="true" outlineLevel="0" collapsed="false">
      <c r="A3218" s="8" t="s">
        <v>244</v>
      </c>
      <c r="B3218" s="8" t="s">
        <v>1213</v>
      </c>
      <c r="C3218" s="8" t="n">
        <v>0</v>
      </c>
      <c r="D3218" s="8" t="n">
        <v>0</v>
      </c>
      <c r="E3218" s="8" t="n">
        <v>3</v>
      </c>
      <c r="F3218" s="8" t="n">
        <v>28.5</v>
      </c>
    </row>
    <row r="3219" customFormat="false" ht="15" hidden="false" customHeight="true" outlineLevel="0" collapsed="false">
      <c r="A3219" s="8" t="s">
        <v>243</v>
      </c>
      <c r="B3219" s="8" t="s">
        <v>1253</v>
      </c>
      <c r="C3219" s="8" t="n">
        <v>0</v>
      </c>
      <c r="D3219" s="8" t="n">
        <v>0</v>
      </c>
      <c r="E3219" s="8" t="n">
        <v>3</v>
      </c>
      <c r="F3219" s="8" t="n">
        <v>38.85</v>
      </c>
    </row>
    <row r="3220" customFormat="false" ht="15" hidden="false" customHeight="true" outlineLevel="0" collapsed="false">
      <c r="A3220" s="8" t="s">
        <v>269</v>
      </c>
      <c r="B3220" s="8" t="s">
        <v>1231</v>
      </c>
      <c r="C3220" s="8" t="n">
        <v>0</v>
      </c>
      <c r="D3220" s="8" t="n">
        <v>0</v>
      </c>
      <c r="E3220" s="8" t="n">
        <v>6</v>
      </c>
      <c r="F3220" s="8" t="n">
        <v>67.98</v>
      </c>
    </row>
    <row r="3221" customFormat="false" ht="15" hidden="false" customHeight="true" outlineLevel="0" collapsed="false">
      <c r="A3221" s="8" t="s">
        <v>189</v>
      </c>
      <c r="B3221" s="8" t="s">
        <v>1216</v>
      </c>
      <c r="C3221" s="8" t="n">
        <v>2</v>
      </c>
      <c r="D3221" s="8" t="n">
        <v>33</v>
      </c>
      <c r="E3221" s="8" t="n">
        <v>0</v>
      </c>
      <c r="F3221" s="8" t="n">
        <v>0</v>
      </c>
    </row>
    <row r="3222" customFormat="false" ht="15" hidden="false" customHeight="true" outlineLevel="0" collapsed="false">
      <c r="A3222" s="8" t="s">
        <v>256</v>
      </c>
      <c r="B3222" s="8" t="s">
        <v>1217</v>
      </c>
      <c r="C3222" s="8" t="n">
        <v>0</v>
      </c>
      <c r="D3222" s="8" t="n">
        <v>0</v>
      </c>
      <c r="E3222" s="8" t="n">
        <v>2</v>
      </c>
      <c r="F3222" s="8" t="n">
        <v>41</v>
      </c>
    </row>
    <row r="3223" customFormat="false" ht="15" hidden="false" customHeight="true" outlineLevel="0" collapsed="false">
      <c r="A3223" s="8" t="s">
        <v>228</v>
      </c>
      <c r="B3223" s="8" t="s">
        <v>1275</v>
      </c>
      <c r="C3223" s="8" t="n">
        <v>4</v>
      </c>
      <c r="D3223" s="8" t="n">
        <v>57</v>
      </c>
      <c r="E3223" s="8" t="n">
        <v>0</v>
      </c>
      <c r="F3223" s="8" t="n">
        <v>0</v>
      </c>
    </row>
    <row r="3224" customFormat="false" ht="15" hidden="false" customHeight="true" outlineLevel="0" collapsed="false">
      <c r="A3224" s="8" t="s">
        <v>257</v>
      </c>
      <c r="B3224" s="8" t="s">
        <v>1284</v>
      </c>
      <c r="C3224" s="8" t="n">
        <v>3</v>
      </c>
      <c r="D3224" s="8" t="n">
        <v>97.29</v>
      </c>
      <c r="E3224" s="8" t="n">
        <v>0</v>
      </c>
      <c r="F3224" s="8" t="n">
        <v>0</v>
      </c>
    </row>
    <row r="3225" customFormat="false" ht="15" hidden="false" customHeight="true" outlineLevel="0" collapsed="false">
      <c r="A3225" s="8" t="s">
        <v>182</v>
      </c>
      <c r="B3225" s="8" t="s">
        <v>799</v>
      </c>
      <c r="C3225" s="8" t="n">
        <v>0</v>
      </c>
      <c r="D3225" s="8" t="n">
        <v>0</v>
      </c>
      <c r="E3225" s="8" t="n">
        <v>3</v>
      </c>
      <c r="F3225" s="8" t="n">
        <v>60</v>
      </c>
    </row>
    <row r="3226" customFormat="false" ht="15" hidden="false" customHeight="true" outlineLevel="0" collapsed="false">
      <c r="A3226" s="8" t="s">
        <v>170</v>
      </c>
      <c r="B3226" s="8" t="s">
        <v>1220</v>
      </c>
      <c r="C3226" s="8" t="n">
        <v>36</v>
      </c>
      <c r="D3226" s="8" t="n">
        <v>532.8</v>
      </c>
      <c r="E3226" s="8" t="n">
        <v>0</v>
      </c>
      <c r="F3226" s="8" t="n">
        <v>0</v>
      </c>
    </row>
    <row r="3227" customFormat="false" ht="15" hidden="false" customHeight="true" outlineLevel="0" collapsed="false">
      <c r="A3227" s="8" t="s">
        <v>252</v>
      </c>
      <c r="B3227" s="8" t="s">
        <v>1177</v>
      </c>
      <c r="C3227" s="8" t="n">
        <v>5</v>
      </c>
      <c r="D3227" s="8" t="n">
        <v>83</v>
      </c>
      <c r="E3227" s="8" t="n">
        <v>0</v>
      </c>
      <c r="F3227" s="8" t="n">
        <v>0</v>
      </c>
    </row>
    <row r="3228" customFormat="false" ht="15" hidden="false" customHeight="true" outlineLevel="0" collapsed="false">
      <c r="A3228" s="8" t="s">
        <v>203</v>
      </c>
      <c r="B3228" s="8" t="s">
        <v>1177</v>
      </c>
      <c r="C3228" s="8" t="n">
        <v>4</v>
      </c>
      <c r="D3228" s="8" t="n">
        <v>74</v>
      </c>
      <c r="E3228" s="8" t="n">
        <v>0</v>
      </c>
      <c r="F3228" s="8" t="n">
        <v>0</v>
      </c>
    </row>
    <row r="3229" customFormat="false" ht="15" hidden="false" customHeight="true" outlineLevel="0" collapsed="false">
      <c r="A3229" s="8" t="s">
        <v>211</v>
      </c>
      <c r="B3229" s="8" t="s">
        <v>1250</v>
      </c>
      <c r="C3229" s="8" t="n">
        <v>3</v>
      </c>
      <c r="D3229" s="8" t="n">
        <v>75</v>
      </c>
      <c r="E3229" s="8" t="n">
        <v>0</v>
      </c>
      <c r="F3229" s="8" t="n">
        <v>0</v>
      </c>
    </row>
    <row r="3230" customFormat="false" ht="15" hidden="false" customHeight="true" outlineLevel="0" collapsed="false">
      <c r="A3230" s="8" t="s">
        <v>248</v>
      </c>
      <c r="B3230" s="8" t="s">
        <v>1242</v>
      </c>
      <c r="C3230" s="8" t="n">
        <v>4</v>
      </c>
      <c r="D3230" s="8" t="n">
        <v>84</v>
      </c>
      <c r="E3230" s="8" t="n">
        <v>0</v>
      </c>
      <c r="F3230" s="8" t="n">
        <v>0</v>
      </c>
    </row>
    <row r="3231" customFormat="false" ht="15" hidden="false" customHeight="true" outlineLevel="0" collapsed="false">
      <c r="A3231" s="8" t="s">
        <v>197</v>
      </c>
      <c r="B3231" s="8" t="s">
        <v>1222</v>
      </c>
      <c r="C3231" s="8" t="n">
        <v>3</v>
      </c>
      <c r="D3231" s="8" t="n">
        <v>195</v>
      </c>
      <c r="E3231" s="8" t="n">
        <v>0</v>
      </c>
      <c r="F3231" s="8" t="n">
        <v>0</v>
      </c>
    </row>
    <row r="3232" customFormat="false" ht="15" hidden="false" customHeight="true" outlineLevel="0" collapsed="false">
      <c r="A3232" s="8" t="s">
        <v>253</v>
      </c>
      <c r="B3232" s="8" t="s">
        <v>1222</v>
      </c>
      <c r="C3232" s="8" t="n">
        <v>2</v>
      </c>
      <c r="D3232" s="8" t="n">
        <v>130</v>
      </c>
      <c r="E3232" s="8" t="n">
        <v>0</v>
      </c>
      <c r="F3232" s="8" t="n">
        <v>0</v>
      </c>
    </row>
    <row r="3233" customFormat="false" ht="15" hidden="false" customHeight="true" outlineLevel="0" collapsed="false">
      <c r="A3233" s="8" t="s">
        <v>207</v>
      </c>
      <c r="B3233" s="8" t="s">
        <v>1222</v>
      </c>
      <c r="C3233" s="8" t="n">
        <v>2</v>
      </c>
      <c r="D3233" s="8" t="n">
        <v>130</v>
      </c>
      <c r="E3233" s="8" t="n">
        <v>5</v>
      </c>
      <c r="F3233" s="8" t="n">
        <v>325</v>
      </c>
    </row>
    <row r="3234" customFormat="false" ht="15" hidden="false" customHeight="true" outlineLevel="0" collapsed="false">
      <c r="A3234" s="8" t="s">
        <v>163</v>
      </c>
      <c r="B3234" s="8" t="s">
        <v>897</v>
      </c>
      <c r="C3234" s="8" t="n">
        <v>3</v>
      </c>
      <c r="D3234" s="8" t="n">
        <v>195</v>
      </c>
      <c r="E3234" s="8" t="n">
        <v>0</v>
      </c>
      <c r="F3234" s="8" t="n">
        <v>0</v>
      </c>
    </row>
    <row r="3235" customFormat="false" ht="15" hidden="false" customHeight="true" outlineLevel="0" collapsed="false">
      <c r="A3235" s="8" t="s">
        <v>181</v>
      </c>
      <c r="B3235" s="8" t="s">
        <v>897</v>
      </c>
      <c r="C3235" s="8" t="n">
        <v>3</v>
      </c>
      <c r="D3235" s="8" t="n">
        <v>195</v>
      </c>
      <c r="E3235" s="8" t="n">
        <v>0</v>
      </c>
      <c r="F3235" s="8" t="n">
        <v>0</v>
      </c>
    </row>
    <row r="3236" customFormat="false" ht="15" hidden="false" customHeight="true" outlineLevel="0" collapsed="false">
      <c r="A3236" s="8" t="s">
        <v>290</v>
      </c>
      <c r="B3236" s="8" t="s">
        <v>897</v>
      </c>
      <c r="C3236" s="8" t="n">
        <v>1</v>
      </c>
      <c r="D3236" s="8" t="n">
        <v>65</v>
      </c>
      <c r="E3236" s="8" t="n">
        <v>0</v>
      </c>
      <c r="F3236" s="8" t="n">
        <v>0</v>
      </c>
    </row>
    <row r="3237" customFormat="false" ht="15" hidden="false" customHeight="true" outlineLevel="0" collapsed="false">
      <c r="A3237" s="8" t="s">
        <v>165</v>
      </c>
      <c r="B3237" s="8" t="s">
        <v>897</v>
      </c>
      <c r="C3237" s="8" t="n">
        <v>9</v>
      </c>
      <c r="D3237" s="8" t="n">
        <v>585</v>
      </c>
      <c r="E3237" s="8" t="n">
        <v>0</v>
      </c>
      <c r="F3237" s="8" t="n">
        <v>0</v>
      </c>
    </row>
    <row r="3238" customFormat="false" ht="15" hidden="false" customHeight="true" outlineLevel="0" collapsed="false">
      <c r="A3238" s="8" t="s">
        <v>184</v>
      </c>
      <c r="B3238" s="8" t="s">
        <v>897</v>
      </c>
      <c r="C3238" s="8" t="n">
        <v>3</v>
      </c>
      <c r="D3238" s="8" t="n">
        <v>195</v>
      </c>
      <c r="E3238" s="8" t="n">
        <v>0</v>
      </c>
      <c r="F3238" s="8" t="n">
        <v>0</v>
      </c>
    </row>
    <row r="3239" customFormat="false" ht="15" hidden="false" customHeight="true" outlineLevel="0" collapsed="false">
      <c r="A3239" s="8" t="s">
        <v>175</v>
      </c>
      <c r="B3239" s="8" t="s">
        <v>1244</v>
      </c>
      <c r="C3239" s="8" t="n">
        <v>1</v>
      </c>
      <c r="D3239" s="8" t="n">
        <v>175.5</v>
      </c>
      <c r="E3239" s="8" t="n">
        <v>0</v>
      </c>
      <c r="F3239" s="8" t="n">
        <v>0</v>
      </c>
    </row>
    <row r="3240" customFormat="false" ht="15" hidden="false" customHeight="true" outlineLevel="0" collapsed="false">
      <c r="A3240" s="8" t="s">
        <v>173</v>
      </c>
      <c r="B3240" s="8" t="s">
        <v>1244</v>
      </c>
      <c r="C3240" s="8" t="n">
        <v>1</v>
      </c>
      <c r="D3240" s="8" t="n">
        <v>175.5</v>
      </c>
      <c r="E3240" s="8" t="n">
        <v>0</v>
      </c>
      <c r="F3240" s="8" t="n">
        <v>0</v>
      </c>
    </row>
    <row r="3241" customFormat="false" ht="15" hidden="false" customHeight="true" outlineLevel="0" collapsed="false">
      <c r="A3241" s="8" t="s">
        <v>177</v>
      </c>
      <c r="B3241" s="8" t="s">
        <v>1244</v>
      </c>
      <c r="C3241" s="8" t="n">
        <v>1</v>
      </c>
      <c r="D3241" s="8" t="n">
        <v>175.5</v>
      </c>
      <c r="E3241" s="8" t="n">
        <v>0</v>
      </c>
      <c r="F3241" s="8" t="n">
        <v>0</v>
      </c>
    </row>
    <row r="3242" customFormat="false" ht="15" hidden="false" customHeight="true" outlineLevel="0" collapsed="false">
      <c r="A3242" s="8" t="s">
        <v>191</v>
      </c>
      <c r="B3242" s="8" t="s">
        <v>1179</v>
      </c>
      <c r="C3242" s="8" t="n">
        <v>1</v>
      </c>
      <c r="D3242" s="8" t="n">
        <v>72.34</v>
      </c>
      <c r="E3242" s="8" t="n">
        <v>0</v>
      </c>
      <c r="F3242" s="8" t="n">
        <v>0</v>
      </c>
    </row>
    <row r="3243" customFormat="false" ht="15" hidden="false" customHeight="true" outlineLevel="0" collapsed="false">
      <c r="A3243" s="8" t="s">
        <v>204</v>
      </c>
      <c r="B3243" s="8" t="s">
        <v>1179</v>
      </c>
      <c r="C3243" s="8" t="n">
        <v>1</v>
      </c>
      <c r="D3243" s="8" t="n">
        <v>72.34</v>
      </c>
      <c r="E3243" s="8" t="n">
        <v>0</v>
      </c>
      <c r="F3243" s="8" t="n">
        <v>0</v>
      </c>
    </row>
    <row r="3244" customFormat="false" ht="15" hidden="false" customHeight="true" outlineLevel="0" collapsed="false">
      <c r="A3244" s="8" t="s">
        <v>333</v>
      </c>
      <c r="B3244" s="8" t="s">
        <v>1268</v>
      </c>
      <c r="C3244" s="8" t="n">
        <v>1</v>
      </c>
      <c r="D3244" s="8" t="n">
        <v>113.58</v>
      </c>
      <c r="E3244" s="8" t="n">
        <v>0</v>
      </c>
      <c r="F3244" s="8" t="n">
        <v>0</v>
      </c>
    </row>
    <row r="3245" customFormat="false" ht="15" hidden="false" customHeight="true" outlineLevel="0" collapsed="false">
      <c r="A3245" s="8" t="s">
        <v>363</v>
      </c>
      <c r="B3245" s="8" t="s">
        <v>1268</v>
      </c>
      <c r="C3245" s="8" t="n">
        <v>1</v>
      </c>
      <c r="D3245" s="8" t="n">
        <v>113.58</v>
      </c>
      <c r="E3245" s="8" t="n">
        <v>0</v>
      </c>
      <c r="F3245" s="8" t="n">
        <v>0</v>
      </c>
    </row>
    <row r="3246" customFormat="false" ht="15" hidden="false" customHeight="true" outlineLevel="0" collapsed="false">
      <c r="A3246" s="8" t="s">
        <v>190</v>
      </c>
      <c r="B3246" s="8" t="s">
        <v>1224</v>
      </c>
      <c r="C3246" s="8" t="n">
        <v>3</v>
      </c>
      <c r="D3246" s="8" t="n">
        <v>73.29</v>
      </c>
      <c r="E3246" s="8" t="n">
        <v>4</v>
      </c>
      <c r="F3246" s="8" t="n">
        <v>97.72</v>
      </c>
    </row>
    <row r="3247" customFormat="false" ht="15" hidden="false" customHeight="true" outlineLevel="0" collapsed="false">
      <c r="A3247" s="8" t="s">
        <v>183</v>
      </c>
      <c r="B3247" s="8" t="s">
        <v>1224</v>
      </c>
      <c r="C3247" s="8" t="n">
        <v>3</v>
      </c>
      <c r="D3247" s="8" t="n">
        <v>73.29</v>
      </c>
      <c r="E3247" s="8" t="n">
        <v>4</v>
      </c>
      <c r="F3247" s="8" t="n">
        <v>97.72</v>
      </c>
    </row>
    <row r="3248" customFormat="false" ht="15" hidden="false" customHeight="true" outlineLevel="0" collapsed="false">
      <c r="A3248" s="8" t="s">
        <v>231</v>
      </c>
      <c r="B3248" s="8" t="s">
        <v>1224</v>
      </c>
      <c r="C3248" s="8" t="n">
        <v>0</v>
      </c>
      <c r="D3248" s="8" t="n">
        <v>0</v>
      </c>
      <c r="E3248" s="8" t="n">
        <v>2</v>
      </c>
      <c r="F3248" s="8" t="n">
        <v>48.86</v>
      </c>
    </row>
    <row r="3249" customFormat="false" ht="15" hidden="false" customHeight="true" outlineLevel="0" collapsed="false">
      <c r="A3249" s="8" t="s">
        <v>161</v>
      </c>
      <c r="B3249" s="8" t="s">
        <v>1208</v>
      </c>
      <c r="C3249" s="8" t="n">
        <v>36</v>
      </c>
      <c r="D3249" s="8" t="n">
        <v>1638</v>
      </c>
      <c r="E3249" s="8" t="n">
        <v>18</v>
      </c>
      <c r="F3249" s="8" t="n">
        <v>819</v>
      </c>
    </row>
    <row r="3250" customFormat="false" ht="15" hidden="false" customHeight="true" outlineLevel="0" collapsed="false">
      <c r="A3250" s="8" t="s">
        <v>162</v>
      </c>
      <c r="B3250" s="8" t="s">
        <v>1209</v>
      </c>
      <c r="C3250" s="8" t="n">
        <v>9</v>
      </c>
      <c r="D3250" s="8" t="n">
        <v>700.2</v>
      </c>
      <c r="E3250" s="8" t="n">
        <v>0</v>
      </c>
      <c r="F3250" s="8" t="n">
        <v>0</v>
      </c>
    </row>
    <row r="3251" customFormat="false" ht="15" hidden="false" customHeight="true" outlineLevel="0" collapsed="false">
      <c r="A3251" s="8" t="s">
        <v>171</v>
      </c>
      <c r="B3251" s="8" t="s">
        <v>1210</v>
      </c>
      <c r="C3251" s="8" t="n">
        <v>26</v>
      </c>
      <c r="D3251" s="8" t="n">
        <v>1227.98</v>
      </c>
      <c r="E3251" s="8" t="n">
        <v>10</v>
      </c>
      <c r="F3251" s="8" t="n">
        <v>472.3</v>
      </c>
    </row>
    <row r="3252" customFormat="false" ht="15" hidden="false" customHeight="true" outlineLevel="0" collapsed="false">
      <c r="A3252" s="8" t="s">
        <v>166</v>
      </c>
      <c r="B3252" s="8" t="s">
        <v>1211</v>
      </c>
      <c r="C3252" s="8" t="n">
        <v>2</v>
      </c>
      <c r="D3252" s="8" t="n">
        <v>126.54</v>
      </c>
      <c r="E3252" s="8" t="n">
        <v>3</v>
      </c>
      <c r="F3252" s="8" t="n">
        <v>189.81</v>
      </c>
    </row>
    <row r="3253" customFormat="false" ht="15" hidden="false" customHeight="true" outlineLevel="0" collapsed="false">
      <c r="A3253" s="8" t="s">
        <v>164</v>
      </c>
      <c r="B3253" s="8" t="s">
        <v>1211</v>
      </c>
      <c r="C3253" s="8" t="n">
        <v>5</v>
      </c>
      <c r="D3253" s="8" t="n">
        <v>316.35</v>
      </c>
      <c r="E3253" s="8" t="n">
        <v>0</v>
      </c>
      <c r="F3253" s="8" t="n">
        <v>0</v>
      </c>
    </row>
    <row r="3254" customFormat="false" ht="15" hidden="false" customHeight="true" outlineLevel="0" collapsed="false">
      <c r="A3254" s="8" t="s">
        <v>222</v>
      </c>
      <c r="B3254" s="8" t="s">
        <v>1211</v>
      </c>
      <c r="C3254" s="8" t="n">
        <v>5</v>
      </c>
      <c r="D3254" s="8" t="n">
        <v>316.35</v>
      </c>
      <c r="E3254" s="8" t="n">
        <v>0</v>
      </c>
      <c r="F3254" s="8" t="n">
        <v>0</v>
      </c>
    </row>
    <row r="3255" customFormat="false" ht="15" hidden="false" customHeight="true" outlineLevel="0" collapsed="false">
      <c r="A3255" s="8" t="s">
        <v>270</v>
      </c>
      <c r="B3255" s="8" t="s">
        <v>1251</v>
      </c>
      <c r="C3255" s="8" t="n">
        <v>8</v>
      </c>
      <c r="D3255" s="8" t="n">
        <v>78.56</v>
      </c>
      <c r="E3255" s="8" t="n">
        <v>0</v>
      </c>
      <c r="F3255" s="8" t="n">
        <v>0</v>
      </c>
    </row>
    <row r="3256" customFormat="false" ht="15" hidden="false" customHeight="true" outlineLevel="0" collapsed="false">
      <c r="A3256" s="8" t="s">
        <v>188</v>
      </c>
      <c r="B3256" s="8" t="s">
        <v>1225</v>
      </c>
      <c r="C3256" s="8" t="n">
        <v>6</v>
      </c>
      <c r="D3256" s="8" t="n">
        <v>173.58</v>
      </c>
      <c r="E3256" s="8" t="n">
        <v>0</v>
      </c>
      <c r="F3256" s="8" t="n">
        <v>0</v>
      </c>
    </row>
    <row r="3257" customFormat="false" ht="15" hidden="false" customHeight="true" outlineLevel="0" collapsed="false">
      <c r="A3257" s="8" t="s">
        <v>186</v>
      </c>
      <c r="B3257" s="8" t="s">
        <v>1225</v>
      </c>
      <c r="C3257" s="8" t="n">
        <v>5</v>
      </c>
      <c r="D3257" s="8" t="n">
        <v>144.65</v>
      </c>
      <c r="E3257" s="8" t="n">
        <v>0</v>
      </c>
      <c r="F3257" s="8" t="n">
        <v>0</v>
      </c>
    </row>
    <row r="3258" customFormat="false" ht="15" hidden="false" customHeight="true" outlineLevel="0" collapsed="false">
      <c r="A3258" s="8" t="s">
        <v>239</v>
      </c>
      <c r="B3258" s="8" t="s">
        <v>1225</v>
      </c>
      <c r="C3258" s="8" t="n">
        <v>2</v>
      </c>
      <c r="D3258" s="8" t="n">
        <v>57.86</v>
      </c>
      <c r="E3258" s="8" t="n">
        <v>0</v>
      </c>
      <c r="F3258" s="8" t="n">
        <v>0</v>
      </c>
    </row>
    <row r="3259" customFormat="false" ht="15" hidden="false" customHeight="true" outlineLevel="0" collapsed="false">
      <c r="A3259" s="8" t="s">
        <v>210</v>
      </c>
      <c r="B3259" s="8" t="s">
        <v>1225</v>
      </c>
      <c r="C3259" s="8" t="n">
        <v>7</v>
      </c>
      <c r="D3259" s="8" t="n">
        <v>202.51</v>
      </c>
      <c r="E3259" s="8" t="n">
        <v>0</v>
      </c>
      <c r="F3259" s="8" t="n">
        <v>0</v>
      </c>
    </row>
    <row r="3260" customFormat="false" ht="15" hidden="false" customHeight="true" outlineLevel="0" collapsed="false">
      <c r="A3260" s="8" t="s">
        <v>241</v>
      </c>
      <c r="B3260" s="8" t="s">
        <v>1227</v>
      </c>
      <c r="C3260" s="8" t="n">
        <v>0</v>
      </c>
      <c r="D3260" s="8" t="n">
        <v>0</v>
      </c>
      <c r="E3260" s="8" t="n">
        <v>2</v>
      </c>
      <c r="F3260" s="8" t="n">
        <v>34</v>
      </c>
    </row>
    <row r="3261" customFormat="false" ht="15" hidden="false" customHeight="true" outlineLevel="0" collapsed="false">
      <c r="A3261" s="8" t="s">
        <v>219</v>
      </c>
      <c r="B3261" s="8" t="s">
        <v>1227</v>
      </c>
      <c r="C3261" s="8" t="n">
        <v>0</v>
      </c>
      <c r="D3261" s="8" t="n">
        <v>0</v>
      </c>
      <c r="E3261" s="8" t="n">
        <v>2</v>
      </c>
      <c r="F3261" s="8" t="n">
        <v>34</v>
      </c>
    </row>
    <row r="3262" customFormat="false" ht="15" hidden="false" customHeight="true" outlineLevel="0" collapsed="false">
      <c r="A3262" s="8" t="s">
        <v>292</v>
      </c>
      <c r="B3262" s="8" t="s">
        <v>1227</v>
      </c>
      <c r="C3262" s="8" t="n">
        <v>0</v>
      </c>
      <c r="D3262" s="8" t="n">
        <v>0</v>
      </c>
      <c r="E3262" s="8" t="n">
        <v>2</v>
      </c>
      <c r="F3262" s="8" t="n">
        <v>34</v>
      </c>
    </row>
    <row r="3263" customFormat="false" ht="15" hidden="false" customHeight="true" outlineLevel="0" collapsed="false">
      <c r="A3263" s="8" t="s">
        <v>223</v>
      </c>
      <c r="B3263" s="8" t="s">
        <v>1227</v>
      </c>
      <c r="C3263" s="8" t="n">
        <v>0</v>
      </c>
      <c r="D3263" s="8" t="n">
        <v>0</v>
      </c>
      <c r="E3263" s="8" t="n">
        <v>8</v>
      </c>
      <c r="F3263" s="8" t="n">
        <v>136</v>
      </c>
    </row>
    <row r="3264" customFormat="false" ht="15" hidden="false" customHeight="true" outlineLevel="0" collapsed="false">
      <c r="A3264" s="8" t="s">
        <v>271</v>
      </c>
      <c r="B3264" s="8" t="s">
        <v>1260</v>
      </c>
      <c r="C3264" s="8" t="n">
        <v>3</v>
      </c>
      <c r="D3264" s="8" t="n">
        <v>70.2</v>
      </c>
      <c r="E3264" s="8" t="n">
        <v>0</v>
      </c>
      <c r="F3264" s="8" t="n">
        <v>0</v>
      </c>
    </row>
    <row r="3265" customFormat="false" ht="15" hidden="false" customHeight="true" outlineLevel="0" collapsed="false">
      <c r="A3265" s="8" t="s">
        <v>246</v>
      </c>
      <c r="B3265" s="8" t="s">
        <v>1261</v>
      </c>
      <c r="C3265" s="8" t="n">
        <v>3</v>
      </c>
      <c r="D3265" s="8" t="n">
        <v>52.05</v>
      </c>
      <c r="E3265" s="8" t="n">
        <v>0</v>
      </c>
      <c r="F3265" s="8" t="n">
        <v>0</v>
      </c>
    </row>
    <row r="3266" customFormat="false" ht="15" hidden="false" customHeight="true" outlineLevel="0" collapsed="false">
      <c r="A3266" s="8" t="s">
        <v>202</v>
      </c>
      <c r="B3266" s="8" t="s">
        <v>1212</v>
      </c>
      <c r="C3266" s="8" t="n">
        <v>0</v>
      </c>
      <c r="D3266" s="8" t="n">
        <v>0</v>
      </c>
      <c r="E3266" s="8" t="n">
        <v>3</v>
      </c>
      <c r="F3266" s="8" t="n">
        <v>28.5</v>
      </c>
    </row>
    <row r="3267" customFormat="false" ht="15" hidden="false" customHeight="true" outlineLevel="0" collapsed="false">
      <c r="A3267" s="8" t="s">
        <v>251</v>
      </c>
      <c r="B3267" s="8" t="s">
        <v>1262</v>
      </c>
      <c r="C3267" s="8" t="n">
        <v>6</v>
      </c>
      <c r="D3267" s="8" t="n">
        <v>58.26</v>
      </c>
      <c r="E3267" s="8" t="n">
        <v>0</v>
      </c>
      <c r="F3267" s="8" t="n">
        <v>0</v>
      </c>
    </row>
    <row r="3268" customFormat="false" ht="15" hidden="false" customHeight="true" outlineLevel="0" collapsed="false">
      <c r="A3268" s="8" t="s">
        <v>172</v>
      </c>
      <c r="B3268" s="8" t="s">
        <v>1214</v>
      </c>
      <c r="C3268" s="8" t="n">
        <v>6</v>
      </c>
      <c r="D3268" s="8" t="n">
        <v>73.08</v>
      </c>
      <c r="E3268" s="8" t="n">
        <v>0</v>
      </c>
      <c r="F3268" s="8" t="n">
        <v>0</v>
      </c>
    </row>
    <row r="3269" customFormat="false" ht="15" hidden="false" customHeight="true" outlineLevel="0" collapsed="false">
      <c r="A3269" s="8" t="s">
        <v>269</v>
      </c>
      <c r="B3269" s="8" t="s">
        <v>1231</v>
      </c>
      <c r="C3269" s="8" t="n">
        <v>3</v>
      </c>
      <c r="D3269" s="8" t="n">
        <v>33.99</v>
      </c>
      <c r="E3269" s="8" t="n">
        <v>0</v>
      </c>
      <c r="F3269" s="8" t="n">
        <v>0</v>
      </c>
    </row>
    <row r="3270" customFormat="false" ht="15" hidden="false" customHeight="true" outlineLevel="0" collapsed="false">
      <c r="A3270" s="8" t="s">
        <v>317</v>
      </c>
      <c r="B3270" s="8" t="s">
        <v>621</v>
      </c>
      <c r="C3270" s="8" t="n">
        <v>2</v>
      </c>
      <c r="D3270" s="8" t="n">
        <v>98.6</v>
      </c>
      <c r="E3270" s="8" t="n">
        <v>0</v>
      </c>
      <c r="F3270" s="8" t="n">
        <v>0</v>
      </c>
    </row>
    <row r="3271" customFormat="false" ht="15" hidden="false" customHeight="true" outlineLevel="0" collapsed="false">
      <c r="A3271" s="8" t="s">
        <v>265</v>
      </c>
      <c r="B3271" s="8" t="s">
        <v>621</v>
      </c>
      <c r="C3271" s="8" t="n">
        <v>3</v>
      </c>
      <c r="D3271" s="8" t="n">
        <v>126</v>
      </c>
      <c r="E3271" s="8" t="n">
        <v>3</v>
      </c>
      <c r="F3271" s="8" t="n">
        <v>126</v>
      </c>
    </row>
    <row r="3272" customFormat="false" ht="15" hidden="false" customHeight="true" outlineLevel="0" collapsed="false">
      <c r="A3272" s="8" t="s">
        <v>276</v>
      </c>
      <c r="B3272" s="8" t="s">
        <v>621</v>
      </c>
      <c r="C3272" s="8" t="n">
        <v>3</v>
      </c>
      <c r="D3272" s="8" t="n">
        <v>126</v>
      </c>
      <c r="E3272" s="8" t="n">
        <v>3</v>
      </c>
      <c r="F3272" s="8" t="n">
        <v>126</v>
      </c>
    </row>
    <row r="3273" customFormat="false" ht="15" hidden="false" customHeight="true" outlineLevel="0" collapsed="false">
      <c r="A3273" s="8" t="s">
        <v>351</v>
      </c>
      <c r="B3273" s="8" t="s">
        <v>1281</v>
      </c>
      <c r="C3273" s="8" t="n">
        <v>0</v>
      </c>
      <c r="D3273" s="8" t="n">
        <v>0</v>
      </c>
      <c r="E3273" s="8" t="n">
        <v>6</v>
      </c>
      <c r="F3273" s="8" t="n">
        <v>141.6</v>
      </c>
    </row>
    <row r="3274" customFormat="false" ht="15" hidden="false" customHeight="true" outlineLevel="0" collapsed="false">
      <c r="A3274" s="8" t="s">
        <v>331</v>
      </c>
      <c r="B3274" s="8" t="s">
        <v>1255</v>
      </c>
      <c r="C3274" s="8" t="n">
        <v>0</v>
      </c>
      <c r="D3274" s="8" t="n">
        <v>0</v>
      </c>
      <c r="E3274" s="8" t="n">
        <v>6</v>
      </c>
      <c r="F3274" s="8" t="n">
        <v>141.6</v>
      </c>
    </row>
    <row r="3275" customFormat="false" ht="15" hidden="false" customHeight="true" outlineLevel="0" collapsed="false">
      <c r="A3275" s="8" t="s">
        <v>180</v>
      </c>
      <c r="B3275" s="8" t="s">
        <v>1216</v>
      </c>
      <c r="C3275" s="8" t="n">
        <v>12</v>
      </c>
      <c r="D3275" s="8" t="n">
        <v>198</v>
      </c>
      <c r="E3275" s="8" t="n">
        <v>0</v>
      </c>
      <c r="F3275" s="8" t="n">
        <v>0</v>
      </c>
    </row>
    <row r="3276" customFormat="false" ht="15" hidden="false" customHeight="true" outlineLevel="0" collapsed="false">
      <c r="A3276" s="8" t="s">
        <v>189</v>
      </c>
      <c r="B3276" s="8" t="s">
        <v>1216</v>
      </c>
      <c r="C3276" s="8" t="n">
        <v>9</v>
      </c>
      <c r="D3276" s="8" t="n">
        <v>148.5</v>
      </c>
      <c r="E3276" s="8" t="n">
        <v>0</v>
      </c>
      <c r="F3276" s="8" t="n">
        <v>0</v>
      </c>
    </row>
    <row r="3277" customFormat="false" ht="15" hidden="false" customHeight="true" outlineLevel="0" collapsed="false">
      <c r="A3277" s="8" t="s">
        <v>267</v>
      </c>
      <c r="B3277" s="8" t="s">
        <v>1216</v>
      </c>
      <c r="C3277" s="8" t="n">
        <v>2</v>
      </c>
      <c r="D3277" s="8" t="n">
        <v>33</v>
      </c>
      <c r="E3277" s="8" t="n">
        <v>2</v>
      </c>
      <c r="F3277" s="8" t="n">
        <v>33</v>
      </c>
    </row>
    <row r="3278" customFormat="false" ht="15" hidden="false" customHeight="true" outlineLevel="0" collapsed="false">
      <c r="A3278" s="8" t="s">
        <v>199</v>
      </c>
      <c r="B3278" s="8" t="s">
        <v>1216</v>
      </c>
      <c r="C3278" s="8" t="n">
        <v>5</v>
      </c>
      <c r="D3278" s="8" t="n">
        <v>82.5</v>
      </c>
      <c r="E3278" s="8" t="n">
        <v>5</v>
      </c>
      <c r="F3278" s="8" t="n">
        <v>82.5</v>
      </c>
    </row>
    <row r="3279" customFormat="false" ht="15" hidden="false" customHeight="true" outlineLevel="0" collapsed="false">
      <c r="A3279" s="8" t="s">
        <v>250</v>
      </c>
      <c r="B3279" s="8" t="s">
        <v>1216</v>
      </c>
      <c r="C3279" s="8" t="n">
        <v>5</v>
      </c>
      <c r="D3279" s="8" t="n">
        <v>82.5</v>
      </c>
      <c r="E3279" s="8" t="n">
        <v>0</v>
      </c>
      <c r="F3279" s="8" t="n">
        <v>0</v>
      </c>
    </row>
    <row r="3280" customFormat="false" ht="15" hidden="false" customHeight="true" outlineLevel="0" collapsed="false">
      <c r="A3280" s="8" t="s">
        <v>306</v>
      </c>
      <c r="B3280" s="8" t="s">
        <v>1283</v>
      </c>
      <c r="C3280" s="8" t="n">
        <v>1</v>
      </c>
      <c r="D3280" s="8" t="n">
        <v>195.73</v>
      </c>
      <c r="E3280" s="8" t="n">
        <v>0</v>
      </c>
      <c r="F3280" s="8" t="n">
        <v>0</v>
      </c>
    </row>
    <row r="3281" customFormat="false" ht="15" hidden="false" customHeight="true" outlineLevel="0" collapsed="false">
      <c r="A3281" s="8" t="s">
        <v>259</v>
      </c>
      <c r="B3281" s="8" t="s">
        <v>1265</v>
      </c>
      <c r="C3281" s="8" t="n">
        <v>1</v>
      </c>
      <c r="D3281" s="8" t="n">
        <v>126.57</v>
      </c>
      <c r="E3281" s="8" t="n">
        <v>0</v>
      </c>
      <c r="F3281" s="8" t="n">
        <v>0</v>
      </c>
    </row>
    <row r="3282" customFormat="false" ht="15" hidden="false" customHeight="true" outlineLevel="0" collapsed="false">
      <c r="A3282" s="8" t="s">
        <v>254</v>
      </c>
      <c r="B3282" s="8" t="s">
        <v>1265</v>
      </c>
      <c r="C3282" s="8" t="n">
        <v>1</v>
      </c>
      <c r="D3282" s="8" t="n">
        <v>126.57</v>
      </c>
      <c r="E3282" s="8" t="n">
        <v>0</v>
      </c>
      <c r="F3282" s="8" t="n">
        <v>0</v>
      </c>
    </row>
    <row r="3283" customFormat="false" ht="15" hidden="false" customHeight="true" outlineLevel="0" collapsed="false">
      <c r="A3283" s="8" t="s">
        <v>249</v>
      </c>
      <c r="B3283" s="8" t="s">
        <v>1285</v>
      </c>
      <c r="C3283" s="8" t="n">
        <v>5</v>
      </c>
      <c r="D3283" s="8" t="n">
        <v>681.5</v>
      </c>
      <c r="E3283" s="8" t="n">
        <v>0</v>
      </c>
      <c r="F3283" s="8" t="n">
        <v>0</v>
      </c>
    </row>
    <row r="3284" customFormat="false" ht="15" hidden="false" customHeight="true" outlineLevel="0" collapsed="false">
      <c r="A3284" s="8" t="s">
        <v>260</v>
      </c>
      <c r="B3284" s="8" t="s">
        <v>1285</v>
      </c>
      <c r="C3284" s="8" t="n">
        <v>5</v>
      </c>
      <c r="D3284" s="8" t="n">
        <v>681.5</v>
      </c>
      <c r="E3284" s="8" t="n">
        <v>0</v>
      </c>
      <c r="F3284" s="8" t="n">
        <v>0</v>
      </c>
    </row>
    <row r="3285" customFormat="false" ht="15" hidden="false" customHeight="true" outlineLevel="0" collapsed="false">
      <c r="A3285" s="8" t="s">
        <v>178</v>
      </c>
      <c r="B3285" s="8" t="s">
        <v>1236</v>
      </c>
      <c r="C3285" s="8" t="n">
        <v>2</v>
      </c>
      <c r="D3285" s="8" t="n">
        <v>70</v>
      </c>
      <c r="E3285" s="8" t="n">
        <v>0</v>
      </c>
      <c r="F3285" s="8" t="n">
        <v>0</v>
      </c>
    </row>
    <row r="3286" customFormat="false" ht="15" hidden="false" customHeight="true" outlineLevel="0" collapsed="false">
      <c r="A3286" s="8" t="s">
        <v>235</v>
      </c>
      <c r="B3286" s="8" t="s">
        <v>1236</v>
      </c>
      <c r="C3286" s="8" t="n">
        <v>2</v>
      </c>
      <c r="D3286" s="8" t="n">
        <v>70</v>
      </c>
      <c r="E3286" s="8" t="n">
        <v>0</v>
      </c>
      <c r="F3286" s="8" t="n">
        <v>0</v>
      </c>
    </row>
    <row r="3287" customFormat="false" ht="15" hidden="false" customHeight="true" outlineLevel="0" collapsed="false">
      <c r="A3287" s="8" t="s">
        <v>240</v>
      </c>
      <c r="B3287" s="8" t="s">
        <v>769</v>
      </c>
      <c r="C3287" s="8" t="n">
        <v>4</v>
      </c>
      <c r="D3287" s="8" t="n">
        <v>68</v>
      </c>
      <c r="E3287" s="8" t="n">
        <v>5</v>
      </c>
      <c r="F3287" s="8" t="n">
        <v>85</v>
      </c>
    </row>
    <row r="3288" customFormat="false" ht="15" hidden="false" customHeight="true" outlineLevel="0" collapsed="false">
      <c r="A3288" s="8" t="s">
        <v>234</v>
      </c>
      <c r="B3288" s="8" t="s">
        <v>769</v>
      </c>
      <c r="C3288" s="8" t="n">
        <v>8</v>
      </c>
      <c r="D3288" s="8" t="n">
        <v>136</v>
      </c>
      <c r="E3288" s="8" t="n">
        <v>4</v>
      </c>
      <c r="F3288" s="8" t="n">
        <v>68</v>
      </c>
    </row>
    <row r="3289" customFormat="false" ht="15" hidden="false" customHeight="true" outlineLevel="0" collapsed="false">
      <c r="A3289" s="8" t="s">
        <v>247</v>
      </c>
      <c r="B3289" s="8" t="s">
        <v>769</v>
      </c>
      <c r="C3289" s="8" t="n">
        <v>2</v>
      </c>
      <c r="D3289" s="8" t="n">
        <v>34</v>
      </c>
      <c r="E3289" s="8" t="n">
        <v>5</v>
      </c>
      <c r="F3289" s="8" t="n">
        <v>85</v>
      </c>
    </row>
    <row r="3290" customFormat="false" ht="15" hidden="false" customHeight="true" outlineLevel="0" collapsed="false">
      <c r="A3290" s="8" t="s">
        <v>182</v>
      </c>
      <c r="B3290" s="8" t="s">
        <v>799</v>
      </c>
      <c r="C3290" s="8" t="n">
        <v>5</v>
      </c>
      <c r="D3290" s="8" t="n">
        <v>100</v>
      </c>
      <c r="E3290" s="8" t="n">
        <v>0</v>
      </c>
      <c r="F3290" s="8" t="n">
        <v>0</v>
      </c>
    </row>
    <row r="3291" customFormat="false" ht="15" hidden="false" customHeight="true" outlineLevel="0" collapsed="false">
      <c r="A3291" s="8" t="s">
        <v>170</v>
      </c>
      <c r="B3291" s="8" t="s">
        <v>1220</v>
      </c>
      <c r="C3291" s="8" t="n">
        <v>12</v>
      </c>
      <c r="D3291" s="8" t="n">
        <v>177.6</v>
      </c>
      <c r="E3291" s="8" t="n">
        <v>0</v>
      </c>
      <c r="F3291" s="8" t="n">
        <v>0</v>
      </c>
    </row>
    <row r="3292" customFormat="false" ht="15" hidden="false" customHeight="true" outlineLevel="0" collapsed="false">
      <c r="A3292" s="8" t="s">
        <v>334</v>
      </c>
      <c r="B3292" s="8" t="s">
        <v>1276</v>
      </c>
      <c r="C3292" s="8" t="n">
        <v>5</v>
      </c>
      <c r="D3292" s="8" t="n">
        <v>81</v>
      </c>
      <c r="E3292" s="8" t="n">
        <v>0</v>
      </c>
      <c r="F3292" s="8" t="n">
        <v>0</v>
      </c>
    </row>
    <row r="3293" customFormat="false" ht="15" hidden="false" customHeight="true" outlineLevel="0" collapsed="false">
      <c r="A3293" s="8" t="s">
        <v>294</v>
      </c>
      <c r="B3293" s="8" t="s">
        <v>1289</v>
      </c>
      <c r="C3293" s="8" t="n">
        <v>5</v>
      </c>
      <c r="D3293" s="8" t="n">
        <v>72.25</v>
      </c>
      <c r="E3293" s="8" t="n">
        <v>0</v>
      </c>
      <c r="F3293" s="8" t="n">
        <v>0</v>
      </c>
    </row>
    <row r="3294" customFormat="false" ht="15" hidden="false" customHeight="true" outlineLevel="0" collapsed="false">
      <c r="A3294" s="8" t="s">
        <v>233</v>
      </c>
      <c r="B3294" s="8" t="s">
        <v>1249</v>
      </c>
      <c r="C3294" s="8" t="n">
        <v>5</v>
      </c>
      <c r="D3294" s="8" t="n">
        <v>89.75</v>
      </c>
      <c r="E3294" s="8" t="n">
        <v>0</v>
      </c>
      <c r="F3294" s="8" t="n">
        <v>0</v>
      </c>
    </row>
    <row r="3295" customFormat="false" ht="15" hidden="false" customHeight="true" outlineLevel="0" collapsed="false">
      <c r="A3295" s="8" t="s">
        <v>384</v>
      </c>
      <c r="B3295" s="8" t="s">
        <v>1293</v>
      </c>
      <c r="C3295" s="8" t="n">
        <v>2</v>
      </c>
      <c r="D3295" s="8" t="n">
        <v>147.6</v>
      </c>
      <c r="E3295" s="8" t="n">
        <v>0</v>
      </c>
      <c r="F3295" s="8" t="n">
        <v>0</v>
      </c>
    </row>
    <row r="3296" customFormat="false" ht="15" hidden="false" customHeight="true" outlineLevel="0" collapsed="false">
      <c r="A3296" s="8" t="s">
        <v>284</v>
      </c>
      <c r="B3296" s="8" t="s">
        <v>1267</v>
      </c>
      <c r="C3296" s="8" t="n">
        <v>0</v>
      </c>
      <c r="D3296" s="8" t="n">
        <v>0</v>
      </c>
      <c r="E3296" s="8" t="n">
        <v>1</v>
      </c>
      <c r="F3296" s="8" t="n">
        <v>128.71</v>
      </c>
    </row>
    <row r="3297" customFormat="false" ht="15" hidden="false" customHeight="true" outlineLevel="0" collapsed="false">
      <c r="A3297" s="8" t="s">
        <v>163</v>
      </c>
      <c r="B3297" s="8" t="s">
        <v>897</v>
      </c>
      <c r="C3297" s="8" t="n">
        <v>7</v>
      </c>
      <c r="D3297" s="8" t="n">
        <v>455</v>
      </c>
      <c r="E3297" s="8" t="n">
        <v>0</v>
      </c>
      <c r="F3297" s="8" t="n">
        <v>0</v>
      </c>
    </row>
    <row r="3298" customFormat="false" ht="15" hidden="false" customHeight="true" outlineLevel="0" collapsed="false">
      <c r="A3298" s="8" t="s">
        <v>165</v>
      </c>
      <c r="B3298" s="8" t="s">
        <v>897</v>
      </c>
      <c r="C3298" s="8" t="n">
        <v>7</v>
      </c>
      <c r="D3298" s="8" t="n">
        <v>455</v>
      </c>
      <c r="E3298" s="8" t="n">
        <v>0</v>
      </c>
      <c r="F3298" s="8" t="n">
        <v>0</v>
      </c>
    </row>
    <row r="3299" customFormat="false" ht="15" hidden="false" customHeight="true" outlineLevel="0" collapsed="false">
      <c r="A3299" s="8" t="s">
        <v>184</v>
      </c>
      <c r="B3299" s="8" t="s">
        <v>897</v>
      </c>
      <c r="C3299" s="8" t="n">
        <v>0</v>
      </c>
      <c r="D3299" s="8" t="n">
        <v>0</v>
      </c>
      <c r="E3299" s="8" t="n">
        <v>2</v>
      </c>
      <c r="F3299" s="8" t="n">
        <v>130</v>
      </c>
    </row>
    <row r="3300" customFormat="false" ht="15" hidden="false" customHeight="true" outlineLevel="0" collapsed="false">
      <c r="A3300" s="8" t="s">
        <v>161</v>
      </c>
      <c r="B3300" s="8" t="s">
        <v>1208</v>
      </c>
      <c r="C3300" s="8" t="n">
        <v>3</v>
      </c>
      <c r="D3300" s="8" t="n">
        <v>136.5</v>
      </c>
      <c r="E3300" s="8" t="n">
        <v>0</v>
      </c>
      <c r="F3300" s="8" t="n">
        <v>0</v>
      </c>
    </row>
    <row r="3301" customFormat="false" ht="15" hidden="false" customHeight="true" outlineLevel="0" collapsed="false">
      <c r="A3301" s="8" t="s">
        <v>162</v>
      </c>
      <c r="B3301" s="8" t="s">
        <v>1209</v>
      </c>
      <c r="C3301" s="8" t="n">
        <v>3</v>
      </c>
      <c r="D3301" s="8" t="n">
        <v>233.4</v>
      </c>
      <c r="E3301" s="8" t="n">
        <v>0</v>
      </c>
      <c r="F3301" s="8" t="n">
        <v>0</v>
      </c>
    </row>
    <row r="3302" customFormat="false" ht="15" hidden="false" customHeight="true" outlineLevel="0" collapsed="false">
      <c r="A3302" s="8" t="s">
        <v>166</v>
      </c>
      <c r="B3302" s="8" t="s">
        <v>1211</v>
      </c>
      <c r="C3302" s="8" t="n">
        <v>1</v>
      </c>
      <c r="D3302" s="8" t="n">
        <v>63.27</v>
      </c>
      <c r="E3302" s="8" t="n">
        <v>2</v>
      </c>
      <c r="F3302" s="8" t="n">
        <v>126.54</v>
      </c>
    </row>
    <row r="3303" customFormat="false" ht="15" hidden="false" customHeight="true" outlineLevel="0" collapsed="false">
      <c r="A3303" s="8" t="s">
        <v>164</v>
      </c>
      <c r="B3303" s="8" t="s">
        <v>1211</v>
      </c>
      <c r="C3303" s="8" t="n">
        <v>1</v>
      </c>
      <c r="D3303" s="8" t="n">
        <v>63.27</v>
      </c>
      <c r="E3303" s="8" t="n">
        <v>3</v>
      </c>
      <c r="F3303" s="8" t="n">
        <v>189.81</v>
      </c>
    </row>
    <row r="3304" customFormat="false" ht="15" hidden="false" customHeight="true" outlineLevel="0" collapsed="false">
      <c r="A3304" s="8" t="s">
        <v>180</v>
      </c>
      <c r="B3304" s="8" t="s">
        <v>1216</v>
      </c>
      <c r="C3304" s="8" t="n">
        <v>4</v>
      </c>
      <c r="D3304" s="8" t="n">
        <v>66</v>
      </c>
      <c r="E3304" s="8" t="n">
        <v>0</v>
      </c>
      <c r="F3304" s="8" t="n">
        <v>0</v>
      </c>
    </row>
    <row r="3305" customFormat="false" ht="15" hidden="false" customHeight="true" outlineLevel="0" collapsed="false">
      <c r="A3305" s="8" t="s">
        <v>189</v>
      </c>
      <c r="B3305" s="8" t="s">
        <v>1216</v>
      </c>
      <c r="C3305" s="8" t="n">
        <v>5</v>
      </c>
      <c r="D3305" s="8" t="n">
        <v>82.5</v>
      </c>
      <c r="E3305" s="8" t="n">
        <v>0</v>
      </c>
      <c r="F3305" s="8" t="n">
        <v>0</v>
      </c>
    </row>
    <row r="3306" customFormat="false" ht="15" hidden="false" customHeight="true" outlineLevel="0" collapsed="false">
      <c r="A3306" s="8" t="s">
        <v>199</v>
      </c>
      <c r="B3306" s="8" t="s">
        <v>1216</v>
      </c>
      <c r="C3306" s="8" t="n">
        <v>2</v>
      </c>
      <c r="D3306" s="8" t="n">
        <v>33</v>
      </c>
      <c r="E3306" s="8" t="n">
        <v>0</v>
      </c>
      <c r="F3306" s="8" t="n">
        <v>0</v>
      </c>
    </row>
    <row r="3307" customFormat="false" ht="15" hidden="false" customHeight="true" outlineLevel="0" collapsed="false">
      <c r="A3307" s="8" t="s">
        <v>250</v>
      </c>
      <c r="B3307" s="8" t="s">
        <v>1216</v>
      </c>
      <c r="C3307" s="8" t="n">
        <v>4</v>
      </c>
      <c r="D3307" s="8" t="n">
        <v>66</v>
      </c>
      <c r="E3307" s="8" t="n">
        <v>0</v>
      </c>
      <c r="F3307" s="8" t="n">
        <v>0</v>
      </c>
    </row>
    <row r="3308" customFormat="false" ht="15" hidden="false" customHeight="true" outlineLevel="0" collapsed="false">
      <c r="A3308" s="8" t="s">
        <v>182</v>
      </c>
      <c r="B3308" s="8" t="s">
        <v>799</v>
      </c>
      <c r="C3308" s="8" t="n">
        <v>6</v>
      </c>
      <c r="D3308" s="8" t="n">
        <v>120</v>
      </c>
      <c r="E3308" s="8" t="n">
        <v>0</v>
      </c>
      <c r="F3308" s="8" t="n">
        <v>0</v>
      </c>
    </row>
    <row r="3309" customFormat="false" ht="15" hidden="false" customHeight="true" outlineLevel="0" collapsed="false">
      <c r="A3309" s="8" t="s">
        <v>170</v>
      </c>
      <c r="B3309" s="8" t="s">
        <v>1220</v>
      </c>
      <c r="C3309" s="8" t="n">
        <v>6</v>
      </c>
      <c r="D3309" s="8" t="n">
        <v>88.8</v>
      </c>
      <c r="E3309" s="8" t="n">
        <v>6</v>
      </c>
      <c r="F3309" s="8" t="n">
        <v>88.8</v>
      </c>
    </row>
    <row r="3310" customFormat="false" ht="15" hidden="false" customHeight="true" outlineLevel="0" collapsed="false">
      <c r="A3310" s="8" t="s">
        <v>167</v>
      </c>
      <c r="B3310" s="8" t="s">
        <v>1238</v>
      </c>
      <c r="C3310" s="8" t="n">
        <v>2</v>
      </c>
      <c r="D3310" s="8" t="n">
        <v>26.8</v>
      </c>
      <c r="E3310" s="8" t="n">
        <v>0</v>
      </c>
      <c r="F3310" s="8" t="n">
        <v>0</v>
      </c>
    </row>
    <row r="3311" customFormat="false" ht="15" hidden="false" customHeight="true" outlineLevel="0" collapsed="false">
      <c r="A3311" s="8" t="s">
        <v>163</v>
      </c>
      <c r="B3311" s="8" t="s">
        <v>897</v>
      </c>
      <c r="C3311" s="8" t="n">
        <v>3</v>
      </c>
      <c r="D3311" s="8" t="n">
        <v>195</v>
      </c>
      <c r="E3311" s="8" t="n">
        <v>0</v>
      </c>
      <c r="F3311" s="8" t="n">
        <v>0</v>
      </c>
    </row>
    <row r="3312" customFormat="false" ht="15" hidden="false" customHeight="true" outlineLevel="0" collapsed="false">
      <c r="A3312" s="8" t="s">
        <v>165</v>
      </c>
      <c r="B3312" s="8" t="s">
        <v>897</v>
      </c>
      <c r="C3312" s="8" t="n">
        <v>3</v>
      </c>
      <c r="D3312" s="8" t="n">
        <v>195</v>
      </c>
      <c r="E3312" s="8" t="n">
        <v>0</v>
      </c>
      <c r="F3312" s="8" t="n">
        <v>0</v>
      </c>
    </row>
    <row r="3313" customFormat="false" ht="15" hidden="false" customHeight="true" outlineLevel="0" collapsed="false">
      <c r="A3313" s="8" t="s">
        <v>184</v>
      </c>
      <c r="B3313" s="8" t="s">
        <v>897</v>
      </c>
      <c r="C3313" s="8" t="n">
        <v>1</v>
      </c>
      <c r="D3313" s="8" t="n">
        <v>65</v>
      </c>
      <c r="E3313" s="8" t="n">
        <v>0</v>
      </c>
      <c r="F3313" s="8" t="n">
        <v>0</v>
      </c>
    </row>
    <row r="3314" customFormat="false" ht="15" hidden="false" customHeight="true" outlineLevel="0" collapsed="false">
      <c r="A3314" s="8" t="s">
        <v>173</v>
      </c>
      <c r="B3314" s="8" t="s">
        <v>1244</v>
      </c>
      <c r="C3314" s="8" t="n">
        <v>0</v>
      </c>
      <c r="D3314" s="8" t="n">
        <v>0</v>
      </c>
      <c r="E3314" s="8" t="n">
        <v>1</v>
      </c>
      <c r="F3314" s="8" t="n">
        <v>175.5</v>
      </c>
    </row>
    <row r="3315" customFormat="false" ht="15" hidden="false" customHeight="true" outlineLevel="0" collapsed="false">
      <c r="A3315" s="8" t="s">
        <v>177</v>
      </c>
      <c r="B3315" s="8" t="s">
        <v>1244</v>
      </c>
      <c r="C3315" s="8" t="n">
        <v>0</v>
      </c>
      <c r="D3315" s="8" t="n">
        <v>0</v>
      </c>
      <c r="E3315" s="8" t="n">
        <v>1</v>
      </c>
      <c r="F3315" s="8" t="n">
        <v>175.5</v>
      </c>
    </row>
    <row r="3316" customFormat="false" ht="15" hidden="false" customHeight="true" outlineLevel="0" collapsed="false">
      <c r="A3316" s="8" t="s">
        <v>204</v>
      </c>
      <c r="B3316" s="8" t="s">
        <v>1179</v>
      </c>
      <c r="C3316" s="8" t="n">
        <v>3</v>
      </c>
      <c r="D3316" s="8" t="n">
        <v>217.02</v>
      </c>
      <c r="E3316" s="8" t="n">
        <v>0</v>
      </c>
      <c r="F3316" s="8" t="n">
        <v>0</v>
      </c>
    </row>
    <row r="3317" customFormat="false" ht="15" hidden="false" customHeight="true" outlineLevel="0" collapsed="false">
      <c r="A3317" s="8" t="s">
        <v>190</v>
      </c>
      <c r="B3317" s="8" t="s">
        <v>1224</v>
      </c>
      <c r="C3317" s="8" t="n">
        <v>6</v>
      </c>
      <c r="D3317" s="8" t="n">
        <v>146.58</v>
      </c>
      <c r="E3317" s="8" t="n">
        <v>0</v>
      </c>
      <c r="F3317" s="8" t="n">
        <v>0</v>
      </c>
    </row>
    <row r="3318" customFormat="false" ht="15" hidden="false" customHeight="true" outlineLevel="0" collapsed="false">
      <c r="A3318" s="8" t="s">
        <v>183</v>
      </c>
      <c r="B3318" s="8" t="s">
        <v>1224</v>
      </c>
      <c r="C3318" s="8" t="n">
        <v>6</v>
      </c>
      <c r="D3318" s="8" t="n">
        <v>146.58</v>
      </c>
      <c r="E3318" s="8" t="n">
        <v>2</v>
      </c>
      <c r="F3318" s="8" t="n">
        <v>48.86</v>
      </c>
    </row>
    <row r="3319" customFormat="false" ht="15" hidden="false" customHeight="true" outlineLevel="0" collapsed="false">
      <c r="A3319" s="8" t="s">
        <v>218</v>
      </c>
      <c r="B3319" s="8" t="s">
        <v>1224</v>
      </c>
      <c r="C3319" s="8" t="n">
        <v>2</v>
      </c>
      <c r="D3319" s="8" t="n">
        <v>48.86</v>
      </c>
      <c r="E3319" s="8" t="n">
        <v>0</v>
      </c>
      <c r="F3319" s="8" t="n">
        <v>0</v>
      </c>
    </row>
    <row r="3320" customFormat="false" ht="15" hidden="false" customHeight="true" outlineLevel="0" collapsed="false">
      <c r="A3320" s="8" t="s">
        <v>161</v>
      </c>
      <c r="B3320" s="8" t="s">
        <v>1208</v>
      </c>
      <c r="C3320" s="8" t="n">
        <v>20</v>
      </c>
      <c r="D3320" s="8" t="n">
        <v>910</v>
      </c>
      <c r="E3320" s="8" t="n">
        <v>0</v>
      </c>
      <c r="F3320" s="8" t="n">
        <v>0</v>
      </c>
    </row>
    <row r="3321" customFormat="false" ht="15" hidden="false" customHeight="true" outlineLevel="0" collapsed="false">
      <c r="A3321" s="8" t="s">
        <v>162</v>
      </c>
      <c r="B3321" s="8" t="s">
        <v>1209</v>
      </c>
      <c r="C3321" s="8" t="n">
        <v>15</v>
      </c>
      <c r="D3321" s="8" t="n">
        <v>1167</v>
      </c>
      <c r="E3321" s="8" t="n">
        <v>0</v>
      </c>
      <c r="F3321" s="8" t="n">
        <v>0</v>
      </c>
    </row>
    <row r="3322" customFormat="false" ht="15" hidden="false" customHeight="true" outlineLevel="0" collapsed="false">
      <c r="A3322" s="8" t="s">
        <v>188</v>
      </c>
      <c r="B3322" s="8" t="s">
        <v>1225</v>
      </c>
      <c r="C3322" s="8" t="n">
        <v>5</v>
      </c>
      <c r="D3322" s="8" t="n">
        <v>144.65</v>
      </c>
      <c r="E3322" s="8" t="n">
        <v>10</v>
      </c>
      <c r="F3322" s="8" t="n">
        <v>289.3</v>
      </c>
    </row>
    <row r="3323" customFormat="false" ht="15" hidden="false" customHeight="true" outlineLevel="0" collapsed="false">
      <c r="A3323" s="8" t="s">
        <v>210</v>
      </c>
      <c r="B3323" s="8" t="s">
        <v>1225</v>
      </c>
      <c r="C3323" s="8" t="n">
        <v>2</v>
      </c>
      <c r="D3323" s="8" t="n">
        <v>57.86</v>
      </c>
      <c r="E3323" s="8" t="n">
        <v>2</v>
      </c>
      <c r="F3323" s="8" t="n">
        <v>57.86</v>
      </c>
    </row>
    <row r="3324" customFormat="false" ht="15" hidden="false" customHeight="true" outlineLevel="0" collapsed="false">
      <c r="A3324" s="8" t="s">
        <v>241</v>
      </c>
      <c r="B3324" s="8" t="s">
        <v>1227</v>
      </c>
      <c r="C3324" s="8" t="n">
        <v>1</v>
      </c>
      <c r="D3324" s="8" t="n">
        <v>17</v>
      </c>
      <c r="E3324" s="8" t="n">
        <v>2</v>
      </c>
      <c r="F3324" s="8" t="n">
        <v>34</v>
      </c>
    </row>
    <row r="3325" customFormat="false" ht="15" hidden="false" customHeight="true" outlineLevel="0" collapsed="false">
      <c r="A3325" s="8" t="s">
        <v>232</v>
      </c>
      <c r="B3325" s="8" t="s">
        <v>1233</v>
      </c>
      <c r="C3325" s="8" t="n">
        <v>4</v>
      </c>
      <c r="D3325" s="8" t="n">
        <v>64.8</v>
      </c>
      <c r="E3325" s="8" t="n">
        <v>0</v>
      </c>
      <c r="F3325" s="8" t="n">
        <v>0</v>
      </c>
    </row>
    <row r="3326" customFormat="false" ht="15" hidden="false" customHeight="true" outlineLevel="0" collapsed="false">
      <c r="A3326" s="8" t="s">
        <v>215</v>
      </c>
      <c r="B3326" s="8" t="s">
        <v>1233</v>
      </c>
      <c r="C3326" s="8" t="n">
        <v>15</v>
      </c>
      <c r="D3326" s="8" t="n">
        <v>267.3</v>
      </c>
      <c r="E3326" s="8" t="n">
        <v>10</v>
      </c>
      <c r="F3326" s="8" t="n">
        <v>178.2</v>
      </c>
    </row>
    <row r="3327" customFormat="false" ht="15" hidden="false" customHeight="true" outlineLevel="0" collapsed="false">
      <c r="A3327" s="8" t="s">
        <v>180</v>
      </c>
      <c r="B3327" s="8" t="s">
        <v>1216</v>
      </c>
      <c r="C3327" s="8" t="n">
        <v>5</v>
      </c>
      <c r="D3327" s="8" t="n">
        <v>82.5</v>
      </c>
      <c r="E3327" s="8" t="n">
        <v>0</v>
      </c>
      <c r="F3327" s="8" t="n">
        <v>0</v>
      </c>
    </row>
    <row r="3328" customFormat="false" ht="15" hidden="false" customHeight="true" outlineLevel="0" collapsed="false">
      <c r="A3328" s="8" t="s">
        <v>189</v>
      </c>
      <c r="B3328" s="8" t="s">
        <v>1216</v>
      </c>
      <c r="C3328" s="8" t="n">
        <v>8</v>
      </c>
      <c r="D3328" s="8" t="n">
        <v>132</v>
      </c>
      <c r="E3328" s="8" t="n">
        <v>0</v>
      </c>
      <c r="F3328" s="8" t="n">
        <v>0</v>
      </c>
    </row>
    <row r="3329" customFormat="false" ht="15" hidden="false" customHeight="true" outlineLevel="0" collapsed="false">
      <c r="A3329" s="8" t="s">
        <v>267</v>
      </c>
      <c r="B3329" s="8" t="s">
        <v>1216</v>
      </c>
      <c r="C3329" s="8" t="n">
        <v>16</v>
      </c>
      <c r="D3329" s="8" t="n">
        <v>264</v>
      </c>
      <c r="E3329" s="8" t="n">
        <v>0</v>
      </c>
      <c r="F3329" s="8" t="n">
        <v>0</v>
      </c>
    </row>
    <row r="3330" customFormat="false" ht="15" hidden="false" customHeight="true" outlineLevel="0" collapsed="false">
      <c r="A3330" s="8" t="s">
        <v>250</v>
      </c>
      <c r="B3330" s="8" t="s">
        <v>1216</v>
      </c>
      <c r="C3330" s="8" t="n">
        <v>3</v>
      </c>
      <c r="D3330" s="8" t="n">
        <v>49.5</v>
      </c>
      <c r="E3330" s="8" t="n">
        <v>0</v>
      </c>
      <c r="F3330" s="8" t="n">
        <v>0</v>
      </c>
    </row>
    <row r="3331" customFormat="false" ht="15" hidden="false" customHeight="true" outlineLevel="0" collapsed="false">
      <c r="A3331" s="8" t="s">
        <v>198</v>
      </c>
      <c r="B3331" s="8" t="s">
        <v>1217</v>
      </c>
      <c r="C3331" s="8" t="n">
        <v>5</v>
      </c>
      <c r="D3331" s="8" t="n">
        <v>102.5</v>
      </c>
      <c r="E3331" s="8" t="n">
        <v>0</v>
      </c>
      <c r="F3331" s="8" t="n">
        <v>0</v>
      </c>
    </row>
    <row r="3332" customFormat="false" ht="15" hidden="false" customHeight="true" outlineLevel="0" collapsed="false">
      <c r="A3332" s="8" t="s">
        <v>193</v>
      </c>
      <c r="B3332" s="8" t="s">
        <v>1217</v>
      </c>
      <c r="C3332" s="8" t="n">
        <v>4</v>
      </c>
      <c r="D3332" s="8" t="n">
        <v>82</v>
      </c>
      <c r="E3332" s="8" t="n">
        <v>2</v>
      </c>
      <c r="F3332" s="8" t="n">
        <v>41</v>
      </c>
    </row>
    <row r="3333" customFormat="false" ht="15" hidden="false" customHeight="true" outlineLevel="0" collapsed="false">
      <c r="A3333" s="8" t="s">
        <v>205</v>
      </c>
      <c r="B3333" s="8" t="s">
        <v>1217</v>
      </c>
      <c r="C3333" s="8" t="n">
        <v>2</v>
      </c>
      <c r="D3333" s="8" t="n">
        <v>41</v>
      </c>
      <c r="E3333" s="8" t="n">
        <v>2</v>
      </c>
      <c r="F3333" s="8" t="n">
        <v>41</v>
      </c>
    </row>
    <row r="3334" customFormat="false" ht="15" hidden="false" customHeight="true" outlineLevel="0" collapsed="false">
      <c r="A3334" s="8" t="s">
        <v>256</v>
      </c>
      <c r="B3334" s="8" t="s">
        <v>1217</v>
      </c>
      <c r="C3334" s="8" t="n">
        <v>3</v>
      </c>
      <c r="D3334" s="8" t="n">
        <v>61.5</v>
      </c>
      <c r="E3334" s="8" t="n">
        <v>0</v>
      </c>
      <c r="F3334" s="8" t="n">
        <v>0</v>
      </c>
    </row>
    <row r="3335" customFormat="false" ht="15" hidden="false" customHeight="true" outlineLevel="0" collapsed="false">
      <c r="A3335" s="8" t="s">
        <v>277</v>
      </c>
      <c r="B3335" s="8" t="s">
        <v>1285</v>
      </c>
      <c r="C3335" s="8" t="n">
        <v>2</v>
      </c>
      <c r="D3335" s="8" t="n">
        <v>272.6</v>
      </c>
      <c r="E3335" s="8" t="n">
        <v>0</v>
      </c>
      <c r="F3335" s="8" t="n">
        <v>0</v>
      </c>
    </row>
    <row r="3336" customFormat="false" ht="15" hidden="false" customHeight="true" outlineLevel="0" collapsed="false">
      <c r="A3336" s="8" t="s">
        <v>249</v>
      </c>
      <c r="B3336" s="8" t="s">
        <v>1285</v>
      </c>
      <c r="C3336" s="8" t="n">
        <v>1</v>
      </c>
      <c r="D3336" s="8" t="n">
        <v>136.3</v>
      </c>
      <c r="E3336" s="8" t="n">
        <v>0</v>
      </c>
      <c r="F3336" s="8" t="n">
        <v>0</v>
      </c>
    </row>
    <row r="3337" customFormat="false" ht="15" hidden="false" customHeight="true" outlineLevel="0" collapsed="false">
      <c r="A3337" s="8" t="s">
        <v>356</v>
      </c>
      <c r="B3337" s="8" t="s">
        <v>1285</v>
      </c>
      <c r="C3337" s="8" t="n">
        <v>1</v>
      </c>
      <c r="D3337" s="8" t="n">
        <v>136.3</v>
      </c>
      <c r="E3337" s="8" t="n">
        <v>1</v>
      </c>
      <c r="F3337" s="8" t="n">
        <v>136.3</v>
      </c>
    </row>
    <row r="3338" customFormat="false" ht="15" hidden="false" customHeight="true" outlineLevel="0" collapsed="false">
      <c r="A3338" s="8" t="s">
        <v>234</v>
      </c>
      <c r="B3338" s="8" t="s">
        <v>769</v>
      </c>
      <c r="C3338" s="8" t="n">
        <v>2</v>
      </c>
      <c r="D3338" s="8" t="n">
        <v>34</v>
      </c>
      <c r="E3338" s="8" t="n">
        <v>2</v>
      </c>
      <c r="F3338" s="8" t="n">
        <v>34</v>
      </c>
    </row>
    <row r="3339" customFormat="false" ht="15" hidden="false" customHeight="true" outlineLevel="0" collapsed="false">
      <c r="A3339" s="8" t="s">
        <v>182</v>
      </c>
      <c r="B3339" s="8" t="s">
        <v>799</v>
      </c>
      <c r="C3339" s="8" t="n">
        <v>7</v>
      </c>
      <c r="D3339" s="8" t="n">
        <v>140</v>
      </c>
      <c r="E3339" s="8" t="n">
        <v>0</v>
      </c>
      <c r="F3339" s="8" t="n">
        <v>0</v>
      </c>
    </row>
    <row r="3340" customFormat="false" ht="15" hidden="false" customHeight="true" outlineLevel="0" collapsed="false">
      <c r="A3340" s="8" t="s">
        <v>175</v>
      </c>
      <c r="B3340" s="8" t="s">
        <v>1244</v>
      </c>
      <c r="C3340" s="8" t="n">
        <v>0</v>
      </c>
      <c r="D3340" s="8" t="n">
        <v>0</v>
      </c>
      <c r="E3340" s="8" t="n">
        <v>2</v>
      </c>
      <c r="F3340" s="8" t="n">
        <v>351</v>
      </c>
    </row>
    <row r="3341" customFormat="false" ht="15" hidden="false" customHeight="true" outlineLevel="0" collapsed="false">
      <c r="A3341" s="8" t="s">
        <v>173</v>
      </c>
      <c r="B3341" s="8" t="s">
        <v>1244</v>
      </c>
      <c r="C3341" s="8" t="n">
        <v>2</v>
      </c>
      <c r="D3341" s="8" t="n">
        <v>351</v>
      </c>
      <c r="E3341" s="8" t="n">
        <v>2</v>
      </c>
      <c r="F3341" s="8" t="n">
        <v>351</v>
      </c>
    </row>
    <row r="3342" customFormat="false" ht="15" hidden="false" customHeight="true" outlineLevel="0" collapsed="false">
      <c r="A3342" s="8" t="s">
        <v>191</v>
      </c>
      <c r="B3342" s="8" t="s">
        <v>1179</v>
      </c>
      <c r="C3342" s="8" t="n">
        <v>0</v>
      </c>
      <c r="D3342" s="8" t="n">
        <v>0</v>
      </c>
      <c r="E3342" s="8" t="n">
        <v>2</v>
      </c>
      <c r="F3342" s="8" t="n">
        <v>144.68</v>
      </c>
    </row>
    <row r="3343" customFormat="false" ht="15" hidden="false" customHeight="true" outlineLevel="0" collapsed="false">
      <c r="A3343" s="8" t="s">
        <v>183</v>
      </c>
      <c r="B3343" s="8" t="s">
        <v>1224</v>
      </c>
      <c r="C3343" s="8" t="n">
        <v>8</v>
      </c>
      <c r="D3343" s="8" t="n">
        <v>195.44</v>
      </c>
      <c r="E3343" s="8" t="n">
        <v>0</v>
      </c>
      <c r="F3343" s="8" t="n">
        <v>0</v>
      </c>
    </row>
    <row r="3344" customFormat="false" ht="15" hidden="false" customHeight="true" outlineLevel="0" collapsed="false">
      <c r="A3344" s="8" t="s">
        <v>218</v>
      </c>
      <c r="B3344" s="8" t="s">
        <v>1224</v>
      </c>
      <c r="C3344" s="8" t="n">
        <v>0</v>
      </c>
      <c r="D3344" s="8" t="n">
        <v>0</v>
      </c>
      <c r="E3344" s="8" t="n">
        <v>3</v>
      </c>
      <c r="F3344" s="8" t="n">
        <v>73.29</v>
      </c>
    </row>
    <row r="3345" customFormat="false" ht="15" hidden="false" customHeight="true" outlineLevel="0" collapsed="false">
      <c r="A3345" s="8" t="s">
        <v>231</v>
      </c>
      <c r="B3345" s="8" t="s">
        <v>1224</v>
      </c>
      <c r="C3345" s="8" t="n">
        <v>5</v>
      </c>
      <c r="D3345" s="8" t="n">
        <v>122.15</v>
      </c>
      <c r="E3345" s="8" t="n">
        <v>0</v>
      </c>
      <c r="F3345" s="8" t="n">
        <v>0</v>
      </c>
    </row>
    <row r="3346" customFormat="false" ht="15" hidden="false" customHeight="true" outlineLevel="0" collapsed="false">
      <c r="A3346" s="8" t="s">
        <v>161</v>
      </c>
      <c r="B3346" s="8" t="s">
        <v>1208</v>
      </c>
      <c r="C3346" s="8" t="n">
        <v>13</v>
      </c>
      <c r="D3346" s="8" t="n">
        <v>591.5</v>
      </c>
      <c r="E3346" s="8" t="n">
        <v>0</v>
      </c>
      <c r="F3346" s="8" t="n">
        <v>0</v>
      </c>
    </row>
    <row r="3347" customFormat="false" ht="15" hidden="false" customHeight="true" outlineLevel="0" collapsed="false">
      <c r="A3347" s="8" t="s">
        <v>162</v>
      </c>
      <c r="B3347" s="8" t="s">
        <v>1209</v>
      </c>
      <c r="C3347" s="8" t="n">
        <v>2</v>
      </c>
      <c r="D3347" s="8" t="n">
        <v>155.6</v>
      </c>
      <c r="E3347" s="8" t="n">
        <v>0</v>
      </c>
      <c r="F3347" s="8" t="n">
        <v>0</v>
      </c>
    </row>
    <row r="3348" customFormat="false" ht="15" hidden="false" customHeight="true" outlineLevel="0" collapsed="false">
      <c r="A3348" s="8" t="s">
        <v>166</v>
      </c>
      <c r="B3348" s="8" t="s">
        <v>1211</v>
      </c>
      <c r="C3348" s="8" t="n">
        <v>7</v>
      </c>
      <c r="D3348" s="8" t="n">
        <v>442.89</v>
      </c>
      <c r="E3348" s="8" t="n">
        <v>5</v>
      </c>
      <c r="F3348" s="8" t="n">
        <v>316.35</v>
      </c>
    </row>
    <row r="3349" customFormat="false" ht="15" hidden="false" customHeight="true" outlineLevel="0" collapsed="false">
      <c r="A3349" s="8" t="s">
        <v>164</v>
      </c>
      <c r="B3349" s="8" t="s">
        <v>1211</v>
      </c>
      <c r="C3349" s="8" t="n">
        <v>5</v>
      </c>
      <c r="D3349" s="8" t="n">
        <v>316.35</v>
      </c>
      <c r="E3349" s="8" t="n">
        <v>0</v>
      </c>
      <c r="F3349" s="8" t="n">
        <v>0</v>
      </c>
    </row>
    <row r="3350" customFormat="false" ht="15" hidden="false" customHeight="true" outlineLevel="0" collapsed="false">
      <c r="A3350" s="8" t="s">
        <v>187</v>
      </c>
      <c r="B3350" s="8" t="s">
        <v>1211</v>
      </c>
      <c r="C3350" s="8" t="n">
        <v>2</v>
      </c>
      <c r="D3350" s="8" t="n">
        <v>126.54</v>
      </c>
      <c r="E3350" s="8" t="n">
        <v>0</v>
      </c>
      <c r="F3350" s="8" t="n">
        <v>0</v>
      </c>
    </row>
    <row r="3351" customFormat="false" ht="15" hidden="false" customHeight="true" outlineLevel="0" collapsed="false">
      <c r="A3351" s="8" t="s">
        <v>270</v>
      </c>
      <c r="B3351" s="8" t="s">
        <v>1251</v>
      </c>
      <c r="C3351" s="8" t="n">
        <v>3</v>
      </c>
      <c r="D3351" s="8" t="n">
        <v>29.46</v>
      </c>
      <c r="E3351" s="8" t="n">
        <v>0</v>
      </c>
      <c r="F3351" s="8" t="n">
        <v>0</v>
      </c>
    </row>
    <row r="3352" customFormat="false" ht="15" hidden="false" customHeight="true" outlineLevel="0" collapsed="false">
      <c r="A3352" s="8" t="s">
        <v>214</v>
      </c>
      <c r="B3352" s="8" t="s">
        <v>1226</v>
      </c>
      <c r="C3352" s="8" t="n">
        <v>0</v>
      </c>
      <c r="D3352" s="8" t="n">
        <v>0</v>
      </c>
      <c r="E3352" s="8" t="n">
        <v>3</v>
      </c>
      <c r="F3352" s="8" t="n">
        <v>126.51</v>
      </c>
    </row>
    <row r="3353" customFormat="false" ht="15" hidden="false" customHeight="true" outlineLevel="0" collapsed="false">
      <c r="A3353" s="8" t="s">
        <v>241</v>
      </c>
      <c r="B3353" s="8" t="s">
        <v>1227</v>
      </c>
      <c r="C3353" s="8" t="n">
        <v>0</v>
      </c>
      <c r="D3353" s="8" t="n">
        <v>0</v>
      </c>
      <c r="E3353" s="8" t="n">
        <v>3</v>
      </c>
      <c r="F3353" s="8" t="n">
        <v>51</v>
      </c>
    </row>
    <row r="3354" customFormat="false" ht="15" hidden="false" customHeight="true" outlineLevel="0" collapsed="false">
      <c r="A3354" s="8" t="s">
        <v>219</v>
      </c>
      <c r="B3354" s="8" t="s">
        <v>1227</v>
      </c>
      <c r="C3354" s="8" t="n">
        <v>2</v>
      </c>
      <c r="D3354" s="8" t="n">
        <v>34</v>
      </c>
      <c r="E3354" s="8" t="n">
        <v>2</v>
      </c>
      <c r="F3354" s="8" t="n">
        <v>34</v>
      </c>
    </row>
    <row r="3355" customFormat="false" ht="15" hidden="false" customHeight="true" outlineLevel="0" collapsed="false">
      <c r="A3355" s="8" t="s">
        <v>223</v>
      </c>
      <c r="B3355" s="8" t="s">
        <v>1227</v>
      </c>
      <c r="C3355" s="8" t="n">
        <v>5</v>
      </c>
      <c r="D3355" s="8" t="n">
        <v>85</v>
      </c>
      <c r="E3355" s="8" t="n">
        <v>0</v>
      </c>
      <c r="F3355" s="8" t="n">
        <v>0</v>
      </c>
    </row>
    <row r="3356" customFormat="false" ht="15" hidden="false" customHeight="true" outlineLevel="0" collapsed="false">
      <c r="A3356" s="8" t="s">
        <v>198</v>
      </c>
      <c r="B3356" s="8" t="s">
        <v>1217</v>
      </c>
      <c r="C3356" s="8" t="n">
        <v>8</v>
      </c>
      <c r="D3356" s="8" t="n">
        <v>164</v>
      </c>
      <c r="E3356" s="8" t="n">
        <v>0</v>
      </c>
      <c r="F3356" s="8" t="n">
        <v>0</v>
      </c>
    </row>
    <row r="3357" customFormat="false" ht="15" hidden="false" customHeight="true" outlineLevel="0" collapsed="false">
      <c r="A3357" s="8" t="s">
        <v>193</v>
      </c>
      <c r="B3357" s="8" t="s">
        <v>1217</v>
      </c>
      <c r="C3357" s="8" t="n">
        <v>13</v>
      </c>
      <c r="D3357" s="8" t="n">
        <v>266.5</v>
      </c>
      <c r="E3357" s="8" t="n">
        <v>0</v>
      </c>
      <c r="F3357" s="8" t="n">
        <v>0</v>
      </c>
    </row>
    <row r="3358" customFormat="false" ht="15" hidden="false" customHeight="true" outlineLevel="0" collapsed="false">
      <c r="A3358" s="8" t="s">
        <v>260</v>
      </c>
      <c r="B3358" s="8" t="s">
        <v>1285</v>
      </c>
      <c r="C3358" s="8" t="n">
        <v>2</v>
      </c>
      <c r="D3358" s="8" t="n">
        <v>272.6</v>
      </c>
      <c r="E3358" s="8" t="n">
        <v>0</v>
      </c>
      <c r="F3358" s="8" t="n">
        <v>0</v>
      </c>
    </row>
    <row r="3359" customFormat="false" ht="15" hidden="false" customHeight="true" outlineLevel="0" collapsed="false">
      <c r="A3359" s="8" t="s">
        <v>176</v>
      </c>
      <c r="B3359" s="8" t="s">
        <v>1236</v>
      </c>
      <c r="C3359" s="8" t="n">
        <v>2</v>
      </c>
      <c r="D3359" s="8" t="n">
        <v>70</v>
      </c>
      <c r="E3359" s="8" t="n">
        <v>0</v>
      </c>
      <c r="F3359" s="8" t="n">
        <v>0</v>
      </c>
    </row>
    <row r="3360" customFormat="false" ht="15" hidden="false" customHeight="true" outlineLevel="0" collapsed="false">
      <c r="A3360" s="8" t="s">
        <v>274</v>
      </c>
      <c r="B3360" s="8" t="s">
        <v>1219</v>
      </c>
      <c r="C3360" s="8" t="n">
        <v>3</v>
      </c>
      <c r="D3360" s="8" t="n">
        <v>26.19</v>
      </c>
      <c r="E3360" s="8" t="n">
        <v>0</v>
      </c>
      <c r="F3360" s="8" t="n">
        <v>0</v>
      </c>
    </row>
    <row r="3361" customFormat="false" ht="15" hidden="false" customHeight="true" outlineLevel="0" collapsed="false">
      <c r="A3361" s="8" t="s">
        <v>170</v>
      </c>
      <c r="B3361" s="8" t="s">
        <v>1220</v>
      </c>
      <c r="C3361" s="8" t="n">
        <v>30</v>
      </c>
      <c r="D3361" s="8" t="n">
        <v>444</v>
      </c>
      <c r="E3361" s="8" t="n">
        <v>0</v>
      </c>
      <c r="F3361" s="8" t="n">
        <v>0</v>
      </c>
    </row>
    <row r="3362" customFormat="false" ht="15" hidden="false" customHeight="true" outlineLevel="0" collapsed="false">
      <c r="A3362" s="8" t="s">
        <v>163</v>
      </c>
      <c r="B3362" s="8" t="s">
        <v>897</v>
      </c>
      <c r="C3362" s="8" t="n">
        <v>0</v>
      </c>
      <c r="D3362" s="8" t="n">
        <v>0</v>
      </c>
      <c r="E3362" s="8" t="n">
        <v>4</v>
      </c>
      <c r="F3362" s="8" t="n">
        <v>260</v>
      </c>
    </row>
    <row r="3363" customFormat="false" ht="15" hidden="false" customHeight="true" outlineLevel="0" collapsed="false">
      <c r="A3363" s="8" t="s">
        <v>181</v>
      </c>
      <c r="B3363" s="8" t="s">
        <v>897</v>
      </c>
      <c r="C3363" s="8" t="n">
        <v>0</v>
      </c>
      <c r="D3363" s="8" t="n">
        <v>0</v>
      </c>
      <c r="E3363" s="8" t="n">
        <v>4</v>
      </c>
      <c r="F3363" s="8" t="n">
        <v>260</v>
      </c>
    </row>
    <row r="3364" customFormat="false" ht="15" hidden="false" customHeight="true" outlineLevel="0" collapsed="false">
      <c r="A3364" s="8" t="s">
        <v>165</v>
      </c>
      <c r="B3364" s="8" t="s">
        <v>897</v>
      </c>
      <c r="C3364" s="8" t="n">
        <v>3</v>
      </c>
      <c r="D3364" s="8" t="n">
        <v>195</v>
      </c>
      <c r="E3364" s="8" t="n">
        <v>4</v>
      </c>
      <c r="F3364" s="8" t="n">
        <v>260</v>
      </c>
    </row>
    <row r="3365" customFormat="false" ht="15" hidden="false" customHeight="true" outlineLevel="0" collapsed="false">
      <c r="A3365" s="8" t="s">
        <v>161</v>
      </c>
      <c r="B3365" s="8" t="s">
        <v>1208</v>
      </c>
      <c r="C3365" s="8" t="n">
        <v>16</v>
      </c>
      <c r="D3365" s="8" t="n">
        <v>728</v>
      </c>
      <c r="E3365" s="8" t="n">
        <v>0</v>
      </c>
      <c r="F3365" s="8" t="n">
        <v>0</v>
      </c>
    </row>
    <row r="3366" customFormat="false" ht="15" hidden="false" customHeight="true" outlineLevel="0" collapsed="false">
      <c r="A3366" s="8" t="s">
        <v>162</v>
      </c>
      <c r="B3366" s="8" t="s">
        <v>1209</v>
      </c>
      <c r="C3366" s="8" t="n">
        <v>12</v>
      </c>
      <c r="D3366" s="8" t="n">
        <v>933.6</v>
      </c>
      <c r="E3366" s="8" t="n">
        <v>0</v>
      </c>
      <c r="F3366" s="8" t="n">
        <v>0</v>
      </c>
    </row>
    <row r="3367" customFormat="false" ht="15" hidden="false" customHeight="true" outlineLevel="0" collapsed="false">
      <c r="A3367" s="8" t="s">
        <v>166</v>
      </c>
      <c r="B3367" s="8" t="s">
        <v>1211</v>
      </c>
      <c r="C3367" s="8" t="n">
        <v>0</v>
      </c>
      <c r="D3367" s="8" t="n">
        <v>0</v>
      </c>
      <c r="E3367" s="8" t="n">
        <v>2</v>
      </c>
      <c r="F3367" s="8" t="n">
        <v>126.54</v>
      </c>
    </row>
    <row r="3368" customFormat="false" ht="15" hidden="false" customHeight="true" outlineLevel="0" collapsed="false">
      <c r="A3368" s="8" t="s">
        <v>188</v>
      </c>
      <c r="B3368" s="8" t="s">
        <v>1225</v>
      </c>
      <c r="C3368" s="8" t="n">
        <v>0</v>
      </c>
      <c r="D3368" s="8" t="n">
        <v>0</v>
      </c>
      <c r="E3368" s="8" t="n">
        <v>3</v>
      </c>
      <c r="F3368" s="8" t="n">
        <v>86.79</v>
      </c>
    </row>
    <row r="3369" customFormat="false" ht="15" hidden="false" customHeight="true" outlineLevel="0" collapsed="false">
      <c r="A3369" s="8" t="s">
        <v>186</v>
      </c>
      <c r="B3369" s="8" t="s">
        <v>1225</v>
      </c>
      <c r="C3369" s="8" t="n">
        <v>0</v>
      </c>
      <c r="D3369" s="8" t="n">
        <v>0</v>
      </c>
      <c r="E3369" s="8" t="n">
        <v>3</v>
      </c>
      <c r="F3369" s="8" t="n">
        <v>86.79</v>
      </c>
    </row>
    <row r="3370" customFormat="false" ht="15" hidden="false" customHeight="true" outlineLevel="0" collapsed="false">
      <c r="A3370" s="8" t="s">
        <v>238</v>
      </c>
      <c r="B3370" s="8" t="s">
        <v>1226</v>
      </c>
      <c r="C3370" s="8" t="n">
        <v>0</v>
      </c>
      <c r="D3370" s="8" t="n">
        <v>0</v>
      </c>
      <c r="E3370" s="8" t="n">
        <v>3</v>
      </c>
      <c r="F3370" s="8" t="n">
        <v>126.51</v>
      </c>
    </row>
    <row r="3371" customFormat="false" ht="15" hidden="false" customHeight="true" outlineLevel="0" collapsed="false">
      <c r="A3371" s="8" t="s">
        <v>201</v>
      </c>
      <c r="B3371" s="8" t="s">
        <v>1226</v>
      </c>
      <c r="C3371" s="8" t="n">
        <v>0</v>
      </c>
      <c r="D3371" s="8" t="n">
        <v>0</v>
      </c>
      <c r="E3371" s="8" t="n">
        <v>3</v>
      </c>
      <c r="F3371" s="8" t="n">
        <v>126.51</v>
      </c>
    </row>
    <row r="3372" customFormat="false" ht="15" hidden="false" customHeight="true" outlineLevel="0" collapsed="false">
      <c r="A3372" s="8" t="s">
        <v>214</v>
      </c>
      <c r="B3372" s="8" t="s">
        <v>1226</v>
      </c>
      <c r="C3372" s="8" t="n">
        <v>0</v>
      </c>
      <c r="D3372" s="8" t="n">
        <v>0</v>
      </c>
      <c r="E3372" s="8" t="n">
        <v>3</v>
      </c>
      <c r="F3372" s="8" t="n">
        <v>126.51</v>
      </c>
    </row>
    <row r="3373" customFormat="false" ht="15" hidden="false" customHeight="true" outlineLevel="0" collapsed="false">
      <c r="A3373" s="8" t="s">
        <v>247</v>
      </c>
      <c r="B3373" s="8" t="s">
        <v>769</v>
      </c>
      <c r="C3373" s="8" t="n">
        <v>2</v>
      </c>
      <c r="D3373" s="8" t="n">
        <v>34</v>
      </c>
      <c r="E3373" s="8" t="n">
        <v>0</v>
      </c>
      <c r="F3373" s="8" t="n">
        <v>0</v>
      </c>
    </row>
    <row r="3374" customFormat="false" ht="15" hidden="false" customHeight="true" outlineLevel="0" collapsed="false">
      <c r="A3374" s="8" t="s">
        <v>163</v>
      </c>
      <c r="B3374" s="8" t="s">
        <v>897</v>
      </c>
      <c r="C3374" s="8" t="n">
        <v>1</v>
      </c>
      <c r="D3374" s="8" t="n">
        <v>65</v>
      </c>
      <c r="E3374" s="8" t="n">
        <v>0</v>
      </c>
      <c r="F3374" s="8" t="n">
        <v>0</v>
      </c>
    </row>
    <row r="3375" customFormat="false" ht="15" hidden="false" customHeight="true" outlineLevel="0" collapsed="false">
      <c r="A3375" s="8" t="s">
        <v>165</v>
      </c>
      <c r="B3375" s="8" t="s">
        <v>897</v>
      </c>
      <c r="C3375" s="8" t="n">
        <v>2</v>
      </c>
      <c r="D3375" s="8" t="n">
        <v>130</v>
      </c>
      <c r="E3375" s="8" t="n">
        <v>0</v>
      </c>
      <c r="F3375" s="8" t="n">
        <v>0</v>
      </c>
    </row>
    <row r="3376" customFormat="false" ht="15" hidden="false" customHeight="true" outlineLevel="0" collapsed="false">
      <c r="A3376" s="8" t="s">
        <v>245</v>
      </c>
      <c r="B3376" s="8" t="s">
        <v>1179</v>
      </c>
      <c r="C3376" s="8" t="n">
        <v>1</v>
      </c>
      <c r="D3376" s="8" t="n">
        <v>72.34</v>
      </c>
      <c r="E3376" s="8" t="n">
        <v>1</v>
      </c>
      <c r="F3376" s="8" t="n">
        <v>72.34</v>
      </c>
    </row>
    <row r="3377" customFormat="false" ht="15" hidden="false" customHeight="true" outlineLevel="0" collapsed="false">
      <c r="A3377" s="8" t="s">
        <v>204</v>
      </c>
      <c r="B3377" s="8" t="s">
        <v>1179</v>
      </c>
      <c r="C3377" s="8" t="n">
        <v>1</v>
      </c>
      <c r="D3377" s="8" t="n">
        <v>72.34</v>
      </c>
      <c r="E3377" s="8" t="n">
        <v>0</v>
      </c>
      <c r="F3377" s="8" t="n">
        <v>0</v>
      </c>
    </row>
    <row r="3378" customFormat="false" ht="15" hidden="false" customHeight="true" outlineLevel="0" collapsed="false">
      <c r="A3378" s="8" t="s">
        <v>190</v>
      </c>
      <c r="B3378" s="8" t="s">
        <v>1224</v>
      </c>
      <c r="C3378" s="8" t="n">
        <v>1</v>
      </c>
      <c r="D3378" s="8" t="n">
        <v>24.43</v>
      </c>
      <c r="E3378" s="8" t="n">
        <v>2</v>
      </c>
      <c r="F3378" s="8" t="n">
        <v>48.86</v>
      </c>
    </row>
    <row r="3379" customFormat="false" ht="15" hidden="false" customHeight="true" outlineLevel="0" collapsed="false">
      <c r="A3379" s="8" t="s">
        <v>161</v>
      </c>
      <c r="B3379" s="8" t="s">
        <v>1208</v>
      </c>
      <c r="C3379" s="8" t="n">
        <v>6</v>
      </c>
      <c r="D3379" s="8" t="n">
        <v>273</v>
      </c>
      <c r="E3379" s="8" t="n">
        <v>0</v>
      </c>
      <c r="F3379" s="8" t="n">
        <v>0</v>
      </c>
    </row>
    <row r="3380" customFormat="false" ht="15" hidden="false" customHeight="true" outlineLevel="0" collapsed="false">
      <c r="A3380" s="8" t="s">
        <v>162</v>
      </c>
      <c r="B3380" s="8" t="s">
        <v>1209</v>
      </c>
      <c r="C3380" s="8" t="n">
        <v>2</v>
      </c>
      <c r="D3380" s="8" t="n">
        <v>155.6</v>
      </c>
      <c r="E3380" s="8" t="n">
        <v>0</v>
      </c>
      <c r="F3380" s="8" t="n">
        <v>0</v>
      </c>
    </row>
    <row r="3381" customFormat="false" ht="15" hidden="false" customHeight="true" outlineLevel="0" collapsed="false">
      <c r="A3381" s="8" t="s">
        <v>166</v>
      </c>
      <c r="B3381" s="8" t="s">
        <v>1211</v>
      </c>
      <c r="C3381" s="8" t="n">
        <v>0</v>
      </c>
      <c r="D3381" s="8" t="n">
        <v>0</v>
      </c>
      <c r="E3381" s="8" t="n">
        <v>1</v>
      </c>
      <c r="F3381" s="8" t="n">
        <v>63.27</v>
      </c>
    </row>
    <row r="3382" customFormat="false" ht="15" hidden="false" customHeight="true" outlineLevel="0" collapsed="false">
      <c r="A3382" s="8" t="s">
        <v>215</v>
      </c>
      <c r="B3382" s="8" t="s">
        <v>1233</v>
      </c>
      <c r="C3382" s="8" t="n">
        <v>0</v>
      </c>
      <c r="D3382" s="8" t="n">
        <v>0</v>
      </c>
      <c r="E3382" s="8" t="n">
        <v>2</v>
      </c>
      <c r="F3382" s="8" t="n">
        <v>35.64</v>
      </c>
    </row>
    <row r="3383" customFormat="false" ht="15" hidden="false" customHeight="true" outlineLevel="0" collapsed="false">
      <c r="A3383" s="8" t="s">
        <v>113</v>
      </c>
      <c r="B3383" s="8" t="s">
        <v>1247</v>
      </c>
      <c r="C3383" s="8" t="n">
        <v>1</v>
      </c>
      <c r="D3383" s="8" t="n">
        <v>25</v>
      </c>
      <c r="E3383" s="8" t="n">
        <v>0</v>
      </c>
      <c r="F3383" s="8" t="n">
        <v>0</v>
      </c>
    </row>
    <row r="3384" customFormat="false" ht="15" hidden="false" customHeight="true" outlineLevel="0" collapsed="false">
      <c r="A3384" s="8" t="s">
        <v>99</v>
      </c>
      <c r="B3384" s="8" t="s">
        <v>1247</v>
      </c>
      <c r="C3384" s="8" t="n">
        <v>1</v>
      </c>
      <c r="D3384" s="8" t="n">
        <v>25</v>
      </c>
      <c r="E3384" s="8" t="n">
        <v>0</v>
      </c>
      <c r="F3384" s="8" t="n">
        <v>0</v>
      </c>
    </row>
    <row r="3385" customFormat="false" ht="15" hidden="false" customHeight="true" outlineLevel="0" collapsed="false">
      <c r="A3385" s="8" t="s">
        <v>224</v>
      </c>
      <c r="B3385" s="8" t="s">
        <v>1236</v>
      </c>
      <c r="C3385" s="8" t="n">
        <v>1</v>
      </c>
      <c r="D3385" s="8" t="n">
        <v>35</v>
      </c>
      <c r="E3385" s="8" t="n">
        <v>0</v>
      </c>
      <c r="F3385" s="8" t="n">
        <v>0</v>
      </c>
    </row>
    <row r="3386" customFormat="false" ht="15" hidden="false" customHeight="true" outlineLevel="0" collapsed="false">
      <c r="A3386" s="8" t="s">
        <v>182</v>
      </c>
      <c r="B3386" s="8" t="s">
        <v>799</v>
      </c>
      <c r="C3386" s="8" t="n">
        <v>1</v>
      </c>
      <c r="D3386" s="8" t="n">
        <v>20</v>
      </c>
      <c r="E3386" s="8" t="n">
        <v>0</v>
      </c>
      <c r="F3386" s="8" t="n">
        <v>0</v>
      </c>
    </row>
    <row r="3387" customFormat="false" ht="15" hidden="false" customHeight="true" outlineLevel="0" collapsed="false">
      <c r="A3387" s="8" t="s">
        <v>167</v>
      </c>
      <c r="B3387" s="8" t="s">
        <v>1238</v>
      </c>
      <c r="C3387" s="8" t="n">
        <v>3</v>
      </c>
      <c r="D3387" s="8" t="n">
        <v>40.2</v>
      </c>
      <c r="E3387" s="8" t="n">
        <v>0</v>
      </c>
      <c r="F3387" s="8" t="n">
        <v>0</v>
      </c>
    </row>
    <row r="3388" customFormat="false" ht="15" hidden="false" customHeight="true" outlineLevel="0" collapsed="false">
      <c r="A3388" s="8" t="s">
        <v>264</v>
      </c>
      <c r="B3388" s="8" t="s">
        <v>1221</v>
      </c>
      <c r="C3388" s="8" t="n">
        <v>1</v>
      </c>
      <c r="D3388" s="8" t="n">
        <v>5.81</v>
      </c>
      <c r="E3388" s="8" t="n">
        <v>0</v>
      </c>
      <c r="F3388" s="8" t="n">
        <v>0</v>
      </c>
    </row>
    <row r="3389" customFormat="false" ht="15" hidden="false" customHeight="true" outlineLevel="0" collapsed="false">
      <c r="A3389" s="8" t="s">
        <v>284</v>
      </c>
      <c r="B3389" s="8" t="s">
        <v>1267</v>
      </c>
      <c r="C3389" s="8" t="n">
        <v>1</v>
      </c>
      <c r="D3389" s="8" t="n">
        <v>128.71</v>
      </c>
      <c r="E3389" s="8" t="n">
        <v>0</v>
      </c>
      <c r="F3389" s="8" t="n">
        <v>0</v>
      </c>
    </row>
    <row r="3390" customFormat="false" ht="15" hidden="false" customHeight="true" outlineLevel="0" collapsed="false">
      <c r="A3390" s="8" t="s">
        <v>163</v>
      </c>
      <c r="B3390" s="8" t="s">
        <v>897</v>
      </c>
      <c r="C3390" s="8" t="n">
        <v>11</v>
      </c>
      <c r="D3390" s="8" t="n">
        <v>715</v>
      </c>
      <c r="E3390" s="8" t="n">
        <v>0</v>
      </c>
      <c r="F3390" s="8" t="n">
        <v>0</v>
      </c>
    </row>
    <row r="3391" customFormat="false" ht="15" hidden="false" customHeight="true" outlineLevel="0" collapsed="false">
      <c r="A3391" s="8" t="s">
        <v>181</v>
      </c>
      <c r="B3391" s="8" t="s">
        <v>897</v>
      </c>
      <c r="C3391" s="8" t="n">
        <v>8</v>
      </c>
      <c r="D3391" s="8" t="n">
        <v>520</v>
      </c>
      <c r="E3391" s="8" t="n">
        <v>0</v>
      </c>
      <c r="F3391" s="8" t="n">
        <v>0</v>
      </c>
    </row>
    <row r="3392" customFormat="false" ht="15" hidden="false" customHeight="true" outlineLevel="0" collapsed="false">
      <c r="A3392" s="8" t="s">
        <v>165</v>
      </c>
      <c r="B3392" s="8" t="s">
        <v>897</v>
      </c>
      <c r="C3392" s="8" t="n">
        <v>8</v>
      </c>
      <c r="D3392" s="8" t="n">
        <v>520</v>
      </c>
      <c r="E3392" s="8" t="n">
        <v>0</v>
      </c>
      <c r="F3392" s="8" t="n">
        <v>0</v>
      </c>
    </row>
    <row r="3393" customFormat="false" ht="15" hidden="false" customHeight="true" outlineLevel="0" collapsed="false">
      <c r="A3393" s="8" t="s">
        <v>184</v>
      </c>
      <c r="B3393" s="8" t="s">
        <v>897</v>
      </c>
      <c r="C3393" s="8" t="n">
        <v>10</v>
      </c>
      <c r="D3393" s="8" t="n">
        <v>650</v>
      </c>
      <c r="E3393" s="8" t="n">
        <v>0</v>
      </c>
      <c r="F3393" s="8" t="n">
        <v>0</v>
      </c>
    </row>
    <row r="3394" customFormat="false" ht="15" hidden="false" customHeight="true" outlineLevel="0" collapsed="false">
      <c r="A3394" s="8" t="s">
        <v>221</v>
      </c>
      <c r="B3394" s="8" t="s">
        <v>1179</v>
      </c>
      <c r="C3394" s="8" t="n">
        <v>1</v>
      </c>
      <c r="D3394" s="8" t="n">
        <v>72.34</v>
      </c>
      <c r="E3394" s="8" t="n">
        <v>0</v>
      </c>
      <c r="F3394" s="8" t="n">
        <v>0</v>
      </c>
    </row>
    <row r="3395" customFormat="false" ht="15" hidden="false" customHeight="true" outlineLevel="0" collapsed="false">
      <c r="A3395" s="8" t="s">
        <v>191</v>
      </c>
      <c r="B3395" s="8" t="s">
        <v>1179</v>
      </c>
      <c r="C3395" s="8" t="n">
        <v>1</v>
      </c>
      <c r="D3395" s="8" t="n">
        <v>72.34</v>
      </c>
      <c r="E3395" s="8" t="n">
        <v>0</v>
      </c>
      <c r="F3395" s="8" t="n">
        <v>0</v>
      </c>
    </row>
    <row r="3396" customFormat="false" ht="15" hidden="false" customHeight="true" outlineLevel="0" collapsed="false">
      <c r="A3396" s="8" t="s">
        <v>346</v>
      </c>
      <c r="B3396" s="8" t="s">
        <v>1287</v>
      </c>
      <c r="C3396" s="8" t="n">
        <v>0</v>
      </c>
      <c r="D3396" s="8" t="n">
        <v>0</v>
      </c>
      <c r="E3396" s="8" t="n">
        <v>1</v>
      </c>
      <c r="F3396" s="8" t="n">
        <v>160</v>
      </c>
    </row>
    <row r="3397" customFormat="false" ht="15" hidden="false" customHeight="true" outlineLevel="0" collapsed="false">
      <c r="A3397" s="8" t="s">
        <v>183</v>
      </c>
      <c r="B3397" s="8" t="s">
        <v>1224</v>
      </c>
      <c r="C3397" s="8" t="n">
        <v>3</v>
      </c>
      <c r="D3397" s="8" t="n">
        <v>73.29</v>
      </c>
      <c r="E3397" s="8" t="n">
        <v>0</v>
      </c>
      <c r="F3397" s="8" t="n">
        <v>0</v>
      </c>
    </row>
    <row r="3398" customFormat="false" ht="15" hidden="false" customHeight="true" outlineLevel="0" collapsed="false">
      <c r="A3398" s="8" t="s">
        <v>218</v>
      </c>
      <c r="B3398" s="8" t="s">
        <v>1224</v>
      </c>
      <c r="C3398" s="8" t="n">
        <v>1</v>
      </c>
      <c r="D3398" s="8" t="n">
        <v>24.43</v>
      </c>
      <c r="E3398" s="8" t="n">
        <v>0</v>
      </c>
      <c r="F3398" s="8" t="n">
        <v>0</v>
      </c>
    </row>
    <row r="3399" customFormat="false" ht="15" hidden="false" customHeight="true" outlineLevel="0" collapsed="false">
      <c r="A3399" s="8" t="s">
        <v>231</v>
      </c>
      <c r="B3399" s="8" t="s">
        <v>1224</v>
      </c>
      <c r="C3399" s="8" t="n">
        <v>1</v>
      </c>
      <c r="D3399" s="8" t="n">
        <v>24.43</v>
      </c>
      <c r="E3399" s="8" t="n">
        <v>0</v>
      </c>
      <c r="F3399" s="8" t="n">
        <v>0</v>
      </c>
    </row>
    <row r="3400" customFormat="false" ht="15" hidden="false" customHeight="true" outlineLevel="0" collapsed="false">
      <c r="A3400" s="8" t="s">
        <v>161</v>
      </c>
      <c r="B3400" s="8" t="s">
        <v>1208</v>
      </c>
      <c r="C3400" s="8" t="n">
        <v>0</v>
      </c>
      <c r="D3400" s="8" t="n">
        <v>0</v>
      </c>
      <c r="E3400" s="8" t="n">
        <v>3</v>
      </c>
      <c r="F3400" s="8" t="n">
        <v>136.5</v>
      </c>
    </row>
    <row r="3401" customFormat="false" ht="15" hidden="false" customHeight="true" outlineLevel="0" collapsed="false">
      <c r="A3401" s="8" t="s">
        <v>162</v>
      </c>
      <c r="B3401" s="8" t="s">
        <v>1209</v>
      </c>
      <c r="C3401" s="8" t="n">
        <v>0</v>
      </c>
      <c r="D3401" s="8" t="n">
        <v>0</v>
      </c>
      <c r="E3401" s="8" t="n">
        <v>3</v>
      </c>
      <c r="F3401" s="8" t="n">
        <v>233.4</v>
      </c>
    </row>
    <row r="3402" customFormat="false" ht="15" hidden="false" customHeight="true" outlineLevel="0" collapsed="false">
      <c r="A3402" s="8" t="s">
        <v>166</v>
      </c>
      <c r="B3402" s="8" t="s">
        <v>1211</v>
      </c>
      <c r="C3402" s="8" t="n">
        <v>6</v>
      </c>
      <c r="D3402" s="8" t="n">
        <v>379.62</v>
      </c>
      <c r="E3402" s="8" t="n">
        <v>0</v>
      </c>
      <c r="F3402" s="8" t="n">
        <v>0</v>
      </c>
    </row>
    <row r="3403" customFormat="false" ht="15" hidden="false" customHeight="true" outlineLevel="0" collapsed="false">
      <c r="A3403" s="8" t="s">
        <v>164</v>
      </c>
      <c r="B3403" s="8" t="s">
        <v>1211</v>
      </c>
      <c r="C3403" s="8" t="n">
        <v>6</v>
      </c>
      <c r="D3403" s="8" t="n">
        <v>379.62</v>
      </c>
      <c r="E3403" s="8" t="n">
        <v>0</v>
      </c>
      <c r="F3403" s="8" t="n">
        <v>0</v>
      </c>
    </row>
    <row r="3404" customFormat="false" ht="15" hidden="false" customHeight="true" outlineLevel="0" collapsed="false">
      <c r="A3404" s="8" t="s">
        <v>222</v>
      </c>
      <c r="B3404" s="8" t="s">
        <v>1211</v>
      </c>
      <c r="C3404" s="8" t="n">
        <v>3</v>
      </c>
      <c r="D3404" s="8" t="n">
        <v>189.81</v>
      </c>
      <c r="E3404" s="8" t="n">
        <v>0</v>
      </c>
      <c r="F3404" s="8" t="n">
        <v>0</v>
      </c>
    </row>
    <row r="3405" customFormat="false" ht="15" hidden="false" customHeight="true" outlineLevel="0" collapsed="false">
      <c r="A3405" s="8" t="s">
        <v>187</v>
      </c>
      <c r="B3405" s="8" t="s">
        <v>1211</v>
      </c>
      <c r="C3405" s="8" t="n">
        <v>5</v>
      </c>
      <c r="D3405" s="8" t="n">
        <v>316.35</v>
      </c>
      <c r="E3405" s="8" t="n">
        <v>0</v>
      </c>
      <c r="F3405" s="8" t="n">
        <v>0</v>
      </c>
    </row>
    <row r="3406" customFormat="false" ht="15" hidden="false" customHeight="true" outlineLevel="0" collapsed="false">
      <c r="A3406" s="8" t="s">
        <v>188</v>
      </c>
      <c r="B3406" s="8" t="s">
        <v>1225</v>
      </c>
      <c r="C3406" s="8" t="n">
        <v>2</v>
      </c>
      <c r="D3406" s="8" t="n">
        <v>57.86</v>
      </c>
      <c r="E3406" s="8" t="n">
        <v>0</v>
      </c>
      <c r="F3406" s="8" t="n">
        <v>0</v>
      </c>
    </row>
    <row r="3407" customFormat="false" ht="15" hidden="false" customHeight="true" outlineLevel="0" collapsed="false">
      <c r="A3407" s="8" t="s">
        <v>186</v>
      </c>
      <c r="B3407" s="8" t="s">
        <v>1225</v>
      </c>
      <c r="C3407" s="8" t="n">
        <v>3</v>
      </c>
      <c r="D3407" s="8" t="n">
        <v>86.79</v>
      </c>
      <c r="E3407" s="8" t="n">
        <v>0</v>
      </c>
      <c r="F3407" s="8" t="n">
        <v>0</v>
      </c>
    </row>
    <row r="3408" customFormat="false" ht="15" hidden="false" customHeight="true" outlineLevel="0" collapsed="false">
      <c r="A3408" s="8" t="s">
        <v>210</v>
      </c>
      <c r="B3408" s="8" t="s">
        <v>1225</v>
      </c>
      <c r="C3408" s="8" t="n">
        <v>2</v>
      </c>
      <c r="D3408" s="8" t="n">
        <v>57.86</v>
      </c>
      <c r="E3408" s="8" t="n">
        <v>0</v>
      </c>
      <c r="F3408" s="8" t="n">
        <v>0</v>
      </c>
    </row>
    <row r="3409" customFormat="false" ht="15" hidden="false" customHeight="true" outlineLevel="0" collapsed="false">
      <c r="A3409" s="8" t="s">
        <v>238</v>
      </c>
      <c r="B3409" s="8" t="s">
        <v>1226</v>
      </c>
      <c r="C3409" s="8" t="n">
        <v>3</v>
      </c>
      <c r="D3409" s="8" t="n">
        <v>126.51</v>
      </c>
      <c r="E3409" s="8" t="n">
        <v>0</v>
      </c>
      <c r="F3409" s="8" t="n">
        <v>0</v>
      </c>
    </row>
    <row r="3410" customFormat="false" ht="15" hidden="false" customHeight="true" outlineLevel="0" collapsed="false">
      <c r="A3410" s="8" t="s">
        <v>201</v>
      </c>
      <c r="B3410" s="8" t="s">
        <v>1226</v>
      </c>
      <c r="C3410" s="8" t="n">
        <v>4</v>
      </c>
      <c r="D3410" s="8" t="n">
        <v>168.68</v>
      </c>
      <c r="E3410" s="8" t="n">
        <v>0</v>
      </c>
      <c r="F3410" s="8" t="n">
        <v>0</v>
      </c>
    </row>
    <row r="3411" customFormat="false" ht="15" hidden="false" customHeight="true" outlineLevel="0" collapsed="false">
      <c r="A3411" s="8" t="s">
        <v>214</v>
      </c>
      <c r="B3411" s="8" t="s">
        <v>1226</v>
      </c>
      <c r="C3411" s="8" t="n">
        <v>5</v>
      </c>
      <c r="D3411" s="8" t="n">
        <v>210.85</v>
      </c>
      <c r="E3411" s="8" t="n">
        <v>0</v>
      </c>
      <c r="F3411" s="8" t="n">
        <v>0</v>
      </c>
    </row>
    <row r="3412" customFormat="false" ht="15" hidden="false" customHeight="true" outlineLevel="0" collapsed="false">
      <c r="A3412" s="8" t="s">
        <v>241</v>
      </c>
      <c r="B3412" s="8" t="s">
        <v>1227</v>
      </c>
      <c r="C3412" s="8" t="n">
        <v>5</v>
      </c>
      <c r="D3412" s="8" t="n">
        <v>85</v>
      </c>
      <c r="E3412" s="8" t="n">
        <v>0</v>
      </c>
      <c r="F3412" s="8" t="n">
        <v>0</v>
      </c>
    </row>
    <row r="3413" customFormat="false" ht="15" hidden="false" customHeight="true" outlineLevel="0" collapsed="false">
      <c r="A3413" s="8" t="s">
        <v>219</v>
      </c>
      <c r="B3413" s="8" t="s">
        <v>1227</v>
      </c>
      <c r="C3413" s="8" t="n">
        <v>6</v>
      </c>
      <c r="D3413" s="8" t="n">
        <v>102</v>
      </c>
      <c r="E3413" s="8" t="n">
        <v>0</v>
      </c>
      <c r="F3413" s="8" t="n">
        <v>0</v>
      </c>
    </row>
    <row r="3414" customFormat="false" ht="15" hidden="false" customHeight="true" outlineLevel="0" collapsed="false">
      <c r="A3414" s="8" t="s">
        <v>223</v>
      </c>
      <c r="B3414" s="8" t="s">
        <v>1227</v>
      </c>
      <c r="C3414" s="8" t="n">
        <v>5</v>
      </c>
      <c r="D3414" s="8" t="n">
        <v>85</v>
      </c>
      <c r="E3414" s="8" t="n">
        <v>0</v>
      </c>
      <c r="F3414" s="8" t="n">
        <v>0</v>
      </c>
    </row>
    <row r="3415" customFormat="false" ht="15" hidden="false" customHeight="true" outlineLevel="0" collapsed="false">
      <c r="A3415" s="8" t="s">
        <v>202</v>
      </c>
      <c r="B3415" s="8" t="s">
        <v>1212</v>
      </c>
      <c r="C3415" s="8" t="n">
        <v>2</v>
      </c>
      <c r="D3415" s="8" t="n">
        <v>19</v>
      </c>
      <c r="E3415" s="8" t="n">
        <v>0</v>
      </c>
      <c r="F3415" s="8" t="n">
        <v>0</v>
      </c>
    </row>
    <row r="3416" customFormat="false" ht="15" hidden="false" customHeight="true" outlineLevel="0" collapsed="false">
      <c r="A3416" s="8" t="s">
        <v>244</v>
      </c>
      <c r="B3416" s="8" t="s">
        <v>1213</v>
      </c>
      <c r="C3416" s="8" t="n">
        <v>1</v>
      </c>
      <c r="D3416" s="8" t="n">
        <v>9.5</v>
      </c>
      <c r="E3416" s="8" t="n">
        <v>0</v>
      </c>
      <c r="F3416" s="8" t="n">
        <v>0</v>
      </c>
    </row>
    <row r="3417" customFormat="false" ht="15" hidden="false" customHeight="true" outlineLevel="0" collapsed="false">
      <c r="A3417" s="8" t="s">
        <v>215</v>
      </c>
      <c r="B3417" s="8" t="s">
        <v>1233</v>
      </c>
      <c r="C3417" s="8" t="n">
        <v>30</v>
      </c>
      <c r="D3417" s="8" t="n">
        <v>534.6</v>
      </c>
      <c r="E3417" s="8" t="n">
        <v>80</v>
      </c>
      <c r="F3417" s="8" t="n">
        <v>1425.6</v>
      </c>
    </row>
    <row r="3418" customFormat="false" ht="15" hidden="false" customHeight="true" outlineLevel="0" collapsed="false">
      <c r="A3418" s="8" t="s">
        <v>265</v>
      </c>
      <c r="B3418" s="8" t="s">
        <v>621</v>
      </c>
      <c r="C3418" s="8" t="n">
        <v>1</v>
      </c>
      <c r="D3418" s="8" t="n">
        <v>42</v>
      </c>
      <c r="E3418" s="8" t="n">
        <v>0</v>
      </c>
      <c r="F3418" s="8" t="n">
        <v>0</v>
      </c>
    </row>
    <row r="3419" customFormat="false" ht="15" hidden="false" customHeight="true" outlineLevel="0" collapsed="false">
      <c r="A3419" s="8" t="s">
        <v>276</v>
      </c>
      <c r="B3419" s="8" t="s">
        <v>621</v>
      </c>
      <c r="C3419" s="8" t="n">
        <v>1</v>
      </c>
      <c r="D3419" s="8" t="n">
        <v>42</v>
      </c>
      <c r="E3419" s="8" t="n">
        <v>0</v>
      </c>
      <c r="F3419" s="8" t="n">
        <v>0</v>
      </c>
    </row>
    <row r="3420" customFormat="false" ht="15" hidden="false" customHeight="true" outlineLevel="0" collapsed="false">
      <c r="A3420" s="8" t="s">
        <v>180</v>
      </c>
      <c r="B3420" s="8" t="s">
        <v>1216</v>
      </c>
      <c r="C3420" s="8" t="n">
        <v>1</v>
      </c>
      <c r="D3420" s="8" t="n">
        <v>16.5</v>
      </c>
      <c r="E3420" s="8" t="n">
        <v>0</v>
      </c>
      <c r="F3420" s="8" t="n">
        <v>0</v>
      </c>
    </row>
    <row r="3421" customFormat="false" ht="15" hidden="false" customHeight="true" outlineLevel="0" collapsed="false">
      <c r="A3421" s="8" t="s">
        <v>189</v>
      </c>
      <c r="B3421" s="8" t="s">
        <v>1216</v>
      </c>
      <c r="C3421" s="8" t="n">
        <v>2</v>
      </c>
      <c r="D3421" s="8" t="n">
        <v>33</v>
      </c>
      <c r="E3421" s="8" t="n">
        <v>0</v>
      </c>
      <c r="F3421" s="8" t="n">
        <v>0</v>
      </c>
    </row>
    <row r="3422" customFormat="false" ht="15" hidden="false" customHeight="true" outlineLevel="0" collapsed="false">
      <c r="A3422" s="8" t="s">
        <v>199</v>
      </c>
      <c r="B3422" s="8" t="s">
        <v>1216</v>
      </c>
      <c r="C3422" s="8" t="n">
        <v>2</v>
      </c>
      <c r="D3422" s="8" t="n">
        <v>33</v>
      </c>
      <c r="E3422" s="8" t="n">
        <v>0</v>
      </c>
      <c r="F3422" s="8" t="n">
        <v>0</v>
      </c>
    </row>
    <row r="3423" customFormat="false" ht="15" hidden="false" customHeight="true" outlineLevel="0" collapsed="false">
      <c r="A3423" s="8" t="s">
        <v>250</v>
      </c>
      <c r="B3423" s="8" t="s">
        <v>1216</v>
      </c>
      <c r="C3423" s="8" t="n">
        <v>3</v>
      </c>
      <c r="D3423" s="8" t="n">
        <v>49.5</v>
      </c>
      <c r="E3423" s="8" t="n">
        <v>0</v>
      </c>
      <c r="F3423" s="8" t="n">
        <v>0</v>
      </c>
    </row>
    <row r="3424" customFormat="false" ht="15" hidden="false" customHeight="true" outlineLevel="0" collapsed="false">
      <c r="A3424" s="8" t="s">
        <v>198</v>
      </c>
      <c r="B3424" s="8" t="s">
        <v>1217</v>
      </c>
      <c r="C3424" s="8" t="n">
        <v>1</v>
      </c>
      <c r="D3424" s="8" t="n">
        <v>20.5</v>
      </c>
      <c r="E3424" s="8" t="n">
        <v>0</v>
      </c>
      <c r="F3424" s="8" t="n">
        <v>0</v>
      </c>
    </row>
    <row r="3425" customFormat="false" ht="15" hidden="false" customHeight="true" outlineLevel="0" collapsed="false">
      <c r="A3425" s="8" t="s">
        <v>205</v>
      </c>
      <c r="B3425" s="8" t="s">
        <v>1217</v>
      </c>
      <c r="C3425" s="8" t="n">
        <v>1</v>
      </c>
      <c r="D3425" s="8" t="n">
        <v>20.5</v>
      </c>
      <c r="E3425" s="8" t="n">
        <v>0</v>
      </c>
      <c r="F3425" s="8" t="n">
        <v>0</v>
      </c>
    </row>
    <row r="3426" customFormat="false" ht="15" hidden="false" customHeight="true" outlineLevel="0" collapsed="false">
      <c r="A3426" s="8" t="s">
        <v>256</v>
      </c>
      <c r="B3426" s="8" t="s">
        <v>1217</v>
      </c>
      <c r="C3426" s="8" t="n">
        <v>1</v>
      </c>
      <c r="D3426" s="8" t="n">
        <v>20.5</v>
      </c>
      <c r="E3426" s="8" t="n">
        <v>0</v>
      </c>
      <c r="F3426" s="8" t="n">
        <v>0</v>
      </c>
    </row>
    <row r="3427" customFormat="false" ht="15" hidden="false" customHeight="true" outlineLevel="0" collapsed="false">
      <c r="A3427" s="8" t="s">
        <v>354</v>
      </c>
      <c r="B3427" s="8" t="s">
        <v>767</v>
      </c>
      <c r="C3427" s="8" t="n">
        <v>1</v>
      </c>
      <c r="D3427" s="8" t="n">
        <v>21</v>
      </c>
      <c r="E3427" s="8" t="n">
        <v>0</v>
      </c>
      <c r="F3427" s="8" t="n">
        <v>0</v>
      </c>
    </row>
    <row r="3428" customFormat="false" ht="15" hidden="false" customHeight="true" outlineLevel="0" collapsed="false">
      <c r="A3428" s="8" t="s">
        <v>378</v>
      </c>
      <c r="B3428" s="8" t="s">
        <v>767</v>
      </c>
      <c r="C3428" s="8" t="n">
        <v>1</v>
      </c>
      <c r="D3428" s="8" t="n">
        <v>21</v>
      </c>
      <c r="E3428" s="8" t="n">
        <v>0</v>
      </c>
      <c r="F3428" s="8" t="n">
        <v>0</v>
      </c>
    </row>
    <row r="3429" customFormat="false" ht="15" hidden="false" customHeight="true" outlineLevel="0" collapsed="false">
      <c r="A3429" s="8" t="s">
        <v>369</v>
      </c>
      <c r="B3429" s="8" t="s">
        <v>767</v>
      </c>
      <c r="C3429" s="8" t="n">
        <v>1</v>
      </c>
      <c r="D3429" s="8" t="n">
        <v>21</v>
      </c>
      <c r="E3429" s="8" t="n">
        <v>0</v>
      </c>
      <c r="F3429" s="8" t="n">
        <v>0</v>
      </c>
    </row>
    <row r="3430" customFormat="false" ht="15" hidden="false" customHeight="true" outlineLevel="0" collapsed="false">
      <c r="A3430" s="8" t="s">
        <v>95</v>
      </c>
      <c r="B3430" s="8" t="s">
        <v>1247</v>
      </c>
      <c r="C3430" s="8" t="n">
        <v>0</v>
      </c>
      <c r="D3430" s="8" t="n">
        <v>0</v>
      </c>
      <c r="E3430" s="8" t="n">
        <v>3</v>
      </c>
      <c r="F3430" s="8" t="n">
        <v>75</v>
      </c>
    </row>
    <row r="3431" customFormat="false" ht="15" hidden="false" customHeight="true" outlineLevel="0" collapsed="false">
      <c r="A3431" s="8" t="s">
        <v>113</v>
      </c>
      <c r="B3431" s="8" t="s">
        <v>1247</v>
      </c>
      <c r="C3431" s="8" t="n">
        <v>0</v>
      </c>
      <c r="D3431" s="8" t="n">
        <v>0</v>
      </c>
      <c r="E3431" s="8" t="n">
        <v>3</v>
      </c>
      <c r="F3431" s="8" t="n">
        <v>75</v>
      </c>
    </row>
    <row r="3432" customFormat="false" ht="15" hidden="false" customHeight="true" outlineLevel="0" collapsed="false">
      <c r="A3432" s="8" t="s">
        <v>99</v>
      </c>
      <c r="B3432" s="8" t="s">
        <v>1247</v>
      </c>
      <c r="C3432" s="8" t="n">
        <v>0</v>
      </c>
      <c r="D3432" s="8" t="n">
        <v>0</v>
      </c>
      <c r="E3432" s="8" t="n">
        <v>3</v>
      </c>
      <c r="F3432" s="8" t="n">
        <v>75</v>
      </c>
    </row>
    <row r="3433" customFormat="false" ht="15" hidden="false" customHeight="true" outlineLevel="0" collapsed="false">
      <c r="A3433" s="8" t="s">
        <v>120</v>
      </c>
      <c r="B3433" s="8" t="s">
        <v>1247</v>
      </c>
      <c r="C3433" s="8" t="n">
        <v>0</v>
      </c>
      <c r="D3433" s="8" t="n">
        <v>0</v>
      </c>
      <c r="E3433" s="8" t="n">
        <v>3</v>
      </c>
      <c r="F3433" s="8" t="n">
        <v>75</v>
      </c>
    </row>
    <row r="3434" customFormat="false" ht="15" hidden="false" customHeight="true" outlineLevel="0" collapsed="false">
      <c r="A3434" s="8" t="s">
        <v>178</v>
      </c>
      <c r="B3434" s="8" t="s">
        <v>1236</v>
      </c>
      <c r="C3434" s="8" t="n">
        <v>1</v>
      </c>
      <c r="D3434" s="8" t="n">
        <v>35</v>
      </c>
      <c r="E3434" s="8" t="n">
        <v>0</v>
      </c>
      <c r="F3434" s="8" t="n">
        <v>0</v>
      </c>
    </row>
    <row r="3435" customFormat="false" ht="15" hidden="false" customHeight="true" outlineLevel="0" collapsed="false">
      <c r="A3435" s="8" t="s">
        <v>176</v>
      </c>
      <c r="B3435" s="8" t="s">
        <v>1236</v>
      </c>
      <c r="C3435" s="8" t="n">
        <v>1</v>
      </c>
      <c r="D3435" s="8" t="n">
        <v>35</v>
      </c>
      <c r="E3435" s="8" t="n">
        <v>0</v>
      </c>
      <c r="F3435" s="8" t="n">
        <v>0</v>
      </c>
    </row>
    <row r="3436" customFormat="false" ht="15" hidden="false" customHeight="true" outlineLevel="0" collapsed="false">
      <c r="A3436" s="8" t="s">
        <v>224</v>
      </c>
      <c r="B3436" s="8" t="s">
        <v>1236</v>
      </c>
      <c r="C3436" s="8" t="n">
        <v>1</v>
      </c>
      <c r="D3436" s="8" t="n">
        <v>35</v>
      </c>
      <c r="E3436" s="8" t="n">
        <v>0</v>
      </c>
      <c r="F3436" s="8" t="n">
        <v>0</v>
      </c>
    </row>
    <row r="3437" customFormat="false" ht="15" hidden="false" customHeight="true" outlineLevel="0" collapsed="false">
      <c r="A3437" s="8" t="s">
        <v>234</v>
      </c>
      <c r="B3437" s="8" t="s">
        <v>769</v>
      </c>
      <c r="C3437" s="8" t="n">
        <v>2</v>
      </c>
      <c r="D3437" s="8" t="n">
        <v>34</v>
      </c>
      <c r="E3437" s="8" t="n">
        <v>0</v>
      </c>
      <c r="F3437" s="8" t="n">
        <v>0</v>
      </c>
    </row>
    <row r="3438" customFormat="false" ht="15" hidden="false" customHeight="true" outlineLevel="0" collapsed="false">
      <c r="A3438" s="8" t="s">
        <v>258</v>
      </c>
      <c r="B3438" s="8" t="s">
        <v>562</v>
      </c>
      <c r="C3438" s="8" t="n">
        <v>1</v>
      </c>
      <c r="D3438" s="8" t="n">
        <v>36</v>
      </c>
      <c r="E3438" s="8" t="n">
        <v>0</v>
      </c>
      <c r="F3438" s="8" t="n">
        <v>0</v>
      </c>
    </row>
    <row r="3439" customFormat="false" ht="15" hidden="false" customHeight="true" outlineLevel="0" collapsed="false">
      <c r="A3439" s="8" t="s">
        <v>252</v>
      </c>
      <c r="B3439" s="8" t="s">
        <v>1177</v>
      </c>
      <c r="C3439" s="8" t="n">
        <v>2</v>
      </c>
      <c r="D3439" s="8" t="n">
        <v>33.2</v>
      </c>
      <c r="E3439" s="8" t="n">
        <v>0</v>
      </c>
      <c r="F3439" s="8" t="n">
        <v>0</v>
      </c>
    </row>
    <row r="3440" customFormat="false" ht="15" hidden="false" customHeight="true" outlineLevel="0" collapsed="false">
      <c r="A3440" s="8" t="s">
        <v>203</v>
      </c>
      <c r="B3440" s="8" t="s">
        <v>1177</v>
      </c>
      <c r="C3440" s="8" t="n">
        <v>3</v>
      </c>
      <c r="D3440" s="8" t="n">
        <v>55.5</v>
      </c>
      <c r="E3440" s="8" t="n">
        <v>0</v>
      </c>
      <c r="F3440" s="8" t="n">
        <v>0</v>
      </c>
    </row>
    <row r="3441" customFormat="false" ht="15" hidden="false" customHeight="true" outlineLevel="0" collapsed="false">
      <c r="A3441" s="8" t="s">
        <v>211</v>
      </c>
      <c r="B3441" s="8" t="s">
        <v>1250</v>
      </c>
      <c r="C3441" s="8" t="n">
        <v>3</v>
      </c>
      <c r="D3441" s="8" t="n">
        <v>75</v>
      </c>
      <c r="E3441" s="8" t="n">
        <v>0</v>
      </c>
      <c r="F3441" s="8" t="n">
        <v>0</v>
      </c>
    </row>
    <row r="3442" customFormat="false" ht="15" hidden="false" customHeight="true" outlineLevel="0" collapsed="false">
      <c r="A3442" s="8" t="s">
        <v>312</v>
      </c>
      <c r="B3442" s="8" t="s">
        <v>767</v>
      </c>
      <c r="C3442" s="8" t="n">
        <v>1</v>
      </c>
      <c r="D3442" s="8" t="n">
        <v>20.5</v>
      </c>
      <c r="E3442" s="8" t="n">
        <v>0</v>
      </c>
      <c r="F3442" s="8" t="n">
        <v>0</v>
      </c>
    </row>
    <row r="3443" customFormat="false" ht="15" hidden="false" customHeight="true" outlineLevel="0" collapsed="false">
      <c r="A3443" s="8" t="s">
        <v>226</v>
      </c>
      <c r="B3443" s="8" t="s">
        <v>566</v>
      </c>
      <c r="C3443" s="8" t="n">
        <v>4</v>
      </c>
      <c r="D3443" s="8" t="n">
        <v>83.2</v>
      </c>
      <c r="E3443" s="8" t="n">
        <v>0</v>
      </c>
      <c r="F3443" s="8" t="n">
        <v>0</v>
      </c>
    </row>
    <row r="3444" customFormat="false" ht="15" hidden="false" customHeight="true" outlineLevel="0" collapsed="false">
      <c r="A3444" s="8" t="s">
        <v>163</v>
      </c>
      <c r="B3444" s="8" t="s">
        <v>897</v>
      </c>
      <c r="C3444" s="8" t="n">
        <v>5</v>
      </c>
      <c r="D3444" s="8" t="n">
        <v>325</v>
      </c>
      <c r="E3444" s="8" t="n">
        <v>2</v>
      </c>
      <c r="F3444" s="8" t="n">
        <v>130</v>
      </c>
    </row>
    <row r="3445" customFormat="false" ht="15" hidden="false" customHeight="true" outlineLevel="0" collapsed="false">
      <c r="A3445" s="8" t="s">
        <v>181</v>
      </c>
      <c r="B3445" s="8" t="s">
        <v>897</v>
      </c>
      <c r="C3445" s="8" t="n">
        <v>4</v>
      </c>
      <c r="D3445" s="8" t="n">
        <v>260</v>
      </c>
      <c r="E3445" s="8" t="n">
        <v>0</v>
      </c>
      <c r="F3445" s="8" t="n">
        <v>0</v>
      </c>
    </row>
    <row r="3446" customFormat="false" ht="15" hidden="false" customHeight="true" outlineLevel="0" collapsed="false">
      <c r="A3446" s="8" t="s">
        <v>204</v>
      </c>
      <c r="B3446" s="8" t="s">
        <v>1179</v>
      </c>
      <c r="C3446" s="8" t="n">
        <v>3</v>
      </c>
      <c r="D3446" s="8" t="n">
        <v>217.02</v>
      </c>
      <c r="E3446" s="8" t="n">
        <v>0</v>
      </c>
      <c r="F3446" s="8" t="n">
        <v>0</v>
      </c>
    </row>
    <row r="3447" customFormat="false" ht="15" hidden="false" customHeight="true" outlineLevel="0" collapsed="false">
      <c r="A3447" s="8" t="s">
        <v>190</v>
      </c>
      <c r="B3447" s="8" t="s">
        <v>1224</v>
      </c>
      <c r="C3447" s="8" t="n">
        <v>0</v>
      </c>
      <c r="D3447" s="8" t="n">
        <v>0</v>
      </c>
      <c r="E3447" s="8" t="n">
        <v>1</v>
      </c>
      <c r="F3447" s="8" t="n">
        <v>24.43</v>
      </c>
    </row>
    <row r="3448" customFormat="false" ht="15" hidden="false" customHeight="true" outlineLevel="0" collapsed="false">
      <c r="A3448" s="8" t="s">
        <v>183</v>
      </c>
      <c r="B3448" s="8" t="s">
        <v>1224</v>
      </c>
      <c r="C3448" s="8" t="n">
        <v>2</v>
      </c>
      <c r="D3448" s="8" t="n">
        <v>48.86</v>
      </c>
      <c r="E3448" s="8" t="n">
        <v>0</v>
      </c>
      <c r="F3448" s="8" t="n">
        <v>0</v>
      </c>
    </row>
    <row r="3449" customFormat="false" ht="15" hidden="false" customHeight="true" outlineLevel="0" collapsed="false">
      <c r="A3449" s="8" t="s">
        <v>161</v>
      </c>
      <c r="B3449" s="8" t="s">
        <v>1208</v>
      </c>
      <c r="C3449" s="8" t="n">
        <v>14</v>
      </c>
      <c r="D3449" s="8" t="n">
        <v>637</v>
      </c>
      <c r="E3449" s="8" t="n">
        <v>0</v>
      </c>
      <c r="F3449" s="8" t="n">
        <v>0</v>
      </c>
    </row>
    <row r="3450" customFormat="false" ht="15" hidden="false" customHeight="true" outlineLevel="0" collapsed="false">
      <c r="A3450" s="8" t="s">
        <v>180</v>
      </c>
      <c r="B3450" s="8" t="s">
        <v>1216</v>
      </c>
      <c r="C3450" s="8" t="n">
        <v>1</v>
      </c>
      <c r="D3450" s="8" t="n">
        <v>16.5</v>
      </c>
      <c r="E3450" s="8" t="n">
        <v>2</v>
      </c>
      <c r="F3450" s="8" t="n">
        <v>33</v>
      </c>
    </row>
    <row r="3451" customFormat="false" ht="15" hidden="false" customHeight="true" outlineLevel="0" collapsed="false">
      <c r="A3451" s="8" t="s">
        <v>189</v>
      </c>
      <c r="B3451" s="8" t="s">
        <v>1216</v>
      </c>
      <c r="C3451" s="8" t="n">
        <v>1</v>
      </c>
      <c r="D3451" s="8" t="n">
        <v>16.5</v>
      </c>
      <c r="E3451" s="8" t="n">
        <v>0</v>
      </c>
      <c r="F3451" s="8" t="n">
        <v>0</v>
      </c>
    </row>
    <row r="3452" customFormat="false" ht="15" hidden="false" customHeight="true" outlineLevel="0" collapsed="false">
      <c r="A3452" s="8" t="s">
        <v>199</v>
      </c>
      <c r="B3452" s="8" t="s">
        <v>1216</v>
      </c>
      <c r="C3452" s="8" t="n">
        <v>1</v>
      </c>
      <c r="D3452" s="8" t="n">
        <v>16.5</v>
      </c>
      <c r="E3452" s="8" t="n">
        <v>2</v>
      </c>
      <c r="F3452" s="8" t="n">
        <v>33</v>
      </c>
    </row>
    <row r="3453" customFormat="false" ht="15" hidden="false" customHeight="true" outlineLevel="0" collapsed="false">
      <c r="A3453" s="8" t="s">
        <v>178</v>
      </c>
      <c r="B3453" s="8" t="s">
        <v>1236</v>
      </c>
      <c r="C3453" s="8" t="n">
        <v>2</v>
      </c>
      <c r="D3453" s="8" t="n">
        <v>70</v>
      </c>
      <c r="E3453" s="8" t="n">
        <v>0</v>
      </c>
      <c r="F3453" s="8" t="n">
        <v>0</v>
      </c>
    </row>
    <row r="3454" customFormat="false" ht="15" hidden="false" customHeight="true" outlineLevel="0" collapsed="false">
      <c r="A3454" s="8" t="s">
        <v>235</v>
      </c>
      <c r="B3454" s="8" t="s">
        <v>1236</v>
      </c>
      <c r="C3454" s="8" t="n">
        <v>1</v>
      </c>
      <c r="D3454" s="8" t="n">
        <v>35</v>
      </c>
      <c r="E3454" s="8" t="n">
        <v>0</v>
      </c>
      <c r="F3454" s="8" t="n">
        <v>0</v>
      </c>
    </row>
    <row r="3455" customFormat="false" ht="15" hidden="false" customHeight="true" outlineLevel="0" collapsed="false">
      <c r="A3455" s="8" t="s">
        <v>182</v>
      </c>
      <c r="B3455" s="8" t="s">
        <v>799</v>
      </c>
      <c r="C3455" s="8" t="n">
        <v>0</v>
      </c>
      <c r="D3455" s="8" t="n">
        <v>0</v>
      </c>
      <c r="E3455" s="8" t="n">
        <v>6</v>
      </c>
      <c r="F3455" s="8" t="n">
        <v>120</v>
      </c>
    </row>
    <row r="3456" customFormat="false" ht="15" hidden="false" customHeight="true" outlineLevel="0" collapsed="false">
      <c r="A3456" s="8" t="s">
        <v>170</v>
      </c>
      <c r="B3456" s="8" t="s">
        <v>1220</v>
      </c>
      <c r="C3456" s="8" t="n">
        <v>18</v>
      </c>
      <c r="D3456" s="8" t="n">
        <v>266.4</v>
      </c>
      <c r="E3456" s="8" t="n">
        <v>0</v>
      </c>
      <c r="F3456" s="8" t="n">
        <v>0</v>
      </c>
    </row>
    <row r="3457" customFormat="false" ht="15" hidden="false" customHeight="true" outlineLevel="0" collapsed="false">
      <c r="A3457" s="8" t="s">
        <v>248</v>
      </c>
      <c r="B3457" s="8" t="s">
        <v>1242</v>
      </c>
      <c r="C3457" s="8" t="n">
        <v>4</v>
      </c>
      <c r="D3457" s="8" t="n">
        <v>84</v>
      </c>
      <c r="E3457" s="8" t="n">
        <v>0</v>
      </c>
      <c r="F3457" s="8" t="n">
        <v>0</v>
      </c>
    </row>
    <row r="3458" customFormat="false" ht="15" hidden="false" customHeight="true" outlineLevel="0" collapsed="false">
      <c r="A3458" s="8" t="s">
        <v>196</v>
      </c>
      <c r="B3458" s="8" t="s">
        <v>1243</v>
      </c>
      <c r="C3458" s="8" t="n">
        <v>4</v>
      </c>
      <c r="D3458" s="8" t="n">
        <v>214</v>
      </c>
      <c r="E3458" s="8" t="n">
        <v>0</v>
      </c>
      <c r="F3458" s="8" t="n">
        <v>0</v>
      </c>
    </row>
    <row r="3459" customFormat="false" ht="15" hidden="false" customHeight="true" outlineLevel="0" collapsed="false">
      <c r="A3459" s="8" t="s">
        <v>312</v>
      </c>
      <c r="B3459" s="8" t="s">
        <v>767</v>
      </c>
      <c r="C3459" s="8" t="n">
        <v>4</v>
      </c>
      <c r="D3459" s="8" t="n">
        <v>82</v>
      </c>
      <c r="E3459" s="8" t="n">
        <v>0</v>
      </c>
      <c r="F3459" s="8" t="n">
        <v>0</v>
      </c>
    </row>
    <row r="3460" customFormat="false" ht="15" hidden="false" customHeight="true" outlineLevel="0" collapsed="false">
      <c r="A3460" s="8" t="s">
        <v>226</v>
      </c>
      <c r="B3460" s="8" t="s">
        <v>566</v>
      </c>
      <c r="C3460" s="8" t="n">
        <v>4</v>
      </c>
      <c r="D3460" s="8" t="n">
        <v>83.2</v>
      </c>
      <c r="E3460" s="8" t="n">
        <v>0</v>
      </c>
      <c r="F3460" s="8" t="n">
        <v>0</v>
      </c>
    </row>
    <row r="3461" customFormat="false" ht="15" hidden="false" customHeight="true" outlineLevel="0" collapsed="false">
      <c r="A3461" s="8" t="s">
        <v>200</v>
      </c>
      <c r="B3461" s="8" t="s">
        <v>1279</v>
      </c>
      <c r="C3461" s="8" t="n">
        <v>4</v>
      </c>
      <c r="D3461" s="8" t="n">
        <v>308.96</v>
      </c>
      <c r="E3461" s="8" t="n">
        <v>0</v>
      </c>
      <c r="F3461" s="8" t="n">
        <v>0</v>
      </c>
    </row>
    <row r="3462" customFormat="false" ht="15" hidden="false" customHeight="true" outlineLevel="0" collapsed="false">
      <c r="A3462" s="8" t="s">
        <v>163</v>
      </c>
      <c r="B3462" s="8" t="s">
        <v>897</v>
      </c>
      <c r="C3462" s="8" t="n">
        <v>11</v>
      </c>
      <c r="D3462" s="8" t="n">
        <v>715</v>
      </c>
      <c r="E3462" s="8" t="n">
        <v>0</v>
      </c>
      <c r="F3462" s="8" t="n">
        <v>0</v>
      </c>
    </row>
    <row r="3463" customFormat="false" ht="15" hidden="false" customHeight="true" outlineLevel="0" collapsed="false">
      <c r="A3463" s="8" t="s">
        <v>181</v>
      </c>
      <c r="B3463" s="8" t="s">
        <v>897</v>
      </c>
      <c r="C3463" s="8" t="n">
        <v>6</v>
      </c>
      <c r="D3463" s="8" t="n">
        <v>390</v>
      </c>
      <c r="E3463" s="8" t="n">
        <v>0</v>
      </c>
      <c r="F3463" s="8" t="n">
        <v>0</v>
      </c>
    </row>
    <row r="3464" customFormat="false" ht="15" hidden="false" customHeight="true" outlineLevel="0" collapsed="false">
      <c r="A3464" s="8" t="s">
        <v>165</v>
      </c>
      <c r="B3464" s="8" t="s">
        <v>897</v>
      </c>
      <c r="C3464" s="8" t="n">
        <v>4</v>
      </c>
      <c r="D3464" s="8" t="n">
        <v>260</v>
      </c>
      <c r="E3464" s="8" t="n">
        <v>0</v>
      </c>
      <c r="F3464" s="8" t="n">
        <v>0</v>
      </c>
    </row>
    <row r="3465" customFormat="false" ht="15" hidden="false" customHeight="true" outlineLevel="0" collapsed="false">
      <c r="A3465" s="8" t="s">
        <v>190</v>
      </c>
      <c r="B3465" s="8" t="s">
        <v>1224</v>
      </c>
      <c r="C3465" s="8" t="n">
        <v>17</v>
      </c>
      <c r="D3465" s="8" t="n">
        <v>415.31</v>
      </c>
      <c r="E3465" s="8" t="n">
        <v>0</v>
      </c>
      <c r="F3465" s="8" t="n">
        <v>0</v>
      </c>
    </row>
    <row r="3466" customFormat="false" ht="15" hidden="false" customHeight="true" outlineLevel="0" collapsed="false">
      <c r="A3466" s="8" t="s">
        <v>218</v>
      </c>
      <c r="B3466" s="8" t="s">
        <v>1224</v>
      </c>
      <c r="C3466" s="8" t="n">
        <v>4</v>
      </c>
      <c r="D3466" s="8" t="n">
        <v>97.72</v>
      </c>
      <c r="E3466" s="8" t="n">
        <v>0</v>
      </c>
      <c r="F3466" s="8" t="n">
        <v>0</v>
      </c>
    </row>
    <row r="3467" customFormat="false" ht="15" hidden="false" customHeight="true" outlineLevel="0" collapsed="false">
      <c r="A3467" s="8" t="s">
        <v>231</v>
      </c>
      <c r="B3467" s="8" t="s">
        <v>1224</v>
      </c>
      <c r="C3467" s="8" t="n">
        <v>9</v>
      </c>
      <c r="D3467" s="8" t="n">
        <v>219.87</v>
      </c>
      <c r="E3467" s="8" t="n">
        <v>0</v>
      </c>
      <c r="F3467" s="8" t="n">
        <v>0</v>
      </c>
    </row>
    <row r="3468" customFormat="false" ht="15" hidden="false" customHeight="true" outlineLevel="0" collapsed="false">
      <c r="A3468" s="8" t="s">
        <v>161</v>
      </c>
      <c r="B3468" s="8" t="s">
        <v>1208</v>
      </c>
      <c r="C3468" s="8" t="n">
        <v>4</v>
      </c>
      <c r="D3468" s="8" t="n">
        <v>182</v>
      </c>
      <c r="E3468" s="8" t="n">
        <v>0</v>
      </c>
      <c r="F3468" s="8" t="n">
        <v>0</v>
      </c>
    </row>
    <row r="3469" customFormat="false" ht="15" hidden="false" customHeight="true" outlineLevel="0" collapsed="false">
      <c r="A3469" s="8" t="s">
        <v>171</v>
      </c>
      <c r="B3469" s="8" t="s">
        <v>1210</v>
      </c>
      <c r="C3469" s="8" t="n">
        <v>6</v>
      </c>
      <c r="D3469" s="8" t="n">
        <v>283.38</v>
      </c>
      <c r="E3469" s="8" t="n">
        <v>12</v>
      </c>
      <c r="F3469" s="8" t="n">
        <v>566.76</v>
      </c>
    </row>
    <row r="3470" customFormat="false" ht="15" hidden="false" customHeight="true" outlineLevel="0" collapsed="false">
      <c r="A3470" s="8" t="s">
        <v>174</v>
      </c>
      <c r="B3470" s="8" t="s">
        <v>1210</v>
      </c>
      <c r="C3470" s="8" t="n">
        <v>6</v>
      </c>
      <c r="D3470" s="8" t="n">
        <v>283.38</v>
      </c>
      <c r="E3470" s="8" t="n">
        <v>0</v>
      </c>
      <c r="F3470" s="8" t="n">
        <v>0</v>
      </c>
    </row>
    <row r="3471" customFormat="false" ht="15" hidden="false" customHeight="true" outlineLevel="0" collapsed="false">
      <c r="A3471" s="8" t="s">
        <v>164</v>
      </c>
      <c r="B3471" s="8" t="s">
        <v>1211</v>
      </c>
      <c r="C3471" s="8" t="n">
        <v>5</v>
      </c>
      <c r="D3471" s="8" t="n">
        <v>316.35</v>
      </c>
      <c r="E3471" s="8" t="n">
        <v>0</v>
      </c>
      <c r="F3471" s="8" t="n">
        <v>0</v>
      </c>
    </row>
    <row r="3472" customFormat="false" ht="15" hidden="false" customHeight="true" outlineLevel="0" collapsed="false">
      <c r="A3472" s="8" t="s">
        <v>187</v>
      </c>
      <c r="B3472" s="8" t="s">
        <v>1211</v>
      </c>
      <c r="C3472" s="8" t="n">
        <v>5</v>
      </c>
      <c r="D3472" s="8" t="n">
        <v>316.35</v>
      </c>
      <c r="E3472" s="8" t="n">
        <v>0</v>
      </c>
      <c r="F3472" s="8" t="n">
        <v>0</v>
      </c>
    </row>
    <row r="3473" customFormat="false" ht="15" hidden="false" customHeight="true" outlineLevel="0" collapsed="false">
      <c r="A3473" s="8" t="s">
        <v>270</v>
      </c>
      <c r="B3473" s="8" t="s">
        <v>1251</v>
      </c>
      <c r="C3473" s="8" t="n">
        <v>6</v>
      </c>
      <c r="D3473" s="8" t="n">
        <v>58.92</v>
      </c>
      <c r="E3473" s="8" t="n">
        <v>0</v>
      </c>
      <c r="F3473" s="8" t="n">
        <v>0</v>
      </c>
    </row>
    <row r="3474" customFormat="false" ht="15" hidden="false" customHeight="true" outlineLevel="0" collapsed="false">
      <c r="A3474" s="8" t="s">
        <v>307</v>
      </c>
      <c r="B3474" s="8" t="s">
        <v>1252</v>
      </c>
      <c r="C3474" s="8" t="n">
        <v>2</v>
      </c>
      <c r="D3474" s="8" t="n">
        <v>28.56</v>
      </c>
      <c r="E3474" s="8" t="n">
        <v>0</v>
      </c>
      <c r="F3474" s="8" t="n">
        <v>0</v>
      </c>
    </row>
    <row r="3475" customFormat="false" ht="15" hidden="false" customHeight="true" outlineLevel="0" collapsed="false">
      <c r="A3475" s="8" t="s">
        <v>188</v>
      </c>
      <c r="B3475" s="8" t="s">
        <v>1225</v>
      </c>
      <c r="C3475" s="8" t="n">
        <v>6</v>
      </c>
      <c r="D3475" s="8" t="n">
        <v>173.58</v>
      </c>
      <c r="E3475" s="8" t="n">
        <v>5</v>
      </c>
      <c r="F3475" s="8" t="n">
        <v>144.65</v>
      </c>
    </row>
    <row r="3476" customFormat="false" ht="15" hidden="false" customHeight="true" outlineLevel="0" collapsed="false">
      <c r="A3476" s="8" t="s">
        <v>186</v>
      </c>
      <c r="B3476" s="8" t="s">
        <v>1225</v>
      </c>
      <c r="C3476" s="8" t="n">
        <v>0</v>
      </c>
      <c r="D3476" s="8" t="n">
        <v>0</v>
      </c>
      <c r="E3476" s="8" t="n">
        <v>6</v>
      </c>
      <c r="F3476" s="8" t="n">
        <v>173.58</v>
      </c>
    </row>
    <row r="3477" customFormat="false" ht="15" hidden="false" customHeight="true" outlineLevel="0" collapsed="false">
      <c r="A3477" s="8" t="s">
        <v>278</v>
      </c>
      <c r="B3477" s="8" t="s">
        <v>1225</v>
      </c>
      <c r="C3477" s="8" t="n">
        <v>0</v>
      </c>
      <c r="D3477" s="8" t="n">
        <v>0</v>
      </c>
      <c r="E3477" s="8" t="n">
        <v>4</v>
      </c>
      <c r="F3477" s="8" t="n">
        <v>115.72</v>
      </c>
    </row>
    <row r="3478" customFormat="false" ht="15" hidden="false" customHeight="true" outlineLevel="0" collapsed="false">
      <c r="A3478" s="8" t="s">
        <v>241</v>
      </c>
      <c r="B3478" s="8" t="s">
        <v>1227</v>
      </c>
      <c r="C3478" s="8" t="n">
        <v>4</v>
      </c>
      <c r="D3478" s="8" t="n">
        <v>68</v>
      </c>
      <c r="E3478" s="8" t="n">
        <v>0</v>
      </c>
      <c r="F3478" s="8" t="n">
        <v>0</v>
      </c>
    </row>
    <row r="3479" customFormat="false" ht="15" hidden="false" customHeight="true" outlineLevel="0" collapsed="false">
      <c r="A3479" s="8" t="s">
        <v>219</v>
      </c>
      <c r="B3479" s="8" t="s">
        <v>1227</v>
      </c>
      <c r="C3479" s="8" t="n">
        <v>7</v>
      </c>
      <c r="D3479" s="8" t="n">
        <v>119</v>
      </c>
      <c r="E3479" s="8" t="n">
        <v>0</v>
      </c>
      <c r="F3479" s="8" t="n">
        <v>0</v>
      </c>
    </row>
    <row r="3480" customFormat="false" ht="15" hidden="false" customHeight="true" outlineLevel="0" collapsed="false">
      <c r="A3480" s="8" t="s">
        <v>266</v>
      </c>
      <c r="B3480" s="8" t="s">
        <v>1228</v>
      </c>
      <c r="C3480" s="8" t="n">
        <v>0</v>
      </c>
      <c r="D3480" s="8" t="n">
        <v>0</v>
      </c>
      <c r="E3480" s="8" t="n">
        <v>5</v>
      </c>
      <c r="F3480" s="8" t="n">
        <v>99.6</v>
      </c>
    </row>
    <row r="3481" customFormat="false" ht="15" hidden="false" customHeight="true" outlineLevel="0" collapsed="false">
      <c r="A3481" s="8" t="s">
        <v>202</v>
      </c>
      <c r="B3481" s="8" t="s">
        <v>1212</v>
      </c>
      <c r="C3481" s="8" t="n">
        <v>5</v>
      </c>
      <c r="D3481" s="8" t="n">
        <v>47.5</v>
      </c>
      <c r="E3481" s="8" t="n">
        <v>2</v>
      </c>
      <c r="F3481" s="8" t="n">
        <v>19</v>
      </c>
    </row>
    <row r="3482" customFormat="false" ht="15" hidden="false" customHeight="true" outlineLevel="0" collapsed="false">
      <c r="A3482" s="8" t="s">
        <v>244</v>
      </c>
      <c r="B3482" s="8" t="s">
        <v>1213</v>
      </c>
      <c r="C3482" s="8" t="n">
        <v>5</v>
      </c>
      <c r="D3482" s="8" t="n">
        <v>47.5</v>
      </c>
      <c r="E3482" s="8" t="n">
        <v>0</v>
      </c>
      <c r="F3482" s="8" t="n">
        <v>0</v>
      </c>
    </row>
    <row r="3483" customFormat="false" ht="15" hidden="false" customHeight="true" outlineLevel="0" collapsed="false">
      <c r="A3483" s="8" t="s">
        <v>261</v>
      </c>
      <c r="B3483" s="8" t="s">
        <v>1215</v>
      </c>
      <c r="C3483" s="8" t="n">
        <v>1</v>
      </c>
      <c r="D3483" s="8" t="n">
        <v>21.21</v>
      </c>
      <c r="E3483" s="8" t="n">
        <v>0</v>
      </c>
      <c r="F3483" s="8" t="n">
        <v>0</v>
      </c>
    </row>
    <row r="3484" customFormat="false" ht="15" hidden="false" customHeight="true" outlineLevel="0" collapsed="false">
      <c r="A3484" s="8" t="s">
        <v>232</v>
      </c>
      <c r="B3484" s="8" t="s">
        <v>1233</v>
      </c>
      <c r="C3484" s="8" t="n">
        <v>3</v>
      </c>
      <c r="D3484" s="8" t="n">
        <v>48.6</v>
      </c>
      <c r="E3484" s="8" t="n">
        <v>0</v>
      </c>
      <c r="F3484" s="8" t="n">
        <v>0</v>
      </c>
    </row>
    <row r="3485" customFormat="false" ht="15" hidden="false" customHeight="true" outlineLevel="0" collapsed="false">
      <c r="A3485" s="8" t="s">
        <v>268</v>
      </c>
      <c r="B3485" s="8" t="s">
        <v>1234</v>
      </c>
      <c r="C3485" s="8" t="n">
        <v>3</v>
      </c>
      <c r="D3485" s="8" t="n">
        <v>107.01</v>
      </c>
      <c r="E3485" s="8" t="n">
        <v>0</v>
      </c>
      <c r="F3485" s="8" t="n">
        <v>0</v>
      </c>
    </row>
    <row r="3486" customFormat="false" ht="15" hidden="false" customHeight="true" outlineLevel="0" collapsed="false">
      <c r="A3486" s="8" t="s">
        <v>180</v>
      </c>
      <c r="B3486" s="8" t="s">
        <v>1216</v>
      </c>
      <c r="C3486" s="8" t="n">
        <v>9</v>
      </c>
      <c r="D3486" s="8" t="n">
        <v>148.5</v>
      </c>
      <c r="E3486" s="8" t="n">
        <v>0</v>
      </c>
      <c r="F3486" s="8" t="n">
        <v>0</v>
      </c>
    </row>
    <row r="3487" customFormat="false" ht="15" hidden="false" customHeight="true" outlineLevel="0" collapsed="false">
      <c r="A3487" s="8" t="s">
        <v>189</v>
      </c>
      <c r="B3487" s="8" t="s">
        <v>1216</v>
      </c>
      <c r="C3487" s="8" t="n">
        <v>0</v>
      </c>
      <c r="D3487" s="8" t="n">
        <v>0</v>
      </c>
      <c r="E3487" s="8" t="n">
        <v>5</v>
      </c>
      <c r="F3487" s="8" t="n">
        <v>82.5</v>
      </c>
    </row>
    <row r="3488" customFormat="false" ht="15" hidden="false" customHeight="true" outlineLevel="0" collapsed="false">
      <c r="A3488" s="8" t="s">
        <v>267</v>
      </c>
      <c r="B3488" s="8" t="s">
        <v>1216</v>
      </c>
      <c r="C3488" s="8" t="n">
        <v>0</v>
      </c>
      <c r="D3488" s="8" t="n">
        <v>0</v>
      </c>
      <c r="E3488" s="8" t="n">
        <v>5</v>
      </c>
      <c r="F3488" s="8" t="n">
        <v>82.5</v>
      </c>
    </row>
    <row r="3489" customFormat="false" ht="15" hidden="false" customHeight="true" outlineLevel="0" collapsed="false">
      <c r="A3489" s="8" t="s">
        <v>198</v>
      </c>
      <c r="B3489" s="8" t="s">
        <v>1217</v>
      </c>
      <c r="C3489" s="8" t="n">
        <v>0</v>
      </c>
      <c r="D3489" s="8" t="n">
        <v>0</v>
      </c>
      <c r="E3489" s="8" t="n">
        <v>9</v>
      </c>
      <c r="F3489" s="8" t="n">
        <v>184.5</v>
      </c>
    </row>
    <row r="3490" customFormat="false" ht="15" hidden="false" customHeight="true" outlineLevel="0" collapsed="false">
      <c r="A3490" s="8" t="s">
        <v>205</v>
      </c>
      <c r="B3490" s="8" t="s">
        <v>1217</v>
      </c>
      <c r="C3490" s="8" t="n">
        <v>8</v>
      </c>
      <c r="D3490" s="8" t="n">
        <v>164</v>
      </c>
      <c r="E3490" s="8" t="n">
        <v>0</v>
      </c>
      <c r="F3490" s="8" t="n">
        <v>0</v>
      </c>
    </row>
    <row r="3491" customFormat="false" ht="15" hidden="false" customHeight="true" outlineLevel="0" collapsed="false">
      <c r="A3491" s="8" t="s">
        <v>277</v>
      </c>
      <c r="B3491" s="8" t="s">
        <v>1285</v>
      </c>
      <c r="C3491" s="8" t="n">
        <v>2</v>
      </c>
      <c r="D3491" s="8" t="n">
        <v>272.6</v>
      </c>
      <c r="E3491" s="8" t="n">
        <v>2</v>
      </c>
      <c r="F3491" s="8" t="n">
        <v>272.6</v>
      </c>
    </row>
    <row r="3492" customFormat="false" ht="15" hidden="false" customHeight="true" outlineLevel="0" collapsed="false">
      <c r="A3492" s="8" t="s">
        <v>249</v>
      </c>
      <c r="B3492" s="8" t="s">
        <v>1285</v>
      </c>
      <c r="C3492" s="8" t="n">
        <v>0</v>
      </c>
      <c r="D3492" s="8" t="n">
        <v>0</v>
      </c>
      <c r="E3492" s="8" t="n">
        <v>2</v>
      </c>
      <c r="F3492" s="8" t="n">
        <v>272.6</v>
      </c>
    </row>
    <row r="3493" customFormat="false" ht="15" hidden="false" customHeight="true" outlineLevel="0" collapsed="false">
      <c r="A3493" s="8" t="s">
        <v>176</v>
      </c>
      <c r="B3493" s="8" t="s">
        <v>1236</v>
      </c>
      <c r="C3493" s="8" t="n">
        <v>13</v>
      </c>
      <c r="D3493" s="8" t="n">
        <v>455</v>
      </c>
      <c r="E3493" s="8" t="n">
        <v>0</v>
      </c>
      <c r="F3493" s="8" t="n">
        <v>0</v>
      </c>
    </row>
    <row r="3494" customFormat="false" ht="15" hidden="false" customHeight="true" outlineLevel="0" collapsed="false">
      <c r="A3494" s="8" t="s">
        <v>235</v>
      </c>
      <c r="B3494" s="8" t="s">
        <v>1236</v>
      </c>
      <c r="C3494" s="8" t="n">
        <v>5</v>
      </c>
      <c r="D3494" s="8" t="n">
        <v>175</v>
      </c>
      <c r="E3494" s="8" t="n">
        <v>0</v>
      </c>
      <c r="F3494" s="8" t="n">
        <v>0</v>
      </c>
    </row>
    <row r="3495" customFormat="false" ht="15" hidden="false" customHeight="true" outlineLevel="0" collapsed="false">
      <c r="A3495" s="8" t="s">
        <v>224</v>
      </c>
      <c r="B3495" s="8" t="s">
        <v>1236</v>
      </c>
      <c r="C3495" s="8" t="n">
        <v>3</v>
      </c>
      <c r="D3495" s="8" t="n">
        <v>105</v>
      </c>
      <c r="E3495" s="8" t="n">
        <v>3</v>
      </c>
      <c r="F3495" s="8" t="n">
        <v>105</v>
      </c>
    </row>
    <row r="3496" customFormat="false" ht="15" hidden="false" customHeight="true" outlineLevel="0" collapsed="false">
      <c r="A3496" s="8" t="s">
        <v>240</v>
      </c>
      <c r="B3496" s="8" t="s">
        <v>769</v>
      </c>
      <c r="C3496" s="8" t="n">
        <v>4</v>
      </c>
      <c r="D3496" s="8" t="n">
        <v>68</v>
      </c>
      <c r="E3496" s="8" t="n">
        <v>0</v>
      </c>
      <c r="F3496" s="8" t="n">
        <v>0</v>
      </c>
    </row>
    <row r="3497" customFormat="false" ht="15" hidden="false" customHeight="true" outlineLevel="0" collapsed="false">
      <c r="A3497" s="8" t="s">
        <v>234</v>
      </c>
      <c r="B3497" s="8" t="s">
        <v>769</v>
      </c>
      <c r="C3497" s="8" t="n">
        <v>5</v>
      </c>
      <c r="D3497" s="8" t="n">
        <v>85</v>
      </c>
      <c r="E3497" s="8" t="n">
        <v>0</v>
      </c>
      <c r="F3497" s="8" t="n">
        <v>0</v>
      </c>
    </row>
    <row r="3498" customFormat="false" ht="15" hidden="false" customHeight="true" outlineLevel="0" collapsed="false">
      <c r="A3498" s="8" t="s">
        <v>247</v>
      </c>
      <c r="B3498" s="8" t="s">
        <v>769</v>
      </c>
      <c r="C3498" s="8" t="n">
        <v>5</v>
      </c>
      <c r="D3498" s="8" t="n">
        <v>85</v>
      </c>
      <c r="E3498" s="8" t="n">
        <v>0</v>
      </c>
      <c r="F3498" s="8" t="n">
        <v>0</v>
      </c>
    </row>
    <row r="3499" customFormat="false" ht="15" hidden="false" customHeight="true" outlineLevel="0" collapsed="false">
      <c r="A3499" s="8" t="s">
        <v>300</v>
      </c>
      <c r="B3499" s="8" t="s">
        <v>769</v>
      </c>
      <c r="C3499" s="8" t="n">
        <v>4</v>
      </c>
      <c r="D3499" s="8" t="n">
        <v>68</v>
      </c>
      <c r="E3499" s="8" t="n">
        <v>0</v>
      </c>
      <c r="F3499" s="8" t="n">
        <v>0</v>
      </c>
    </row>
    <row r="3500" customFormat="false" ht="15" hidden="false" customHeight="true" outlineLevel="0" collapsed="false">
      <c r="A3500" s="8" t="s">
        <v>182</v>
      </c>
      <c r="B3500" s="8" t="s">
        <v>799</v>
      </c>
      <c r="C3500" s="8" t="n">
        <v>8</v>
      </c>
      <c r="D3500" s="8" t="n">
        <v>160</v>
      </c>
      <c r="E3500" s="8" t="n">
        <v>0</v>
      </c>
      <c r="F3500" s="8" t="n">
        <v>0</v>
      </c>
    </row>
    <row r="3501" customFormat="false" ht="15" hidden="false" customHeight="true" outlineLevel="0" collapsed="false">
      <c r="A3501" s="8" t="s">
        <v>200</v>
      </c>
      <c r="B3501" s="8" t="s">
        <v>1279</v>
      </c>
      <c r="C3501" s="8" t="n">
        <v>4</v>
      </c>
      <c r="D3501" s="8" t="n">
        <v>308.96</v>
      </c>
      <c r="E3501" s="8" t="n">
        <v>0</v>
      </c>
      <c r="F3501" s="8" t="n">
        <v>0</v>
      </c>
    </row>
    <row r="3502" customFormat="false" ht="15" hidden="false" customHeight="true" outlineLevel="0" collapsed="false">
      <c r="A3502" s="8" t="s">
        <v>163</v>
      </c>
      <c r="B3502" s="8" t="s">
        <v>897</v>
      </c>
      <c r="C3502" s="8" t="n">
        <v>3</v>
      </c>
      <c r="D3502" s="8" t="n">
        <v>195</v>
      </c>
      <c r="E3502" s="8" t="n">
        <v>3</v>
      </c>
      <c r="F3502" s="8" t="n">
        <v>195</v>
      </c>
    </row>
    <row r="3503" customFormat="false" ht="15" hidden="false" customHeight="true" outlineLevel="0" collapsed="false">
      <c r="A3503" s="8" t="s">
        <v>181</v>
      </c>
      <c r="B3503" s="8" t="s">
        <v>897</v>
      </c>
      <c r="C3503" s="8" t="n">
        <v>2</v>
      </c>
      <c r="D3503" s="8" t="n">
        <v>130</v>
      </c>
      <c r="E3503" s="8" t="n">
        <v>3</v>
      </c>
      <c r="F3503" s="8" t="n">
        <v>195</v>
      </c>
    </row>
    <row r="3504" customFormat="false" ht="15" hidden="false" customHeight="true" outlineLevel="0" collapsed="false">
      <c r="A3504" s="8" t="s">
        <v>165</v>
      </c>
      <c r="B3504" s="8" t="s">
        <v>897</v>
      </c>
      <c r="C3504" s="8" t="n">
        <v>7</v>
      </c>
      <c r="D3504" s="8" t="n">
        <v>455</v>
      </c>
      <c r="E3504" s="8" t="n">
        <v>3</v>
      </c>
      <c r="F3504" s="8" t="n">
        <v>195</v>
      </c>
    </row>
    <row r="3505" customFormat="false" ht="15" hidden="false" customHeight="true" outlineLevel="0" collapsed="false">
      <c r="A3505" s="8" t="s">
        <v>184</v>
      </c>
      <c r="B3505" s="8" t="s">
        <v>897</v>
      </c>
      <c r="C3505" s="8" t="n">
        <v>4</v>
      </c>
      <c r="D3505" s="8" t="n">
        <v>260</v>
      </c>
      <c r="E3505" s="8" t="n">
        <v>0</v>
      </c>
      <c r="F3505" s="8" t="n">
        <v>0</v>
      </c>
    </row>
    <row r="3506" customFormat="false" ht="15" hidden="false" customHeight="true" outlineLevel="0" collapsed="false">
      <c r="A3506" s="8" t="s">
        <v>190</v>
      </c>
      <c r="B3506" s="8" t="s">
        <v>1224</v>
      </c>
      <c r="C3506" s="8" t="n">
        <v>3</v>
      </c>
      <c r="D3506" s="8" t="n">
        <v>73.29</v>
      </c>
      <c r="E3506" s="8" t="n">
        <v>0</v>
      </c>
      <c r="F3506" s="8" t="n">
        <v>0</v>
      </c>
    </row>
    <row r="3507" customFormat="false" ht="15" hidden="false" customHeight="true" outlineLevel="0" collapsed="false">
      <c r="A3507" s="8" t="s">
        <v>183</v>
      </c>
      <c r="B3507" s="8" t="s">
        <v>1224</v>
      </c>
      <c r="C3507" s="8" t="n">
        <v>5</v>
      </c>
      <c r="D3507" s="8" t="n">
        <v>122.15</v>
      </c>
      <c r="E3507" s="8" t="n">
        <v>0</v>
      </c>
      <c r="F3507" s="8" t="n">
        <v>0</v>
      </c>
    </row>
    <row r="3508" customFormat="false" ht="15" hidden="false" customHeight="true" outlineLevel="0" collapsed="false">
      <c r="A3508" s="8" t="s">
        <v>218</v>
      </c>
      <c r="B3508" s="8" t="s">
        <v>1224</v>
      </c>
      <c r="C3508" s="8" t="n">
        <v>3</v>
      </c>
      <c r="D3508" s="8" t="n">
        <v>73.29</v>
      </c>
      <c r="E3508" s="8" t="n">
        <v>0</v>
      </c>
      <c r="F3508" s="8" t="n">
        <v>0</v>
      </c>
    </row>
    <row r="3509" customFormat="false" ht="15" hidden="false" customHeight="true" outlineLevel="0" collapsed="false">
      <c r="A3509" s="8" t="s">
        <v>231</v>
      </c>
      <c r="B3509" s="8" t="s">
        <v>1224</v>
      </c>
      <c r="C3509" s="8" t="n">
        <v>2</v>
      </c>
      <c r="D3509" s="8" t="n">
        <v>48.86</v>
      </c>
      <c r="E3509" s="8" t="n">
        <v>0</v>
      </c>
      <c r="F3509" s="8" t="n">
        <v>0</v>
      </c>
    </row>
    <row r="3510" customFormat="false" ht="15" hidden="false" customHeight="true" outlineLevel="0" collapsed="false">
      <c r="A3510" s="8" t="s">
        <v>161</v>
      </c>
      <c r="B3510" s="8" t="s">
        <v>1208</v>
      </c>
      <c r="C3510" s="8" t="n">
        <v>7</v>
      </c>
      <c r="D3510" s="8" t="n">
        <v>318.5</v>
      </c>
      <c r="E3510" s="8" t="n">
        <v>5</v>
      </c>
      <c r="F3510" s="8" t="n">
        <v>227.5</v>
      </c>
    </row>
    <row r="3511" customFormat="false" ht="15" hidden="false" customHeight="true" outlineLevel="0" collapsed="false">
      <c r="A3511" s="8" t="s">
        <v>162</v>
      </c>
      <c r="B3511" s="8" t="s">
        <v>1209</v>
      </c>
      <c r="C3511" s="8" t="n">
        <v>1</v>
      </c>
      <c r="D3511" s="8" t="n">
        <v>77.8</v>
      </c>
      <c r="E3511" s="8" t="n">
        <v>2</v>
      </c>
      <c r="F3511" s="8" t="n">
        <v>155.6</v>
      </c>
    </row>
    <row r="3512" customFormat="false" ht="15" hidden="false" customHeight="true" outlineLevel="0" collapsed="false">
      <c r="A3512" s="8" t="s">
        <v>166</v>
      </c>
      <c r="B3512" s="8" t="s">
        <v>1211</v>
      </c>
      <c r="C3512" s="8" t="n">
        <v>1</v>
      </c>
      <c r="D3512" s="8" t="n">
        <v>63.27</v>
      </c>
      <c r="E3512" s="8" t="n">
        <v>0</v>
      </c>
      <c r="F3512" s="8" t="n">
        <v>0</v>
      </c>
    </row>
    <row r="3513" customFormat="false" ht="15" hidden="false" customHeight="true" outlineLevel="0" collapsed="false">
      <c r="A3513" s="8" t="s">
        <v>164</v>
      </c>
      <c r="B3513" s="8" t="s">
        <v>1211</v>
      </c>
      <c r="C3513" s="8" t="n">
        <v>2</v>
      </c>
      <c r="D3513" s="8" t="n">
        <v>126.54</v>
      </c>
      <c r="E3513" s="8" t="n">
        <v>0</v>
      </c>
      <c r="F3513" s="8" t="n">
        <v>0</v>
      </c>
    </row>
    <row r="3514" customFormat="false" ht="15" hidden="false" customHeight="true" outlineLevel="0" collapsed="false">
      <c r="A3514" s="8" t="s">
        <v>188</v>
      </c>
      <c r="B3514" s="8" t="s">
        <v>1225</v>
      </c>
      <c r="C3514" s="8" t="n">
        <v>2</v>
      </c>
      <c r="D3514" s="8" t="n">
        <v>57.86</v>
      </c>
      <c r="E3514" s="8" t="n">
        <v>0</v>
      </c>
      <c r="F3514" s="8" t="n">
        <v>0</v>
      </c>
    </row>
    <row r="3515" customFormat="false" ht="15" hidden="false" customHeight="true" outlineLevel="0" collapsed="false">
      <c r="A3515" s="8" t="s">
        <v>186</v>
      </c>
      <c r="B3515" s="8" t="s">
        <v>1225</v>
      </c>
      <c r="C3515" s="8" t="n">
        <v>2</v>
      </c>
      <c r="D3515" s="8" t="n">
        <v>57.86</v>
      </c>
      <c r="E3515" s="8" t="n">
        <v>0</v>
      </c>
      <c r="F3515" s="8" t="n">
        <v>0</v>
      </c>
    </row>
    <row r="3516" customFormat="false" ht="15" hidden="false" customHeight="true" outlineLevel="0" collapsed="false">
      <c r="A3516" s="8" t="s">
        <v>210</v>
      </c>
      <c r="B3516" s="8" t="s">
        <v>1225</v>
      </c>
      <c r="C3516" s="8" t="n">
        <v>4</v>
      </c>
      <c r="D3516" s="8" t="n">
        <v>115.72</v>
      </c>
      <c r="E3516" s="8" t="n">
        <v>0</v>
      </c>
      <c r="F3516" s="8" t="n">
        <v>0</v>
      </c>
    </row>
    <row r="3517" customFormat="false" ht="15" hidden="false" customHeight="true" outlineLevel="0" collapsed="false">
      <c r="A3517" s="8" t="s">
        <v>238</v>
      </c>
      <c r="B3517" s="8" t="s">
        <v>1226</v>
      </c>
      <c r="C3517" s="8" t="n">
        <v>2</v>
      </c>
      <c r="D3517" s="8" t="n">
        <v>84.34</v>
      </c>
      <c r="E3517" s="8" t="n">
        <v>0</v>
      </c>
      <c r="F3517" s="8" t="n">
        <v>0</v>
      </c>
    </row>
    <row r="3518" customFormat="false" ht="15" hidden="false" customHeight="true" outlineLevel="0" collapsed="false">
      <c r="A3518" s="8" t="s">
        <v>214</v>
      </c>
      <c r="B3518" s="8" t="s">
        <v>1226</v>
      </c>
      <c r="C3518" s="8" t="n">
        <v>2</v>
      </c>
      <c r="D3518" s="8" t="n">
        <v>84.34</v>
      </c>
      <c r="E3518" s="8" t="n">
        <v>0</v>
      </c>
      <c r="F3518" s="8" t="n">
        <v>0</v>
      </c>
    </row>
    <row r="3519" customFormat="false" ht="15" hidden="false" customHeight="true" outlineLevel="0" collapsed="false">
      <c r="A3519" s="8" t="s">
        <v>241</v>
      </c>
      <c r="B3519" s="8" t="s">
        <v>1227</v>
      </c>
      <c r="C3519" s="8" t="n">
        <v>2</v>
      </c>
      <c r="D3519" s="8" t="n">
        <v>34</v>
      </c>
      <c r="E3519" s="8" t="n">
        <v>0</v>
      </c>
      <c r="F3519" s="8" t="n">
        <v>0</v>
      </c>
    </row>
    <row r="3520" customFormat="false" ht="15" hidden="false" customHeight="true" outlineLevel="0" collapsed="false">
      <c r="A3520" s="8" t="s">
        <v>219</v>
      </c>
      <c r="B3520" s="8" t="s">
        <v>1227</v>
      </c>
      <c r="C3520" s="8" t="n">
        <v>2</v>
      </c>
      <c r="D3520" s="8" t="n">
        <v>34</v>
      </c>
      <c r="E3520" s="8" t="n">
        <v>0</v>
      </c>
      <c r="F3520" s="8" t="n">
        <v>0</v>
      </c>
    </row>
    <row r="3521" customFormat="false" ht="15" hidden="false" customHeight="true" outlineLevel="0" collapsed="false">
      <c r="A3521" s="8" t="s">
        <v>223</v>
      </c>
      <c r="B3521" s="8" t="s">
        <v>1227</v>
      </c>
      <c r="C3521" s="8" t="n">
        <v>3</v>
      </c>
      <c r="D3521" s="8" t="n">
        <v>51</v>
      </c>
      <c r="E3521" s="8" t="n">
        <v>0</v>
      </c>
      <c r="F3521" s="8" t="n">
        <v>0</v>
      </c>
    </row>
    <row r="3522" customFormat="false" ht="15" hidden="false" customHeight="true" outlineLevel="0" collapsed="false">
      <c r="A3522" s="8" t="s">
        <v>287</v>
      </c>
      <c r="B3522" s="8" t="s">
        <v>1227</v>
      </c>
      <c r="C3522" s="8" t="n">
        <v>5</v>
      </c>
      <c r="D3522" s="8" t="n">
        <v>85</v>
      </c>
      <c r="E3522" s="8" t="n">
        <v>0</v>
      </c>
      <c r="F3522" s="8" t="n">
        <v>0</v>
      </c>
    </row>
    <row r="3523" customFormat="false" ht="15" hidden="false" customHeight="true" outlineLevel="0" collapsed="false">
      <c r="A3523" s="8" t="s">
        <v>172</v>
      </c>
      <c r="B3523" s="8" t="s">
        <v>1214</v>
      </c>
      <c r="C3523" s="8" t="n">
        <v>11</v>
      </c>
      <c r="D3523" s="8" t="n">
        <v>133.98</v>
      </c>
      <c r="E3523" s="8" t="n">
        <v>0</v>
      </c>
      <c r="F3523" s="8" t="n">
        <v>0</v>
      </c>
    </row>
    <row r="3524" customFormat="false" ht="15" hidden="false" customHeight="true" outlineLevel="0" collapsed="false">
      <c r="A3524" s="8" t="s">
        <v>255</v>
      </c>
      <c r="B3524" s="8" t="s">
        <v>1273</v>
      </c>
      <c r="C3524" s="8" t="n">
        <v>8</v>
      </c>
      <c r="D3524" s="8" t="n">
        <v>65.6</v>
      </c>
      <c r="E3524" s="8" t="n">
        <v>0</v>
      </c>
      <c r="F3524" s="8" t="n">
        <v>0</v>
      </c>
    </row>
    <row r="3525" customFormat="false" ht="15" hidden="false" customHeight="true" outlineLevel="0" collapsed="false">
      <c r="A3525" s="8" t="s">
        <v>194</v>
      </c>
      <c r="B3525" s="8" t="s">
        <v>1239</v>
      </c>
      <c r="C3525" s="8" t="n">
        <v>8</v>
      </c>
      <c r="D3525" s="8" t="n">
        <v>78.56</v>
      </c>
      <c r="E3525" s="8" t="n">
        <v>0</v>
      </c>
      <c r="F3525" s="8" t="n">
        <v>0</v>
      </c>
    </row>
    <row r="3526" customFormat="false" ht="15" hidden="false" customHeight="true" outlineLevel="0" collapsed="false">
      <c r="A3526" s="8" t="s">
        <v>355</v>
      </c>
      <c r="B3526" s="8" t="s">
        <v>1241</v>
      </c>
      <c r="C3526" s="8" t="n">
        <v>2</v>
      </c>
      <c r="D3526" s="8" t="n">
        <v>154.48</v>
      </c>
      <c r="E3526" s="8" t="n">
        <v>0</v>
      </c>
      <c r="F3526" s="8" t="n">
        <v>0</v>
      </c>
    </row>
    <row r="3527" customFormat="false" ht="15" hidden="false" customHeight="true" outlineLevel="0" collapsed="false">
      <c r="A3527" s="8" t="s">
        <v>180</v>
      </c>
      <c r="B3527" s="8" t="s">
        <v>1216</v>
      </c>
      <c r="C3527" s="8" t="n">
        <v>6</v>
      </c>
      <c r="D3527" s="8" t="n">
        <v>99</v>
      </c>
      <c r="E3527" s="8" t="n">
        <v>0</v>
      </c>
      <c r="F3527" s="8" t="n">
        <v>0</v>
      </c>
    </row>
    <row r="3528" customFormat="false" ht="15" hidden="false" customHeight="true" outlineLevel="0" collapsed="false">
      <c r="A3528" s="8" t="s">
        <v>189</v>
      </c>
      <c r="B3528" s="8" t="s">
        <v>1216</v>
      </c>
      <c r="C3528" s="8" t="n">
        <v>4</v>
      </c>
      <c r="D3528" s="8" t="n">
        <v>66</v>
      </c>
      <c r="E3528" s="8" t="n">
        <v>0</v>
      </c>
      <c r="F3528" s="8" t="n">
        <v>0</v>
      </c>
    </row>
    <row r="3529" customFormat="false" ht="15" hidden="false" customHeight="true" outlineLevel="0" collapsed="false">
      <c r="A3529" s="8" t="s">
        <v>267</v>
      </c>
      <c r="B3529" s="8" t="s">
        <v>1216</v>
      </c>
      <c r="C3529" s="8" t="n">
        <v>6</v>
      </c>
      <c r="D3529" s="8" t="n">
        <v>99</v>
      </c>
      <c r="E3529" s="8" t="n">
        <v>0</v>
      </c>
      <c r="F3529" s="8" t="n">
        <v>0</v>
      </c>
    </row>
    <row r="3530" customFormat="false" ht="15" hidden="false" customHeight="true" outlineLevel="0" collapsed="false">
      <c r="A3530" s="8" t="s">
        <v>199</v>
      </c>
      <c r="B3530" s="8" t="s">
        <v>1216</v>
      </c>
      <c r="C3530" s="8" t="n">
        <v>6</v>
      </c>
      <c r="D3530" s="8" t="n">
        <v>99</v>
      </c>
      <c r="E3530" s="8" t="n">
        <v>0</v>
      </c>
      <c r="F3530" s="8" t="n">
        <v>0</v>
      </c>
    </row>
    <row r="3531" customFormat="false" ht="15" hidden="false" customHeight="true" outlineLevel="0" collapsed="false">
      <c r="A3531" s="8" t="s">
        <v>198</v>
      </c>
      <c r="B3531" s="8" t="s">
        <v>1217</v>
      </c>
      <c r="C3531" s="8" t="n">
        <v>4</v>
      </c>
      <c r="D3531" s="8" t="n">
        <v>82</v>
      </c>
      <c r="E3531" s="8" t="n">
        <v>0</v>
      </c>
      <c r="F3531" s="8" t="n">
        <v>0</v>
      </c>
    </row>
    <row r="3532" customFormat="false" ht="15" hidden="false" customHeight="true" outlineLevel="0" collapsed="false">
      <c r="A3532" s="8" t="s">
        <v>193</v>
      </c>
      <c r="B3532" s="8" t="s">
        <v>1217</v>
      </c>
      <c r="C3532" s="8" t="n">
        <v>2</v>
      </c>
      <c r="D3532" s="8" t="n">
        <v>41</v>
      </c>
      <c r="E3532" s="8" t="n">
        <v>0</v>
      </c>
      <c r="F3532" s="8" t="n">
        <v>0</v>
      </c>
    </row>
    <row r="3533" customFormat="false" ht="15" hidden="false" customHeight="true" outlineLevel="0" collapsed="false">
      <c r="A3533" s="8" t="s">
        <v>302</v>
      </c>
      <c r="B3533" s="8" t="s">
        <v>1217</v>
      </c>
      <c r="C3533" s="8" t="n">
        <v>1</v>
      </c>
      <c r="D3533" s="8" t="n">
        <v>20.5</v>
      </c>
      <c r="E3533" s="8" t="n">
        <v>0</v>
      </c>
      <c r="F3533" s="8" t="n">
        <v>0</v>
      </c>
    </row>
    <row r="3534" customFormat="false" ht="15" hidden="false" customHeight="true" outlineLevel="0" collapsed="false">
      <c r="A3534" s="8" t="s">
        <v>256</v>
      </c>
      <c r="B3534" s="8" t="s">
        <v>1217</v>
      </c>
      <c r="C3534" s="8" t="n">
        <v>2</v>
      </c>
      <c r="D3534" s="8" t="n">
        <v>41</v>
      </c>
      <c r="E3534" s="8" t="n">
        <v>0</v>
      </c>
      <c r="F3534" s="8" t="n">
        <v>0</v>
      </c>
    </row>
    <row r="3535" customFormat="false" ht="15" hidden="false" customHeight="true" outlineLevel="0" collapsed="false">
      <c r="A3535" s="8" t="s">
        <v>178</v>
      </c>
      <c r="B3535" s="8" t="s">
        <v>1236</v>
      </c>
      <c r="C3535" s="8" t="n">
        <v>3</v>
      </c>
      <c r="D3535" s="8" t="n">
        <v>105</v>
      </c>
      <c r="E3535" s="8" t="n">
        <v>0</v>
      </c>
      <c r="F3535" s="8" t="n">
        <v>0</v>
      </c>
    </row>
    <row r="3536" customFormat="false" ht="15" hidden="false" customHeight="true" outlineLevel="0" collapsed="false">
      <c r="A3536" s="8" t="s">
        <v>176</v>
      </c>
      <c r="B3536" s="8" t="s">
        <v>1236</v>
      </c>
      <c r="C3536" s="8" t="n">
        <v>2</v>
      </c>
      <c r="D3536" s="8" t="n">
        <v>70</v>
      </c>
      <c r="E3536" s="8" t="n">
        <v>0</v>
      </c>
      <c r="F3536" s="8" t="n">
        <v>0</v>
      </c>
    </row>
    <row r="3537" customFormat="false" ht="15" hidden="false" customHeight="true" outlineLevel="0" collapsed="false">
      <c r="A3537" s="8" t="s">
        <v>224</v>
      </c>
      <c r="B3537" s="8" t="s">
        <v>1236</v>
      </c>
      <c r="C3537" s="8" t="n">
        <v>1</v>
      </c>
      <c r="D3537" s="8" t="n">
        <v>35</v>
      </c>
      <c r="E3537" s="8" t="n">
        <v>0</v>
      </c>
      <c r="F3537" s="8" t="n">
        <v>0</v>
      </c>
    </row>
    <row r="3538" customFormat="false" ht="15" hidden="false" customHeight="true" outlineLevel="0" collapsed="false">
      <c r="A3538" s="8" t="s">
        <v>240</v>
      </c>
      <c r="B3538" s="8" t="s">
        <v>769</v>
      </c>
      <c r="C3538" s="8" t="n">
        <v>1</v>
      </c>
      <c r="D3538" s="8" t="n">
        <v>17</v>
      </c>
      <c r="E3538" s="8" t="n">
        <v>0</v>
      </c>
      <c r="F3538" s="8" t="n">
        <v>0</v>
      </c>
    </row>
    <row r="3539" customFormat="false" ht="15" hidden="false" customHeight="true" outlineLevel="0" collapsed="false">
      <c r="A3539" s="8" t="s">
        <v>234</v>
      </c>
      <c r="B3539" s="8" t="s">
        <v>769</v>
      </c>
      <c r="C3539" s="8" t="n">
        <v>1</v>
      </c>
      <c r="D3539" s="8" t="n">
        <v>17</v>
      </c>
      <c r="E3539" s="8" t="n">
        <v>0</v>
      </c>
      <c r="F3539" s="8" t="n">
        <v>0</v>
      </c>
    </row>
    <row r="3540" customFormat="false" ht="15" hidden="false" customHeight="true" outlineLevel="0" collapsed="false">
      <c r="A3540" s="8" t="s">
        <v>274</v>
      </c>
      <c r="B3540" s="8" t="s">
        <v>1219</v>
      </c>
      <c r="C3540" s="8" t="n">
        <v>3</v>
      </c>
      <c r="D3540" s="8" t="n">
        <v>26.19</v>
      </c>
      <c r="E3540" s="8" t="n">
        <v>0</v>
      </c>
      <c r="F3540" s="8" t="n">
        <v>0</v>
      </c>
    </row>
    <row r="3541" customFormat="false" ht="15" hidden="false" customHeight="true" outlineLevel="0" collapsed="false">
      <c r="A3541" s="8" t="s">
        <v>170</v>
      </c>
      <c r="B3541" s="8" t="s">
        <v>1220</v>
      </c>
      <c r="C3541" s="8" t="n">
        <v>18</v>
      </c>
      <c r="D3541" s="8" t="n">
        <v>266.4</v>
      </c>
      <c r="E3541" s="8" t="n">
        <v>0</v>
      </c>
      <c r="F3541" s="8" t="n">
        <v>0</v>
      </c>
    </row>
    <row r="3542" customFormat="false" ht="15" hidden="false" customHeight="true" outlineLevel="0" collapsed="false">
      <c r="A3542" s="8" t="s">
        <v>167</v>
      </c>
      <c r="B3542" s="8" t="s">
        <v>1238</v>
      </c>
      <c r="C3542" s="8" t="n">
        <v>3</v>
      </c>
      <c r="D3542" s="8" t="n">
        <v>40.2</v>
      </c>
      <c r="E3542" s="8" t="n">
        <v>0</v>
      </c>
      <c r="F3542" s="8" t="n">
        <v>0</v>
      </c>
    </row>
    <row r="3543" customFormat="false" ht="15" hidden="false" customHeight="true" outlineLevel="0" collapsed="false">
      <c r="A3543" s="8" t="s">
        <v>258</v>
      </c>
      <c r="B3543" s="8" t="s">
        <v>562</v>
      </c>
      <c r="C3543" s="8" t="n">
        <v>2</v>
      </c>
      <c r="D3543" s="8" t="n">
        <v>72</v>
      </c>
      <c r="E3543" s="8" t="n">
        <v>0</v>
      </c>
      <c r="F3543" s="8" t="n">
        <v>0</v>
      </c>
    </row>
    <row r="3544" customFormat="false" ht="15" hidden="false" customHeight="true" outlineLevel="0" collapsed="false">
      <c r="A3544" s="8" t="s">
        <v>203</v>
      </c>
      <c r="B3544" s="8" t="s">
        <v>1177</v>
      </c>
      <c r="C3544" s="8" t="n">
        <v>6</v>
      </c>
      <c r="D3544" s="8" t="n">
        <v>111</v>
      </c>
      <c r="E3544" s="8" t="n">
        <v>0</v>
      </c>
      <c r="F3544" s="8" t="n">
        <v>0</v>
      </c>
    </row>
    <row r="3545" customFormat="false" ht="15" hidden="false" customHeight="true" outlineLevel="0" collapsed="false">
      <c r="A3545" s="8" t="s">
        <v>226</v>
      </c>
      <c r="B3545" s="8" t="s">
        <v>566</v>
      </c>
      <c r="C3545" s="8" t="n">
        <v>4</v>
      </c>
      <c r="D3545" s="8" t="n">
        <v>83.2</v>
      </c>
      <c r="E3545" s="8" t="n">
        <v>0</v>
      </c>
      <c r="F3545" s="8" t="n">
        <v>0</v>
      </c>
    </row>
    <row r="3546" customFormat="false" ht="15" hidden="false" customHeight="true" outlineLevel="0" collapsed="false">
      <c r="A3546" s="8" t="s">
        <v>163</v>
      </c>
      <c r="B3546" s="8" t="s">
        <v>897</v>
      </c>
      <c r="C3546" s="8" t="n">
        <v>4</v>
      </c>
      <c r="D3546" s="8" t="n">
        <v>260</v>
      </c>
      <c r="E3546" s="8" t="n">
        <v>0</v>
      </c>
      <c r="F3546" s="8" t="n">
        <v>0</v>
      </c>
    </row>
    <row r="3547" customFormat="false" ht="15" hidden="false" customHeight="true" outlineLevel="0" collapsed="false">
      <c r="A3547" s="8" t="s">
        <v>165</v>
      </c>
      <c r="B3547" s="8" t="s">
        <v>897</v>
      </c>
      <c r="C3547" s="8" t="n">
        <v>1</v>
      </c>
      <c r="D3547" s="8" t="n">
        <v>65</v>
      </c>
      <c r="E3547" s="8" t="n">
        <v>0</v>
      </c>
      <c r="F3547" s="8" t="n">
        <v>0</v>
      </c>
    </row>
    <row r="3548" customFormat="false" ht="15" hidden="false" customHeight="true" outlineLevel="0" collapsed="false">
      <c r="A3548" s="8" t="s">
        <v>184</v>
      </c>
      <c r="B3548" s="8" t="s">
        <v>897</v>
      </c>
      <c r="C3548" s="8" t="n">
        <v>3</v>
      </c>
      <c r="D3548" s="8" t="n">
        <v>195</v>
      </c>
      <c r="E3548" s="8" t="n">
        <v>0</v>
      </c>
      <c r="F3548" s="8" t="n">
        <v>0</v>
      </c>
    </row>
    <row r="3549" customFormat="false" ht="15" hidden="false" customHeight="true" outlineLevel="0" collapsed="false">
      <c r="A3549" s="8" t="s">
        <v>293</v>
      </c>
      <c r="B3549" s="8" t="s">
        <v>1292</v>
      </c>
      <c r="C3549" s="8" t="n">
        <v>1</v>
      </c>
      <c r="D3549" s="8" t="n">
        <v>107.09</v>
      </c>
      <c r="E3549" s="8" t="n">
        <v>0</v>
      </c>
      <c r="F3549" s="8" t="n">
        <v>0</v>
      </c>
    </row>
    <row r="3550" customFormat="false" ht="15" hidden="false" customHeight="true" outlineLevel="0" collapsed="false">
      <c r="A3550" s="8" t="s">
        <v>161</v>
      </c>
      <c r="B3550" s="8" t="s">
        <v>1208</v>
      </c>
      <c r="C3550" s="8" t="n">
        <v>8</v>
      </c>
      <c r="D3550" s="8" t="n">
        <v>364</v>
      </c>
      <c r="E3550" s="8" t="n">
        <v>0</v>
      </c>
      <c r="F3550" s="8" t="n">
        <v>0</v>
      </c>
    </row>
    <row r="3551" customFormat="false" ht="15" hidden="false" customHeight="true" outlineLevel="0" collapsed="false">
      <c r="A3551" s="8" t="s">
        <v>162</v>
      </c>
      <c r="B3551" s="8" t="s">
        <v>1209</v>
      </c>
      <c r="C3551" s="8" t="n">
        <v>6</v>
      </c>
      <c r="D3551" s="8" t="n">
        <v>466.8</v>
      </c>
      <c r="E3551" s="8" t="n">
        <v>4</v>
      </c>
      <c r="F3551" s="8" t="n">
        <v>311.2</v>
      </c>
    </row>
    <row r="3552" customFormat="false" ht="15" hidden="false" customHeight="true" outlineLevel="0" collapsed="false">
      <c r="A3552" s="8" t="s">
        <v>224</v>
      </c>
      <c r="B3552" s="8" t="s">
        <v>1236</v>
      </c>
      <c r="C3552" s="8" t="n">
        <v>1</v>
      </c>
      <c r="D3552" s="8" t="n">
        <v>35</v>
      </c>
      <c r="E3552" s="8" t="n">
        <v>0</v>
      </c>
      <c r="F3552" s="8" t="n">
        <v>0</v>
      </c>
    </row>
    <row r="3553" customFormat="false" ht="15" hidden="false" customHeight="true" outlineLevel="0" collapsed="false">
      <c r="A3553" s="8" t="s">
        <v>163</v>
      </c>
      <c r="B3553" s="8" t="s">
        <v>897</v>
      </c>
      <c r="C3553" s="8" t="n">
        <v>8</v>
      </c>
      <c r="D3553" s="8" t="n">
        <v>520</v>
      </c>
      <c r="E3553" s="8" t="n">
        <v>2</v>
      </c>
      <c r="F3553" s="8" t="n">
        <v>130</v>
      </c>
    </row>
    <row r="3554" customFormat="false" ht="15" hidden="false" customHeight="true" outlineLevel="0" collapsed="false">
      <c r="A3554" s="8" t="s">
        <v>181</v>
      </c>
      <c r="B3554" s="8" t="s">
        <v>897</v>
      </c>
      <c r="C3554" s="8" t="n">
        <v>7</v>
      </c>
      <c r="D3554" s="8" t="n">
        <v>455</v>
      </c>
      <c r="E3554" s="8" t="n">
        <v>0</v>
      </c>
      <c r="F3554" s="8" t="n">
        <v>0</v>
      </c>
    </row>
    <row r="3555" customFormat="false" ht="15" hidden="false" customHeight="true" outlineLevel="0" collapsed="false">
      <c r="A3555" s="8" t="s">
        <v>165</v>
      </c>
      <c r="B3555" s="8" t="s">
        <v>897</v>
      </c>
      <c r="C3555" s="8" t="n">
        <v>6</v>
      </c>
      <c r="D3555" s="8" t="n">
        <v>390</v>
      </c>
      <c r="E3555" s="8" t="n">
        <v>0</v>
      </c>
      <c r="F3555" s="8" t="n">
        <v>0</v>
      </c>
    </row>
    <row r="3556" customFormat="false" ht="15" hidden="false" customHeight="true" outlineLevel="0" collapsed="false">
      <c r="A3556" s="8" t="s">
        <v>175</v>
      </c>
      <c r="B3556" s="8" t="s">
        <v>1244</v>
      </c>
      <c r="C3556" s="8" t="n">
        <v>2</v>
      </c>
      <c r="D3556" s="8" t="n">
        <v>351</v>
      </c>
      <c r="E3556" s="8" t="n">
        <v>0</v>
      </c>
      <c r="F3556" s="8" t="n">
        <v>0</v>
      </c>
    </row>
    <row r="3557" customFormat="false" ht="15" hidden="false" customHeight="true" outlineLevel="0" collapsed="false">
      <c r="A3557" s="8" t="s">
        <v>230</v>
      </c>
      <c r="B3557" s="8" t="s">
        <v>1244</v>
      </c>
      <c r="C3557" s="8" t="n">
        <v>1</v>
      </c>
      <c r="D3557" s="8" t="n">
        <v>175.5</v>
      </c>
      <c r="E3557" s="8" t="n">
        <v>2</v>
      </c>
      <c r="F3557" s="8" t="n">
        <v>351</v>
      </c>
    </row>
    <row r="3558" customFormat="false" ht="15" hidden="false" customHeight="true" outlineLevel="0" collapsed="false">
      <c r="A3558" s="8" t="s">
        <v>329</v>
      </c>
      <c r="B3558" s="8" t="s">
        <v>1244</v>
      </c>
      <c r="C3558" s="8" t="n">
        <v>0</v>
      </c>
      <c r="D3558" s="8" t="n">
        <v>0</v>
      </c>
      <c r="E3558" s="8" t="n">
        <v>2</v>
      </c>
      <c r="F3558" s="8" t="n">
        <v>351</v>
      </c>
    </row>
    <row r="3559" customFormat="false" ht="15" hidden="false" customHeight="true" outlineLevel="0" collapsed="false">
      <c r="A3559" s="8" t="s">
        <v>173</v>
      </c>
      <c r="B3559" s="8" t="s">
        <v>1244</v>
      </c>
      <c r="C3559" s="8" t="n">
        <v>4</v>
      </c>
      <c r="D3559" s="8" t="n">
        <v>702</v>
      </c>
      <c r="E3559" s="8" t="n">
        <v>3</v>
      </c>
      <c r="F3559" s="8" t="n">
        <v>526.5</v>
      </c>
    </row>
    <row r="3560" customFormat="false" ht="15" hidden="false" customHeight="true" outlineLevel="0" collapsed="false">
      <c r="A3560" s="8" t="s">
        <v>208</v>
      </c>
      <c r="B3560" s="8" t="s">
        <v>1179</v>
      </c>
      <c r="C3560" s="8" t="n">
        <v>3</v>
      </c>
      <c r="D3560" s="8" t="n">
        <v>217.02</v>
      </c>
      <c r="E3560" s="8" t="n">
        <v>0</v>
      </c>
      <c r="F3560" s="8" t="n">
        <v>0</v>
      </c>
    </row>
    <row r="3561" customFormat="false" ht="15" hidden="false" customHeight="true" outlineLevel="0" collapsed="false">
      <c r="A3561" s="8" t="s">
        <v>221</v>
      </c>
      <c r="B3561" s="8" t="s">
        <v>1179</v>
      </c>
      <c r="C3561" s="8" t="n">
        <v>2</v>
      </c>
      <c r="D3561" s="8" t="n">
        <v>144.68</v>
      </c>
      <c r="E3561" s="8" t="n">
        <v>0</v>
      </c>
      <c r="F3561" s="8" t="n">
        <v>0</v>
      </c>
    </row>
    <row r="3562" customFormat="false" ht="15" hidden="false" customHeight="true" outlineLevel="0" collapsed="false">
      <c r="A3562" s="8" t="s">
        <v>191</v>
      </c>
      <c r="B3562" s="8" t="s">
        <v>1179</v>
      </c>
      <c r="C3562" s="8" t="n">
        <v>3</v>
      </c>
      <c r="D3562" s="8" t="n">
        <v>217.02</v>
      </c>
      <c r="E3562" s="8" t="n">
        <v>0</v>
      </c>
      <c r="F3562" s="8" t="n">
        <v>0</v>
      </c>
    </row>
    <row r="3563" customFormat="false" ht="15" hidden="false" customHeight="true" outlineLevel="0" collapsed="false">
      <c r="A3563" s="8" t="s">
        <v>204</v>
      </c>
      <c r="B3563" s="8" t="s">
        <v>1179</v>
      </c>
      <c r="C3563" s="8" t="n">
        <v>0</v>
      </c>
      <c r="D3563" s="8" t="n">
        <v>0</v>
      </c>
      <c r="E3563" s="8" t="n">
        <v>1</v>
      </c>
      <c r="F3563" s="8" t="n">
        <v>72.34</v>
      </c>
    </row>
    <row r="3564" customFormat="false" ht="15" hidden="false" customHeight="true" outlineLevel="0" collapsed="false">
      <c r="A3564" s="8" t="s">
        <v>190</v>
      </c>
      <c r="B3564" s="8" t="s">
        <v>1224</v>
      </c>
      <c r="C3564" s="8" t="n">
        <v>0</v>
      </c>
      <c r="D3564" s="8" t="n">
        <v>0</v>
      </c>
      <c r="E3564" s="8" t="n">
        <v>1</v>
      </c>
      <c r="F3564" s="8" t="n">
        <v>24.43</v>
      </c>
    </row>
    <row r="3565" customFormat="false" ht="15" hidden="false" customHeight="true" outlineLevel="0" collapsed="false">
      <c r="A3565" s="8" t="s">
        <v>183</v>
      </c>
      <c r="B3565" s="8" t="s">
        <v>1224</v>
      </c>
      <c r="C3565" s="8" t="n">
        <v>0</v>
      </c>
      <c r="D3565" s="8" t="n">
        <v>0</v>
      </c>
      <c r="E3565" s="8" t="n">
        <v>3</v>
      </c>
      <c r="F3565" s="8" t="n">
        <v>73.29</v>
      </c>
    </row>
    <row r="3566" customFormat="false" ht="15" hidden="false" customHeight="true" outlineLevel="0" collapsed="false">
      <c r="A3566" s="8" t="s">
        <v>231</v>
      </c>
      <c r="B3566" s="8" t="s">
        <v>1224</v>
      </c>
      <c r="C3566" s="8" t="n">
        <v>5</v>
      </c>
      <c r="D3566" s="8" t="n">
        <v>122.15</v>
      </c>
      <c r="E3566" s="8" t="n">
        <v>4</v>
      </c>
      <c r="F3566" s="8" t="n">
        <v>97.72</v>
      </c>
    </row>
    <row r="3567" customFormat="false" ht="15" hidden="false" customHeight="true" outlineLevel="0" collapsed="false">
      <c r="A3567" s="8" t="s">
        <v>161</v>
      </c>
      <c r="B3567" s="8" t="s">
        <v>1208</v>
      </c>
      <c r="C3567" s="8" t="n">
        <v>0</v>
      </c>
      <c r="D3567" s="8" t="n">
        <v>0</v>
      </c>
      <c r="E3567" s="8" t="n">
        <v>2</v>
      </c>
      <c r="F3567" s="8" t="n">
        <v>91</v>
      </c>
    </row>
    <row r="3568" customFormat="false" ht="15" hidden="false" customHeight="true" outlineLevel="0" collapsed="false">
      <c r="A3568" s="8" t="s">
        <v>162</v>
      </c>
      <c r="B3568" s="8" t="s">
        <v>1209</v>
      </c>
      <c r="C3568" s="8" t="n">
        <v>2</v>
      </c>
      <c r="D3568" s="8" t="n">
        <v>155.6</v>
      </c>
      <c r="E3568" s="8" t="n">
        <v>2</v>
      </c>
      <c r="F3568" s="8" t="n">
        <v>155.6</v>
      </c>
    </row>
    <row r="3569" customFormat="false" ht="15" hidden="false" customHeight="true" outlineLevel="0" collapsed="false">
      <c r="A3569" s="8" t="s">
        <v>166</v>
      </c>
      <c r="B3569" s="8" t="s">
        <v>1211</v>
      </c>
      <c r="C3569" s="8" t="n">
        <v>0</v>
      </c>
      <c r="D3569" s="8" t="n">
        <v>0</v>
      </c>
      <c r="E3569" s="8" t="n">
        <v>3</v>
      </c>
      <c r="F3569" s="8" t="n">
        <v>189.81</v>
      </c>
    </row>
    <row r="3570" customFormat="false" ht="15" hidden="false" customHeight="true" outlineLevel="0" collapsed="false">
      <c r="A3570" s="8" t="s">
        <v>164</v>
      </c>
      <c r="B3570" s="8" t="s">
        <v>1211</v>
      </c>
      <c r="C3570" s="8" t="n">
        <v>3</v>
      </c>
      <c r="D3570" s="8" t="n">
        <v>189.81</v>
      </c>
      <c r="E3570" s="8" t="n">
        <v>0</v>
      </c>
      <c r="F3570" s="8" t="n">
        <v>0</v>
      </c>
    </row>
    <row r="3571" customFormat="false" ht="15" hidden="false" customHeight="true" outlineLevel="0" collapsed="false">
      <c r="A3571" s="8" t="s">
        <v>206</v>
      </c>
      <c r="B3571" s="8" t="s">
        <v>1288</v>
      </c>
      <c r="C3571" s="8" t="n">
        <v>10</v>
      </c>
      <c r="D3571" s="8" t="n">
        <v>973.5</v>
      </c>
      <c r="E3571" s="8" t="n">
        <v>0</v>
      </c>
      <c r="F3571" s="8" t="n">
        <v>0</v>
      </c>
    </row>
    <row r="3572" customFormat="false" ht="15" hidden="false" customHeight="true" outlineLevel="0" collapsed="false">
      <c r="A3572" s="8" t="s">
        <v>188</v>
      </c>
      <c r="B3572" s="8" t="s">
        <v>1225</v>
      </c>
      <c r="C3572" s="8" t="n">
        <v>6</v>
      </c>
      <c r="D3572" s="8" t="n">
        <v>173.58</v>
      </c>
      <c r="E3572" s="8" t="n">
        <v>0</v>
      </c>
      <c r="F3572" s="8" t="n">
        <v>0</v>
      </c>
    </row>
    <row r="3573" customFormat="false" ht="15" hidden="false" customHeight="true" outlineLevel="0" collapsed="false">
      <c r="A3573" s="8" t="s">
        <v>186</v>
      </c>
      <c r="B3573" s="8" t="s">
        <v>1225</v>
      </c>
      <c r="C3573" s="8" t="n">
        <v>6</v>
      </c>
      <c r="D3573" s="8" t="n">
        <v>173.58</v>
      </c>
      <c r="E3573" s="8" t="n">
        <v>0</v>
      </c>
      <c r="F3573" s="8" t="n">
        <v>0</v>
      </c>
    </row>
    <row r="3574" customFormat="false" ht="15" hidden="false" customHeight="true" outlineLevel="0" collapsed="false">
      <c r="A3574" s="8" t="s">
        <v>239</v>
      </c>
      <c r="B3574" s="8" t="s">
        <v>1225</v>
      </c>
      <c r="C3574" s="8" t="n">
        <v>4</v>
      </c>
      <c r="D3574" s="8" t="n">
        <v>115.72</v>
      </c>
      <c r="E3574" s="8" t="n">
        <v>3</v>
      </c>
      <c r="F3574" s="8" t="n">
        <v>86.79</v>
      </c>
    </row>
    <row r="3575" customFormat="false" ht="15" hidden="false" customHeight="true" outlineLevel="0" collapsed="false">
      <c r="A3575" s="8" t="s">
        <v>210</v>
      </c>
      <c r="B3575" s="8" t="s">
        <v>1225</v>
      </c>
      <c r="C3575" s="8" t="n">
        <v>5</v>
      </c>
      <c r="D3575" s="8" t="n">
        <v>144.65</v>
      </c>
      <c r="E3575" s="8" t="n">
        <v>0</v>
      </c>
      <c r="F3575" s="8" t="n">
        <v>0</v>
      </c>
    </row>
    <row r="3576" customFormat="false" ht="15" hidden="false" customHeight="true" outlineLevel="0" collapsed="false">
      <c r="A3576" s="8" t="s">
        <v>241</v>
      </c>
      <c r="B3576" s="8" t="s">
        <v>1227</v>
      </c>
      <c r="C3576" s="8" t="n">
        <v>7</v>
      </c>
      <c r="D3576" s="8" t="n">
        <v>119</v>
      </c>
      <c r="E3576" s="8" t="n">
        <v>0</v>
      </c>
      <c r="F3576" s="8" t="n">
        <v>0</v>
      </c>
    </row>
    <row r="3577" customFormat="false" ht="15" hidden="false" customHeight="true" outlineLevel="0" collapsed="false">
      <c r="A3577" s="8" t="s">
        <v>219</v>
      </c>
      <c r="B3577" s="8" t="s">
        <v>1227</v>
      </c>
      <c r="C3577" s="8" t="n">
        <v>3</v>
      </c>
      <c r="D3577" s="8" t="n">
        <v>51</v>
      </c>
      <c r="E3577" s="8" t="n">
        <v>0</v>
      </c>
      <c r="F3577" s="8" t="n">
        <v>0</v>
      </c>
    </row>
    <row r="3578" customFormat="false" ht="15" hidden="false" customHeight="true" outlineLevel="0" collapsed="false">
      <c r="A3578" s="8" t="s">
        <v>223</v>
      </c>
      <c r="B3578" s="8" t="s">
        <v>1227</v>
      </c>
      <c r="C3578" s="8" t="n">
        <v>4</v>
      </c>
      <c r="D3578" s="8" t="n">
        <v>68</v>
      </c>
      <c r="E3578" s="8" t="n">
        <v>0</v>
      </c>
      <c r="F3578" s="8" t="n">
        <v>0</v>
      </c>
    </row>
    <row r="3579" customFormat="false" ht="15" hidden="false" customHeight="true" outlineLevel="0" collapsed="false">
      <c r="A3579" s="8" t="s">
        <v>202</v>
      </c>
      <c r="B3579" s="8" t="s">
        <v>1212</v>
      </c>
      <c r="C3579" s="8" t="n">
        <v>10</v>
      </c>
      <c r="D3579" s="8" t="n">
        <v>95</v>
      </c>
      <c r="E3579" s="8" t="n">
        <v>0</v>
      </c>
      <c r="F3579" s="8" t="n">
        <v>0</v>
      </c>
    </row>
    <row r="3580" customFormat="false" ht="15" hidden="false" customHeight="true" outlineLevel="0" collapsed="false">
      <c r="A3580" s="8" t="s">
        <v>244</v>
      </c>
      <c r="B3580" s="8" t="s">
        <v>1213</v>
      </c>
      <c r="C3580" s="8" t="n">
        <v>0</v>
      </c>
      <c r="D3580" s="8" t="n">
        <v>0</v>
      </c>
      <c r="E3580" s="8" t="n">
        <v>4</v>
      </c>
      <c r="F3580" s="8" t="n">
        <v>38</v>
      </c>
    </row>
    <row r="3581" customFormat="false" ht="15" hidden="false" customHeight="true" outlineLevel="0" collapsed="false">
      <c r="A3581" s="8" t="s">
        <v>243</v>
      </c>
      <c r="B3581" s="8" t="s">
        <v>1253</v>
      </c>
      <c r="C3581" s="8" t="n">
        <v>4</v>
      </c>
      <c r="D3581" s="8" t="n">
        <v>51.8</v>
      </c>
      <c r="E3581" s="8" t="n">
        <v>0</v>
      </c>
      <c r="F3581" s="8" t="n">
        <v>0</v>
      </c>
    </row>
    <row r="3582" customFormat="false" ht="15" hidden="false" customHeight="true" outlineLevel="0" collapsed="false">
      <c r="A3582" s="8" t="s">
        <v>251</v>
      </c>
      <c r="B3582" s="8" t="s">
        <v>1262</v>
      </c>
      <c r="C3582" s="8" t="n">
        <v>10</v>
      </c>
      <c r="D3582" s="8" t="n">
        <v>97.1</v>
      </c>
      <c r="E3582" s="8" t="n">
        <v>4</v>
      </c>
      <c r="F3582" s="8" t="n">
        <v>38.84</v>
      </c>
    </row>
    <row r="3583" customFormat="false" ht="15" hidden="false" customHeight="true" outlineLevel="0" collapsed="false">
      <c r="A3583" s="8" t="s">
        <v>172</v>
      </c>
      <c r="B3583" s="8" t="s">
        <v>1214</v>
      </c>
      <c r="C3583" s="8" t="n">
        <v>10</v>
      </c>
      <c r="D3583" s="8" t="n">
        <v>121.8</v>
      </c>
      <c r="E3583" s="8" t="n">
        <v>0</v>
      </c>
      <c r="F3583" s="8" t="n">
        <v>0</v>
      </c>
    </row>
    <row r="3584" customFormat="false" ht="15" hidden="false" customHeight="true" outlineLevel="0" collapsed="false">
      <c r="A3584" s="8" t="s">
        <v>261</v>
      </c>
      <c r="B3584" s="8" t="s">
        <v>1215</v>
      </c>
      <c r="C3584" s="8" t="n">
        <v>0</v>
      </c>
      <c r="D3584" s="8" t="n">
        <v>0</v>
      </c>
      <c r="E3584" s="8" t="n">
        <v>5</v>
      </c>
      <c r="F3584" s="8" t="n">
        <v>106.05</v>
      </c>
    </row>
    <row r="3585" customFormat="false" ht="15" hidden="false" customHeight="true" outlineLevel="0" collapsed="false">
      <c r="A3585" s="8" t="s">
        <v>269</v>
      </c>
      <c r="B3585" s="8" t="s">
        <v>1231</v>
      </c>
      <c r="C3585" s="8" t="n">
        <v>2</v>
      </c>
      <c r="D3585" s="8" t="n">
        <v>22.66</v>
      </c>
      <c r="E3585" s="8" t="n">
        <v>0</v>
      </c>
      <c r="F3585" s="8" t="n">
        <v>0</v>
      </c>
    </row>
    <row r="3586" customFormat="false" ht="15" hidden="false" customHeight="true" outlineLevel="0" collapsed="false">
      <c r="A3586" s="8" t="s">
        <v>215</v>
      </c>
      <c r="B3586" s="8" t="s">
        <v>1233</v>
      </c>
      <c r="C3586" s="8" t="n">
        <v>4</v>
      </c>
      <c r="D3586" s="8" t="n">
        <v>71.28</v>
      </c>
      <c r="E3586" s="8" t="n">
        <v>0</v>
      </c>
      <c r="F3586" s="8" t="n">
        <v>0</v>
      </c>
    </row>
    <row r="3587" customFormat="false" ht="15" hidden="false" customHeight="true" outlineLevel="0" collapsed="false">
      <c r="A3587" s="8" t="s">
        <v>194</v>
      </c>
      <c r="B3587" s="8" t="s">
        <v>1239</v>
      </c>
      <c r="C3587" s="8" t="n">
        <v>2</v>
      </c>
      <c r="D3587" s="8" t="n">
        <v>19.64</v>
      </c>
      <c r="E3587" s="8" t="n">
        <v>0</v>
      </c>
      <c r="F3587" s="8" t="n">
        <v>0</v>
      </c>
    </row>
    <row r="3588" customFormat="false" ht="15" hidden="false" customHeight="true" outlineLevel="0" collapsed="false">
      <c r="A3588" s="8" t="s">
        <v>317</v>
      </c>
      <c r="B3588" s="8" t="s">
        <v>621</v>
      </c>
      <c r="C3588" s="8" t="n">
        <v>1</v>
      </c>
      <c r="D3588" s="8" t="n">
        <v>49.3</v>
      </c>
      <c r="E3588" s="8" t="n">
        <v>0</v>
      </c>
      <c r="F3588" s="8" t="n">
        <v>0</v>
      </c>
    </row>
    <row r="3589" customFormat="false" ht="15" hidden="false" customHeight="true" outlineLevel="0" collapsed="false">
      <c r="A3589" s="8" t="s">
        <v>338</v>
      </c>
      <c r="B3589" s="8" t="s">
        <v>1281</v>
      </c>
      <c r="C3589" s="8" t="n">
        <v>6</v>
      </c>
      <c r="D3589" s="8" t="n">
        <v>141.6</v>
      </c>
      <c r="E3589" s="8" t="n">
        <v>6</v>
      </c>
      <c r="F3589" s="8" t="n">
        <v>141.6</v>
      </c>
    </row>
    <row r="3590" customFormat="false" ht="15" hidden="false" customHeight="true" outlineLevel="0" collapsed="false">
      <c r="A3590" s="8" t="s">
        <v>225</v>
      </c>
      <c r="B3590" s="8" t="s">
        <v>1237</v>
      </c>
      <c r="C3590" s="8" t="n">
        <v>6</v>
      </c>
      <c r="D3590" s="8" t="n">
        <v>110.4</v>
      </c>
      <c r="E3590" s="8" t="n">
        <v>0</v>
      </c>
      <c r="F3590" s="8" t="n">
        <v>0</v>
      </c>
    </row>
    <row r="3591" customFormat="false" ht="15" hidden="false" customHeight="true" outlineLevel="0" collapsed="false">
      <c r="A3591" s="8" t="s">
        <v>217</v>
      </c>
      <c r="B3591" s="8" t="s">
        <v>1237</v>
      </c>
      <c r="C3591" s="8" t="n">
        <v>12</v>
      </c>
      <c r="D3591" s="8" t="n">
        <v>220.8</v>
      </c>
      <c r="E3591" s="8" t="n">
        <v>4</v>
      </c>
      <c r="F3591" s="8" t="n">
        <v>73.6</v>
      </c>
    </row>
    <row r="3592" customFormat="false" ht="15" hidden="false" customHeight="true" outlineLevel="0" collapsed="false">
      <c r="A3592" s="8" t="s">
        <v>364</v>
      </c>
      <c r="B3592" s="8" t="s">
        <v>1264</v>
      </c>
      <c r="C3592" s="8" t="n">
        <v>3</v>
      </c>
      <c r="D3592" s="8" t="n">
        <v>55.2</v>
      </c>
      <c r="E3592" s="8" t="n">
        <v>0</v>
      </c>
      <c r="F3592" s="8" t="n">
        <v>0</v>
      </c>
    </row>
    <row r="3593" customFormat="false" ht="15" hidden="false" customHeight="true" outlineLevel="0" collapsed="false">
      <c r="A3593" s="8" t="s">
        <v>180</v>
      </c>
      <c r="B3593" s="8" t="s">
        <v>1216</v>
      </c>
      <c r="C3593" s="8" t="n">
        <v>6</v>
      </c>
      <c r="D3593" s="8" t="n">
        <v>99</v>
      </c>
      <c r="E3593" s="8" t="n">
        <v>0</v>
      </c>
      <c r="F3593" s="8" t="n">
        <v>0</v>
      </c>
    </row>
    <row r="3594" customFormat="false" ht="15" hidden="false" customHeight="true" outlineLevel="0" collapsed="false">
      <c r="A3594" s="8" t="s">
        <v>189</v>
      </c>
      <c r="B3594" s="8" t="s">
        <v>1216</v>
      </c>
      <c r="C3594" s="8" t="n">
        <v>7</v>
      </c>
      <c r="D3594" s="8" t="n">
        <v>115.5</v>
      </c>
      <c r="E3594" s="8" t="n">
        <v>0</v>
      </c>
      <c r="F3594" s="8" t="n">
        <v>0</v>
      </c>
    </row>
    <row r="3595" customFormat="false" ht="15" hidden="false" customHeight="true" outlineLevel="0" collapsed="false">
      <c r="A3595" s="8" t="s">
        <v>267</v>
      </c>
      <c r="B3595" s="8" t="s">
        <v>1216</v>
      </c>
      <c r="C3595" s="8" t="n">
        <v>2</v>
      </c>
      <c r="D3595" s="8" t="n">
        <v>33</v>
      </c>
      <c r="E3595" s="8" t="n">
        <v>0</v>
      </c>
      <c r="F3595" s="8" t="n">
        <v>0</v>
      </c>
    </row>
    <row r="3596" customFormat="false" ht="15" hidden="false" customHeight="true" outlineLevel="0" collapsed="false">
      <c r="A3596" s="8" t="s">
        <v>199</v>
      </c>
      <c r="B3596" s="8" t="s">
        <v>1216</v>
      </c>
      <c r="C3596" s="8" t="n">
        <v>11</v>
      </c>
      <c r="D3596" s="8" t="n">
        <v>181.5</v>
      </c>
      <c r="E3596" s="8" t="n">
        <v>0</v>
      </c>
      <c r="F3596" s="8" t="n">
        <v>0</v>
      </c>
    </row>
    <row r="3597" customFormat="false" ht="15" hidden="false" customHeight="true" outlineLevel="0" collapsed="false">
      <c r="A3597" s="8" t="s">
        <v>250</v>
      </c>
      <c r="B3597" s="8" t="s">
        <v>1216</v>
      </c>
      <c r="C3597" s="8" t="n">
        <v>0</v>
      </c>
      <c r="D3597" s="8" t="n">
        <v>0</v>
      </c>
      <c r="E3597" s="8" t="n">
        <v>2</v>
      </c>
      <c r="F3597" s="8" t="n">
        <v>33</v>
      </c>
    </row>
    <row r="3598" customFormat="false" ht="15" hidden="false" customHeight="true" outlineLevel="0" collapsed="false">
      <c r="A3598" s="8" t="s">
        <v>198</v>
      </c>
      <c r="B3598" s="8" t="s">
        <v>1217</v>
      </c>
      <c r="C3598" s="8" t="n">
        <v>2</v>
      </c>
      <c r="D3598" s="8" t="n">
        <v>41</v>
      </c>
      <c r="E3598" s="8" t="n">
        <v>5</v>
      </c>
      <c r="F3598" s="8" t="n">
        <v>102.5</v>
      </c>
    </row>
    <row r="3599" customFormat="false" ht="15" hidden="false" customHeight="true" outlineLevel="0" collapsed="false">
      <c r="A3599" s="8" t="s">
        <v>193</v>
      </c>
      <c r="B3599" s="8" t="s">
        <v>1217</v>
      </c>
      <c r="C3599" s="8" t="n">
        <v>4</v>
      </c>
      <c r="D3599" s="8" t="n">
        <v>82</v>
      </c>
      <c r="E3599" s="8" t="n">
        <v>0</v>
      </c>
      <c r="F3599" s="8" t="n">
        <v>0</v>
      </c>
    </row>
    <row r="3600" customFormat="false" ht="15" hidden="false" customHeight="true" outlineLevel="0" collapsed="false">
      <c r="A3600" s="8" t="s">
        <v>205</v>
      </c>
      <c r="B3600" s="8" t="s">
        <v>1217</v>
      </c>
      <c r="C3600" s="8" t="n">
        <v>3</v>
      </c>
      <c r="D3600" s="8" t="n">
        <v>61.5</v>
      </c>
      <c r="E3600" s="8" t="n">
        <v>0</v>
      </c>
      <c r="F3600" s="8" t="n">
        <v>0</v>
      </c>
    </row>
    <row r="3601" customFormat="false" ht="15" hidden="false" customHeight="true" outlineLevel="0" collapsed="false">
      <c r="A3601" s="8" t="s">
        <v>256</v>
      </c>
      <c r="B3601" s="8" t="s">
        <v>1217</v>
      </c>
      <c r="C3601" s="8" t="n">
        <v>5</v>
      </c>
      <c r="D3601" s="8" t="n">
        <v>102.5</v>
      </c>
      <c r="E3601" s="8" t="n">
        <v>4</v>
      </c>
      <c r="F3601" s="8" t="n">
        <v>82</v>
      </c>
    </row>
    <row r="3602" customFormat="false" ht="15" hidden="false" customHeight="true" outlineLevel="0" collapsed="false">
      <c r="A3602" s="8" t="s">
        <v>297</v>
      </c>
      <c r="B3602" s="8" t="s">
        <v>1265</v>
      </c>
      <c r="C3602" s="8" t="n">
        <v>3</v>
      </c>
      <c r="D3602" s="8" t="n">
        <v>379.71</v>
      </c>
      <c r="E3602" s="8" t="n">
        <v>0</v>
      </c>
      <c r="F3602" s="8" t="n">
        <v>0</v>
      </c>
    </row>
    <row r="3603" customFormat="false" ht="15" hidden="false" customHeight="true" outlineLevel="0" collapsed="false">
      <c r="A3603" s="8" t="s">
        <v>383</v>
      </c>
      <c r="B3603" s="8" t="s">
        <v>1297</v>
      </c>
      <c r="C3603" s="8" t="n">
        <v>0</v>
      </c>
      <c r="D3603" s="8" t="n">
        <v>0</v>
      </c>
      <c r="E3603" s="8" t="n">
        <v>1</v>
      </c>
      <c r="F3603" s="8" t="n">
        <v>0</v>
      </c>
    </row>
    <row r="3604" customFormat="false" ht="15" hidden="false" customHeight="true" outlineLevel="0" collapsed="false">
      <c r="A3604" s="8" t="s">
        <v>296</v>
      </c>
      <c r="B3604" s="8" t="s">
        <v>1295</v>
      </c>
      <c r="C3604" s="8" t="n">
        <v>2</v>
      </c>
      <c r="D3604" s="8" t="n">
        <v>259.62</v>
      </c>
      <c r="E3604" s="8" t="n">
        <v>0</v>
      </c>
      <c r="F3604" s="8" t="n">
        <v>0</v>
      </c>
    </row>
    <row r="3605" customFormat="false" ht="15" hidden="false" customHeight="true" outlineLevel="0" collapsed="false">
      <c r="A3605" s="8" t="s">
        <v>277</v>
      </c>
      <c r="B3605" s="8" t="s">
        <v>1285</v>
      </c>
      <c r="C3605" s="8" t="n">
        <v>0</v>
      </c>
      <c r="D3605" s="8" t="n">
        <v>0</v>
      </c>
      <c r="E3605" s="8" t="n">
        <v>2</v>
      </c>
      <c r="F3605" s="8" t="n">
        <v>272.6</v>
      </c>
    </row>
    <row r="3606" customFormat="false" ht="15" hidden="false" customHeight="true" outlineLevel="0" collapsed="false">
      <c r="A3606" s="8" t="s">
        <v>249</v>
      </c>
      <c r="B3606" s="8" t="s">
        <v>1285</v>
      </c>
      <c r="C3606" s="8" t="n">
        <v>3</v>
      </c>
      <c r="D3606" s="8" t="n">
        <v>408.9</v>
      </c>
      <c r="E3606" s="8" t="n">
        <v>0</v>
      </c>
      <c r="F3606" s="8" t="n">
        <v>0</v>
      </c>
    </row>
    <row r="3607" customFormat="false" ht="15" hidden="false" customHeight="true" outlineLevel="0" collapsed="false">
      <c r="A3607" s="8" t="s">
        <v>178</v>
      </c>
      <c r="B3607" s="8" t="s">
        <v>1236</v>
      </c>
      <c r="C3607" s="8" t="n">
        <v>3</v>
      </c>
      <c r="D3607" s="8" t="n">
        <v>105</v>
      </c>
      <c r="E3607" s="8" t="n">
        <v>0</v>
      </c>
      <c r="F3607" s="8" t="n">
        <v>0</v>
      </c>
    </row>
    <row r="3608" customFormat="false" ht="15" hidden="false" customHeight="true" outlineLevel="0" collapsed="false">
      <c r="A3608" s="8" t="s">
        <v>235</v>
      </c>
      <c r="B3608" s="8" t="s">
        <v>1236</v>
      </c>
      <c r="C3608" s="8" t="n">
        <v>5</v>
      </c>
      <c r="D3608" s="8" t="n">
        <v>175</v>
      </c>
      <c r="E3608" s="8" t="n">
        <v>0</v>
      </c>
      <c r="F3608" s="8" t="n">
        <v>0</v>
      </c>
    </row>
    <row r="3609" customFormat="false" ht="15" hidden="false" customHeight="true" outlineLevel="0" collapsed="false">
      <c r="A3609" s="8" t="s">
        <v>224</v>
      </c>
      <c r="B3609" s="8" t="s">
        <v>1236</v>
      </c>
      <c r="C3609" s="8" t="n">
        <v>0</v>
      </c>
      <c r="D3609" s="8" t="n">
        <v>0</v>
      </c>
      <c r="E3609" s="8" t="n">
        <v>4</v>
      </c>
      <c r="F3609" s="8" t="n">
        <v>140</v>
      </c>
    </row>
    <row r="3610" customFormat="false" ht="15" hidden="false" customHeight="true" outlineLevel="0" collapsed="false">
      <c r="A3610" s="8" t="s">
        <v>240</v>
      </c>
      <c r="B3610" s="8" t="s">
        <v>769</v>
      </c>
      <c r="C3610" s="8" t="n">
        <v>9</v>
      </c>
      <c r="D3610" s="8" t="n">
        <v>153</v>
      </c>
      <c r="E3610" s="8" t="n">
        <v>0</v>
      </c>
      <c r="F3610" s="8" t="n">
        <v>0</v>
      </c>
    </row>
    <row r="3611" customFormat="false" ht="15" hidden="false" customHeight="true" outlineLevel="0" collapsed="false">
      <c r="A3611" s="8" t="s">
        <v>234</v>
      </c>
      <c r="B3611" s="8" t="s">
        <v>769</v>
      </c>
      <c r="C3611" s="8" t="n">
        <v>7</v>
      </c>
      <c r="D3611" s="8" t="n">
        <v>119</v>
      </c>
      <c r="E3611" s="8" t="n">
        <v>0</v>
      </c>
      <c r="F3611" s="8" t="n">
        <v>0</v>
      </c>
    </row>
    <row r="3612" customFormat="false" ht="15" hidden="false" customHeight="true" outlineLevel="0" collapsed="false">
      <c r="A3612" s="8" t="s">
        <v>247</v>
      </c>
      <c r="B3612" s="8" t="s">
        <v>769</v>
      </c>
      <c r="C3612" s="8" t="n">
        <v>1</v>
      </c>
      <c r="D3612" s="8" t="n">
        <v>17</v>
      </c>
      <c r="E3612" s="8" t="n">
        <v>0</v>
      </c>
      <c r="F3612" s="8" t="n">
        <v>0</v>
      </c>
    </row>
    <row r="3613" customFormat="false" ht="15" hidden="false" customHeight="true" outlineLevel="0" collapsed="false">
      <c r="A3613" s="8" t="s">
        <v>182</v>
      </c>
      <c r="B3613" s="8" t="s">
        <v>799</v>
      </c>
      <c r="C3613" s="8" t="n">
        <v>7</v>
      </c>
      <c r="D3613" s="8" t="n">
        <v>140</v>
      </c>
      <c r="E3613" s="8" t="n">
        <v>3</v>
      </c>
      <c r="F3613" s="8" t="n">
        <v>60</v>
      </c>
    </row>
    <row r="3614" customFormat="false" ht="15" hidden="false" customHeight="true" outlineLevel="0" collapsed="false">
      <c r="A3614" s="8" t="s">
        <v>274</v>
      </c>
      <c r="B3614" s="8" t="s">
        <v>1219</v>
      </c>
      <c r="C3614" s="8" t="n">
        <v>3</v>
      </c>
      <c r="D3614" s="8" t="n">
        <v>26.19</v>
      </c>
      <c r="E3614" s="8" t="n">
        <v>0</v>
      </c>
      <c r="F3614" s="8" t="n">
        <v>0</v>
      </c>
    </row>
    <row r="3615" customFormat="false" ht="15" hidden="false" customHeight="true" outlineLevel="0" collapsed="false">
      <c r="A3615" s="8" t="s">
        <v>170</v>
      </c>
      <c r="B3615" s="8" t="s">
        <v>1220</v>
      </c>
      <c r="C3615" s="8" t="n">
        <v>24</v>
      </c>
      <c r="D3615" s="8" t="n">
        <v>355.2</v>
      </c>
      <c r="E3615" s="8" t="n">
        <v>0</v>
      </c>
      <c r="F3615" s="8" t="n">
        <v>0</v>
      </c>
    </row>
    <row r="3616" customFormat="false" ht="15" hidden="false" customHeight="true" outlineLevel="0" collapsed="false">
      <c r="A3616" s="8" t="s">
        <v>220</v>
      </c>
      <c r="B3616" s="8" t="s">
        <v>1248</v>
      </c>
      <c r="C3616" s="8" t="n">
        <v>15</v>
      </c>
      <c r="D3616" s="8" t="n">
        <v>156</v>
      </c>
      <c r="E3616" s="8" t="n">
        <v>0</v>
      </c>
      <c r="F3616" s="8" t="n">
        <v>0</v>
      </c>
    </row>
    <row r="3617" customFormat="false" ht="15" hidden="false" customHeight="true" outlineLevel="0" collapsed="false">
      <c r="A3617" s="8" t="s">
        <v>275</v>
      </c>
      <c r="B3617" s="8" t="s">
        <v>1257</v>
      </c>
      <c r="C3617" s="8" t="n">
        <v>6</v>
      </c>
      <c r="D3617" s="8" t="n">
        <v>129.6</v>
      </c>
      <c r="E3617" s="8" t="n">
        <v>0</v>
      </c>
      <c r="F3617" s="8" t="n">
        <v>0</v>
      </c>
    </row>
    <row r="3618" customFormat="false" ht="15" hidden="false" customHeight="true" outlineLevel="0" collapsed="false">
      <c r="A3618" s="8" t="s">
        <v>252</v>
      </c>
      <c r="B3618" s="8" t="s">
        <v>1177</v>
      </c>
      <c r="C3618" s="8" t="n">
        <v>2</v>
      </c>
      <c r="D3618" s="8" t="n">
        <v>33.2</v>
      </c>
      <c r="E3618" s="8" t="n">
        <v>1</v>
      </c>
      <c r="F3618" s="8" t="n">
        <v>16.6</v>
      </c>
    </row>
    <row r="3619" customFormat="false" ht="15" hidden="false" customHeight="true" outlineLevel="0" collapsed="false">
      <c r="A3619" s="8" t="s">
        <v>203</v>
      </c>
      <c r="B3619" s="8" t="s">
        <v>1177</v>
      </c>
      <c r="C3619" s="8" t="n">
        <v>8</v>
      </c>
      <c r="D3619" s="8" t="n">
        <v>148</v>
      </c>
      <c r="E3619" s="8" t="n">
        <v>9</v>
      </c>
      <c r="F3619" s="8" t="n">
        <v>166.5</v>
      </c>
    </row>
    <row r="3620" customFormat="false" ht="15" hidden="false" customHeight="true" outlineLevel="0" collapsed="false">
      <c r="A3620" s="8" t="s">
        <v>211</v>
      </c>
      <c r="B3620" s="8" t="s">
        <v>1250</v>
      </c>
      <c r="C3620" s="8" t="n">
        <v>2</v>
      </c>
      <c r="D3620" s="8" t="n">
        <v>50</v>
      </c>
      <c r="E3620" s="8" t="n">
        <v>0</v>
      </c>
      <c r="F3620" s="8" t="n">
        <v>0</v>
      </c>
    </row>
    <row r="3621" customFormat="false" ht="15" hidden="false" customHeight="true" outlineLevel="0" collapsed="false">
      <c r="A3621" s="8" t="s">
        <v>212</v>
      </c>
      <c r="B3621" s="8" t="s">
        <v>1278</v>
      </c>
      <c r="C3621" s="8" t="n">
        <v>2</v>
      </c>
      <c r="D3621" s="8" t="n">
        <v>187</v>
      </c>
      <c r="E3621" s="8" t="n">
        <v>0</v>
      </c>
      <c r="F3621" s="8" t="n">
        <v>0</v>
      </c>
    </row>
    <row r="3622" customFormat="false" ht="15" hidden="false" customHeight="true" outlineLevel="0" collapsed="false">
      <c r="A3622" s="8" t="s">
        <v>312</v>
      </c>
      <c r="B3622" s="8" t="s">
        <v>767</v>
      </c>
      <c r="C3622" s="8" t="n">
        <v>2</v>
      </c>
      <c r="D3622" s="8" t="n">
        <v>41</v>
      </c>
      <c r="E3622" s="8" t="n">
        <v>0</v>
      </c>
      <c r="F3622" s="8" t="n">
        <v>0</v>
      </c>
    </row>
    <row r="3623" customFormat="false" ht="15" hidden="false" customHeight="true" outlineLevel="0" collapsed="false">
      <c r="A3623" s="8" t="s">
        <v>226</v>
      </c>
      <c r="B3623" s="8" t="s">
        <v>566</v>
      </c>
      <c r="C3623" s="8" t="n">
        <v>2</v>
      </c>
      <c r="D3623" s="8" t="n">
        <v>41.6</v>
      </c>
      <c r="E3623" s="8" t="n">
        <v>0</v>
      </c>
      <c r="F3623" s="8" t="n">
        <v>0</v>
      </c>
    </row>
    <row r="3624" customFormat="false" ht="15" hidden="false" customHeight="true" outlineLevel="0" collapsed="false">
      <c r="A3624" s="8" t="s">
        <v>262</v>
      </c>
      <c r="B3624" s="8" t="s">
        <v>1267</v>
      </c>
      <c r="C3624" s="8" t="n">
        <v>0</v>
      </c>
      <c r="D3624" s="8" t="n">
        <v>0</v>
      </c>
      <c r="E3624" s="8" t="n">
        <v>1</v>
      </c>
      <c r="F3624" s="8" t="n">
        <v>128.71</v>
      </c>
    </row>
    <row r="3625" customFormat="false" ht="15" hidden="false" customHeight="true" outlineLevel="0" collapsed="false">
      <c r="A3625" s="8" t="s">
        <v>197</v>
      </c>
      <c r="B3625" s="8" t="s">
        <v>1222</v>
      </c>
      <c r="C3625" s="8" t="n">
        <v>5</v>
      </c>
      <c r="D3625" s="8" t="n">
        <v>325</v>
      </c>
      <c r="E3625" s="8" t="n">
        <v>-1</v>
      </c>
      <c r="F3625" s="8" t="n">
        <v>-65</v>
      </c>
    </row>
    <row r="3626" customFormat="false" ht="15" hidden="false" customHeight="true" outlineLevel="0" collapsed="false">
      <c r="A3626" s="8" t="s">
        <v>207</v>
      </c>
      <c r="B3626" s="8" t="s">
        <v>1222</v>
      </c>
      <c r="C3626" s="8" t="n">
        <v>1</v>
      </c>
      <c r="D3626" s="8" t="n">
        <v>65</v>
      </c>
      <c r="E3626" s="8" t="n">
        <v>0</v>
      </c>
      <c r="F3626" s="8" t="n">
        <v>0</v>
      </c>
    </row>
    <row r="3627" customFormat="false" ht="15" hidden="false" customHeight="true" outlineLevel="0" collapsed="false">
      <c r="A3627" s="8" t="s">
        <v>163</v>
      </c>
      <c r="B3627" s="8" t="s">
        <v>897</v>
      </c>
      <c r="C3627" s="8" t="n">
        <v>8</v>
      </c>
      <c r="D3627" s="8" t="n">
        <v>520</v>
      </c>
      <c r="E3627" s="8" t="n">
        <v>0</v>
      </c>
      <c r="F3627" s="8" t="n">
        <v>0</v>
      </c>
    </row>
    <row r="3628" customFormat="false" ht="15" hidden="false" customHeight="true" outlineLevel="0" collapsed="false">
      <c r="A3628" s="8" t="s">
        <v>181</v>
      </c>
      <c r="B3628" s="8" t="s">
        <v>897</v>
      </c>
      <c r="C3628" s="8" t="n">
        <v>3</v>
      </c>
      <c r="D3628" s="8" t="n">
        <v>195</v>
      </c>
      <c r="E3628" s="8" t="n">
        <v>0</v>
      </c>
      <c r="F3628" s="8" t="n">
        <v>0</v>
      </c>
    </row>
    <row r="3629" customFormat="false" ht="15" hidden="false" customHeight="true" outlineLevel="0" collapsed="false">
      <c r="A3629" s="8" t="s">
        <v>165</v>
      </c>
      <c r="B3629" s="8" t="s">
        <v>897</v>
      </c>
      <c r="C3629" s="8" t="n">
        <v>3</v>
      </c>
      <c r="D3629" s="8" t="n">
        <v>195</v>
      </c>
      <c r="E3629" s="8" t="n">
        <v>0</v>
      </c>
      <c r="F3629" s="8" t="n">
        <v>0</v>
      </c>
    </row>
    <row r="3630" customFormat="false" ht="15" hidden="false" customHeight="true" outlineLevel="0" collapsed="false">
      <c r="A3630" s="8" t="s">
        <v>184</v>
      </c>
      <c r="B3630" s="8" t="s">
        <v>897</v>
      </c>
      <c r="C3630" s="8" t="n">
        <v>5</v>
      </c>
      <c r="D3630" s="8" t="n">
        <v>325</v>
      </c>
      <c r="E3630" s="8" t="n">
        <v>0</v>
      </c>
      <c r="F3630" s="8" t="n">
        <v>0</v>
      </c>
    </row>
    <row r="3631" customFormat="false" ht="15" hidden="false" customHeight="true" outlineLevel="0" collapsed="false">
      <c r="A3631" s="8" t="s">
        <v>177</v>
      </c>
      <c r="B3631" s="8" t="s">
        <v>1244</v>
      </c>
      <c r="C3631" s="8" t="n">
        <v>1</v>
      </c>
      <c r="D3631" s="8" t="n">
        <v>175.5</v>
      </c>
      <c r="E3631" s="8" t="n">
        <v>0</v>
      </c>
      <c r="F3631" s="8" t="n">
        <v>0</v>
      </c>
    </row>
    <row r="3632" customFormat="false" ht="15" hidden="false" customHeight="true" outlineLevel="0" collapsed="false">
      <c r="A3632" s="8" t="s">
        <v>204</v>
      </c>
      <c r="B3632" s="8" t="s">
        <v>1179</v>
      </c>
      <c r="C3632" s="8" t="n">
        <v>1</v>
      </c>
      <c r="D3632" s="8" t="n">
        <v>72.34</v>
      </c>
      <c r="E3632" s="8" t="n">
        <v>0</v>
      </c>
      <c r="F3632" s="8" t="n">
        <v>0</v>
      </c>
    </row>
    <row r="3633" customFormat="false" ht="15" hidden="false" customHeight="true" outlineLevel="0" collapsed="false">
      <c r="A3633" s="8" t="s">
        <v>161</v>
      </c>
      <c r="B3633" s="8" t="s">
        <v>1208</v>
      </c>
      <c r="C3633" s="8" t="n">
        <v>9</v>
      </c>
      <c r="D3633" s="8" t="n">
        <v>409.5</v>
      </c>
      <c r="E3633" s="8" t="n">
        <v>0</v>
      </c>
      <c r="F3633" s="8" t="n">
        <v>0</v>
      </c>
    </row>
    <row r="3634" customFormat="false" ht="15" hidden="false" customHeight="true" outlineLevel="0" collapsed="false">
      <c r="A3634" s="8" t="s">
        <v>162</v>
      </c>
      <c r="B3634" s="8" t="s">
        <v>1209</v>
      </c>
      <c r="C3634" s="8" t="n">
        <v>7</v>
      </c>
      <c r="D3634" s="8" t="n">
        <v>544.6</v>
      </c>
      <c r="E3634" s="8" t="n">
        <v>0</v>
      </c>
      <c r="F3634" s="8" t="n">
        <v>0</v>
      </c>
    </row>
    <row r="3635" customFormat="false" ht="15" hidden="false" customHeight="true" outlineLevel="0" collapsed="false">
      <c r="A3635" s="8" t="s">
        <v>166</v>
      </c>
      <c r="B3635" s="8" t="s">
        <v>1211</v>
      </c>
      <c r="C3635" s="8" t="n">
        <v>0</v>
      </c>
      <c r="D3635" s="8" t="n">
        <v>0</v>
      </c>
      <c r="E3635" s="8" t="n">
        <v>2</v>
      </c>
      <c r="F3635" s="8" t="n">
        <v>126.54</v>
      </c>
    </row>
    <row r="3636" customFormat="false" ht="15" hidden="false" customHeight="true" outlineLevel="0" collapsed="false">
      <c r="A3636" s="8" t="s">
        <v>164</v>
      </c>
      <c r="B3636" s="8" t="s">
        <v>1211</v>
      </c>
      <c r="C3636" s="8" t="n">
        <v>4</v>
      </c>
      <c r="D3636" s="8" t="n">
        <v>253.08</v>
      </c>
      <c r="E3636" s="8" t="n">
        <v>0</v>
      </c>
      <c r="F3636" s="8" t="n">
        <v>0</v>
      </c>
    </row>
    <row r="3637" customFormat="false" ht="15" hidden="false" customHeight="true" outlineLevel="0" collapsed="false">
      <c r="A3637" s="8" t="s">
        <v>186</v>
      </c>
      <c r="B3637" s="8" t="s">
        <v>1225</v>
      </c>
      <c r="C3637" s="8" t="n">
        <v>3</v>
      </c>
      <c r="D3637" s="8" t="n">
        <v>86.79</v>
      </c>
      <c r="E3637" s="8" t="n">
        <v>-3</v>
      </c>
      <c r="F3637" s="8" t="n">
        <v>-86.79</v>
      </c>
    </row>
    <row r="3638" customFormat="false" ht="15" hidden="false" customHeight="true" outlineLevel="0" collapsed="false">
      <c r="A3638" s="8" t="s">
        <v>239</v>
      </c>
      <c r="B3638" s="8" t="s">
        <v>1225</v>
      </c>
      <c r="C3638" s="8" t="n">
        <v>4</v>
      </c>
      <c r="D3638" s="8" t="n">
        <v>115.72</v>
      </c>
      <c r="E3638" s="8" t="n">
        <v>0</v>
      </c>
      <c r="F3638" s="8" t="n">
        <v>0</v>
      </c>
    </row>
    <row r="3639" customFormat="false" ht="15" hidden="false" customHeight="true" outlineLevel="0" collapsed="false">
      <c r="A3639" s="8" t="s">
        <v>278</v>
      </c>
      <c r="B3639" s="8" t="s">
        <v>1225</v>
      </c>
      <c r="C3639" s="8" t="n">
        <v>4</v>
      </c>
      <c r="D3639" s="8" t="n">
        <v>115.72</v>
      </c>
      <c r="E3639" s="8" t="n">
        <v>0</v>
      </c>
      <c r="F3639" s="8" t="n">
        <v>0</v>
      </c>
    </row>
    <row r="3640" customFormat="false" ht="15" hidden="false" customHeight="true" outlineLevel="0" collapsed="false">
      <c r="A3640" s="8" t="s">
        <v>238</v>
      </c>
      <c r="B3640" s="8" t="s">
        <v>1226</v>
      </c>
      <c r="C3640" s="8" t="n">
        <v>2</v>
      </c>
      <c r="D3640" s="8" t="n">
        <v>84.34</v>
      </c>
      <c r="E3640" s="8" t="n">
        <v>0</v>
      </c>
      <c r="F3640" s="8" t="n">
        <v>0</v>
      </c>
    </row>
    <row r="3641" customFormat="false" ht="15" hidden="false" customHeight="true" outlineLevel="0" collapsed="false">
      <c r="A3641" s="8" t="s">
        <v>201</v>
      </c>
      <c r="B3641" s="8" t="s">
        <v>1226</v>
      </c>
      <c r="C3641" s="8" t="n">
        <v>7</v>
      </c>
      <c r="D3641" s="8" t="n">
        <v>295.19</v>
      </c>
      <c r="E3641" s="8" t="n">
        <v>0</v>
      </c>
      <c r="F3641" s="8" t="n">
        <v>0</v>
      </c>
    </row>
    <row r="3642" customFormat="false" ht="15" hidden="false" customHeight="true" outlineLevel="0" collapsed="false">
      <c r="A3642" s="8" t="s">
        <v>214</v>
      </c>
      <c r="B3642" s="8" t="s">
        <v>1226</v>
      </c>
      <c r="C3642" s="8" t="n">
        <v>6</v>
      </c>
      <c r="D3642" s="8" t="n">
        <v>253.02</v>
      </c>
      <c r="E3642" s="8" t="n">
        <v>-3</v>
      </c>
      <c r="F3642" s="8" t="n">
        <v>-126.51</v>
      </c>
    </row>
    <row r="3643" customFormat="false" ht="15" hidden="false" customHeight="true" outlineLevel="0" collapsed="false">
      <c r="A3643" s="8" t="s">
        <v>309</v>
      </c>
      <c r="B3643" s="8" t="s">
        <v>1226</v>
      </c>
      <c r="C3643" s="8" t="n">
        <v>1</v>
      </c>
      <c r="D3643" s="8" t="n">
        <v>42.17</v>
      </c>
      <c r="E3643" s="8" t="n">
        <v>0</v>
      </c>
      <c r="F3643" s="8" t="n">
        <v>0</v>
      </c>
    </row>
    <row r="3644" customFormat="false" ht="15" hidden="false" customHeight="true" outlineLevel="0" collapsed="false">
      <c r="A3644" s="8" t="s">
        <v>219</v>
      </c>
      <c r="B3644" s="8" t="s">
        <v>1227</v>
      </c>
      <c r="C3644" s="8" t="n">
        <v>6</v>
      </c>
      <c r="D3644" s="8" t="n">
        <v>102</v>
      </c>
      <c r="E3644" s="8" t="n">
        <v>0</v>
      </c>
      <c r="F3644" s="8" t="n">
        <v>0</v>
      </c>
    </row>
    <row r="3645" customFormat="false" ht="15" hidden="false" customHeight="true" outlineLevel="0" collapsed="false">
      <c r="A3645" s="8" t="s">
        <v>237</v>
      </c>
      <c r="B3645" s="8" t="s">
        <v>1259</v>
      </c>
      <c r="C3645" s="8" t="n">
        <v>6</v>
      </c>
      <c r="D3645" s="8" t="n">
        <v>110.7</v>
      </c>
      <c r="E3645" s="8" t="n">
        <v>0</v>
      </c>
      <c r="F3645" s="8" t="n">
        <v>0</v>
      </c>
    </row>
    <row r="3646" customFormat="false" ht="15" hidden="false" customHeight="true" outlineLevel="0" collapsed="false">
      <c r="A3646" s="8" t="s">
        <v>172</v>
      </c>
      <c r="B3646" s="8" t="s">
        <v>1214</v>
      </c>
      <c r="C3646" s="8" t="n">
        <v>15</v>
      </c>
      <c r="D3646" s="8" t="n">
        <v>182.7</v>
      </c>
      <c r="E3646" s="8" t="n">
        <v>0</v>
      </c>
      <c r="F3646" s="8" t="n">
        <v>0</v>
      </c>
    </row>
    <row r="3647" customFormat="false" ht="15" hidden="false" customHeight="true" outlineLevel="0" collapsed="false">
      <c r="A3647" s="8" t="s">
        <v>232</v>
      </c>
      <c r="B3647" s="8" t="s">
        <v>1233</v>
      </c>
      <c r="C3647" s="8" t="n">
        <v>6</v>
      </c>
      <c r="D3647" s="8" t="n">
        <v>97.2</v>
      </c>
      <c r="E3647" s="8" t="n">
        <v>0</v>
      </c>
      <c r="F3647" s="8" t="n">
        <v>0</v>
      </c>
    </row>
    <row r="3648" customFormat="false" ht="15" hidden="false" customHeight="true" outlineLevel="0" collapsed="false">
      <c r="A3648" s="8" t="s">
        <v>215</v>
      </c>
      <c r="B3648" s="8" t="s">
        <v>1233</v>
      </c>
      <c r="C3648" s="8" t="n">
        <v>6</v>
      </c>
      <c r="D3648" s="8" t="n">
        <v>106.92</v>
      </c>
      <c r="E3648" s="8" t="n">
        <v>0</v>
      </c>
      <c r="F3648" s="8" t="n">
        <v>0</v>
      </c>
    </row>
    <row r="3649" customFormat="false" ht="15" hidden="false" customHeight="true" outlineLevel="0" collapsed="false">
      <c r="A3649" s="8" t="s">
        <v>180</v>
      </c>
      <c r="B3649" s="8" t="s">
        <v>1216</v>
      </c>
      <c r="C3649" s="8" t="n">
        <v>2</v>
      </c>
      <c r="D3649" s="8" t="n">
        <v>33</v>
      </c>
      <c r="E3649" s="8" t="n">
        <v>0</v>
      </c>
      <c r="F3649" s="8" t="n">
        <v>0</v>
      </c>
    </row>
    <row r="3650" customFormat="false" ht="15" hidden="false" customHeight="true" outlineLevel="0" collapsed="false">
      <c r="A3650" s="8" t="s">
        <v>176</v>
      </c>
      <c r="B3650" s="8" t="s">
        <v>1236</v>
      </c>
      <c r="C3650" s="8" t="n">
        <v>1</v>
      </c>
      <c r="D3650" s="8" t="n">
        <v>35</v>
      </c>
      <c r="E3650" s="8" t="n">
        <v>0</v>
      </c>
      <c r="F3650" s="8" t="n">
        <v>0</v>
      </c>
    </row>
    <row r="3651" customFormat="false" ht="15" hidden="false" customHeight="true" outlineLevel="0" collapsed="false">
      <c r="A3651" s="8" t="s">
        <v>273</v>
      </c>
      <c r="B3651" s="8" t="s">
        <v>1218</v>
      </c>
      <c r="C3651" s="8" t="n">
        <v>0</v>
      </c>
      <c r="D3651" s="8" t="n">
        <v>0</v>
      </c>
      <c r="E3651" s="8" t="n">
        <v>1</v>
      </c>
      <c r="F3651" s="8" t="n">
        <v>126.5</v>
      </c>
    </row>
    <row r="3652" customFormat="false" ht="15" hidden="false" customHeight="true" outlineLevel="0" collapsed="false">
      <c r="A3652" s="8" t="s">
        <v>182</v>
      </c>
      <c r="B3652" s="8" t="s">
        <v>799</v>
      </c>
      <c r="C3652" s="8" t="n">
        <v>8</v>
      </c>
      <c r="D3652" s="8" t="n">
        <v>160</v>
      </c>
      <c r="E3652" s="8" t="n">
        <v>0</v>
      </c>
      <c r="F3652" s="8" t="n">
        <v>0</v>
      </c>
    </row>
    <row r="3653" customFormat="false" ht="15" hidden="false" customHeight="true" outlineLevel="0" collapsed="false">
      <c r="A3653" s="8" t="s">
        <v>203</v>
      </c>
      <c r="B3653" s="8" t="s">
        <v>1177</v>
      </c>
      <c r="C3653" s="8" t="n">
        <v>12</v>
      </c>
      <c r="D3653" s="8" t="n">
        <v>222</v>
      </c>
      <c r="E3653" s="8" t="n">
        <v>-3</v>
      </c>
      <c r="F3653" s="8" t="n">
        <v>-55.5</v>
      </c>
    </row>
    <row r="3654" customFormat="false" ht="15" hidden="false" customHeight="true" outlineLevel="0" collapsed="false">
      <c r="A3654" s="8" t="s">
        <v>197</v>
      </c>
      <c r="B3654" s="8" t="s">
        <v>1222</v>
      </c>
      <c r="C3654" s="8" t="n">
        <v>0</v>
      </c>
      <c r="D3654" s="8" t="n">
        <v>0</v>
      </c>
      <c r="E3654" s="8" t="n">
        <v>1</v>
      </c>
      <c r="F3654" s="8" t="n">
        <v>65</v>
      </c>
    </row>
    <row r="3655" customFormat="false" ht="15" hidden="false" customHeight="true" outlineLevel="0" collapsed="false">
      <c r="A3655" s="8" t="s">
        <v>163</v>
      </c>
      <c r="B3655" s="8" t="s">
        <v>897</v>
      </c>
      <c r="C3655" s="8" t="n">
        <v>1</v>
      </c>
      <c r="D3655" s="8" t="n">
        <v>65</v>
      </c>
      <c r="E3655" s="8" t="n">
        <v>0</v>
      </c>
      <c r="F3655" s="8" t="n">
        <v>0</v>
      </c>
    </row>
    <row r="3656" customFormat="false" ht="15" hidden="false" customHeight="true" outlineLevel="0" collapsed="false">
      <c r="A3656" s="8" t="s">
        <v>165</v>
      </c>
      <c r="B3656" s="8" t="s">
        <v>897</v>
      </c>
      <c r="C3656" s="8" t="n">
        <v>4</v>
      </c>
      <c r="D3656" s="8" t="n">
        <v>260</v>
      </c>
      <c r="E3656" s="8" t="n">
        <v>0</v>
      </c>
      <c r="F3656" s="8" t="n">
        <v>0</v>
      </c>
    </row>
    <row r="3657" customFormat="false" ht="15" hidden="false" customHeight="true" outlineLevel="0" collapsed="false">
      <c r="A3657" s="8" t="s">
        <v>184</v>
      </c>
      <c r="B3657" s="8" t="s">
        <v>897</v>
      </c>
      <c r="C3657" s="8" t="n">
        <v>1</v>
      </c>
      <c r="D3657" s="8" t="n">
        <v>65</v>
      </c>
      <c r="E3657" s="8" t="n">
        <v>1</v>
      </c>
      <c r="F3657" s="8" t="n">
        <v>65</v>
      </c>
    </row>
    <row r="3658" customFormat="false" ht="15" hidden="false" customHeight="true" outlineLevel="0" collapsed="false">
      <c r="A3658" s="8" t="s">
        <v>208</v>
      </c>
      <c r="B3658" s="8" t="s">
        <v>1179</v>
      </c>
      <c r="C3658" s="8" t="n">
        <v>0</v>
      </c>
      <c r="D3658" s="8" t="n">
        <v>0</v>
      </c>
      <c r="E3658" s="8" t="n">
        <v>1</v>
      </c>
      <c r="F3658" s="8" t="n">
        <v>72.34</v>
      </c>
    </row>
    <row r="3659" customFormat="false" ht="15" hidden="false" customHeight="true" outlineLevel="0" collapsed="false">
      <c r="A3659" s="8" t="s">
        <v>190</v>
      </c>
      <c r="B3659" s="8" t="s">
        <v>1224</v>
      </c>
      <c r="C3659" s="8" t="n">
        <v>0</v>
      </c>
      <c r="D3659" s="8" t="n">
        <v>0</v>
      </c>
      <c r="E3659" s="8" t="n">
        <v>1</v>
      </c>
      <c r="F3659" s="8" t="n">
        <v>24.43</v>
      </c>
    </row>
    <row r="3660" customFormat="false" ht="15" hidden="false" customHeight="true" outlineLevel="0" collapsed="false">
      <c r="A3660" s="8" t="s">
        <v>218</v>
      </c>
      <c r="B3660" s="8" t="s">
        <v>1224</v>
      </c>
      <c r="C3660" s="8" t="n">
        <v>0</v>
      </c>
      <c r="D3660" s="8" t="n">
        <v>0</v>
      </c>
      <c r="E3660" s="8" t="n">
        <v>1</v>
      </c>
      <c r="F3660" s="8" t="n">
        <v>24.43</v>
      </c>
    </row>
    <row r="3661" customFormat="false" ht="15" hidden="false" customHeight="true" outlineLevel="0" collapsed="false">
      <c r="A3661" s="8" t="s">
        <v>231</v>
      </c>
      <c r="B3661" s="8" t="s">
        <v>1224</v>
      </c>
      <c r="C3661" s="8" t="n">
        <v>0</v>
      </c>
      <c r="D3661" s="8" t="n">
        <v>0</v>
      </c>
      <c r="E3661" s="8" t="n">
        <v>1</v>
      </c>
      <c r="F3661" s="8" t="n">
        <v>24.43</v>
      </c>
    </row>
    <row r="3662" customFormat="false" ht="15" hidden="false" customHeight="true" outlineLevel="0" collapsed="false">
      <c r="A3662" s="8" t="s">
        <v>161</v>
      </c>
      <c r="B3662" s="8" t="s">
        <v>1208</v>
      </c>
      <c r="C3662" s="8" t="n">
        <v>3</v>
      </c>
      <c r="D3662" s="8" t="n">
        <v>136.5</v>
      </c>
      <c r="E3662" s="8" t="n">
        <v>0</v>
      </c>
      <c r="F3662" s="8" t="n">
        <v>0</v>
      </c>
    </row>
    <row r="3663" customFormat="false" ht="15" hidden="false" customHeight="true" outlineLevel="0" collapsed="false">
      <c r="A3663" s="8" t="s">
        <v>278</v>
      </c>
      <c r="B3663" s="8" t="s">
        <v>1225</v>
      </c>
      <c r="C3663" s="8" t="n">
        <v>2</v>
      </c>
      <c r="D3663" s="8" t="n">
        <v>57.86</v>
      </c>
      <c r="E3663" s="8" t="n">
        <v>0</v>
      </c>
      <c r="F3663" s="8" t="n">
        <v>0</v>
      </c>
    </row>
    <row r="3664" customFormat="false" ht="15" hidden="false" customHeight="true" outlineLevel="0" collapsed="false">
      <c r="A3664" s="8" t="s">
        <v>214</v>
      </c>
      <c r="B3664" s="8" t="s">
        <v>1226</v>
      </c>
      <c r="C3664" s="8" t="n">
        <v>1</v>
      </c>
      <c r="D3664" s="8" t="n">
        <v>42.17</v>
      </c>
      <c r="E3664" s="8" t="n">
        <v>0</v>
      </c>
      <c r="F3664" s="8" t="n">
        <v>0</v>
      </c>
    </row>
    <row r="3665" customFormat="false" ht="15" hidden="false" customHeight="true" outlineLevel="0" collapsed="false">
      <c r="A3665" s="8" t="s">
        <v>241</v>
      </c>
      <c r="B3665" s="8" t="s">
        <v>1227</v>
      </c>
      <c r="C3665" s="8" t="n">
        <v>0</v>
      </c>
      <c r="D3665" s="8" t="n">
        <v>0</v>
      </c>
      <c r="E3665" s="8" t="n">
        <v>1</v>
      </c>
      <c r="F3665" s="8" t="n">
        <v>17</v>
      </c>
    </row>
    <row r="3666" customFormat="false" ht="15" hidden="false" customHeight="true" outlineLevel="0" collapsed="false">
      <c r="A3666" s="8" t="s">
        <v>223</v>
      </c>
      <c r="B3666" s="8" t="s">
        <v>1227</v>
      </c>
      <c r="C3666" s="8" t="n">
        <v>0</v>
      </c>
      <c r="D3666" s="8" t="n">
        <v>0</v>
      </c>
      <c r="E3666" s="8" t="n">
        <v>1</v>
      </c>
      <c r="F3666" s="8" t="n">
        <v>17</v>
      </c>
    </row>
    <row r="3667" customFormat="false" ht="15" hidden="false" customHeight="true" outlineLevel="0" collapsed="false">
      <c r="A3667" s="8" t="s">
        <v>287</v>
      </c>
      <c r="B3667" s="8" t="s">
        <v>1227</v>
      </c>
      <c r="C3667" s="8" t="n">
        <v>1</v>
      </c>
      <c r="D3667" s="8" t="n">
        <v>17</v>
      </c>
      <c r="E3667" s="8" t="n">
        <v>0</v>
      </c>
      <c r="F3667" s="8" t="n">
        <v>0</v>
      </c>
    </row>
    <row r="3668" customFormat="false" ht="15" hidden="false" customHeight="true" outlineLevel="0" collapsed="false">
      <c r="A3668" s="8" t="s">
        <v>202</v>
      </c>
      <c r="B3668" s="8" t="s">
        <v>1212</v>
      </c>
      <c r="C3668" s="8" t="n">
        <v>0</v>
      </c>
      <c r="D3668" s="8" t="n">
        <v>0</v>
      </c>
      <c r="E3668" s="8" t="n">
        <v>1</v>
      </c>
      <c r="F3668" s="8" t="n">
        <v>9.5</v>
      </c>
    </row>
    <row r="3669" customFormat="false" ht="15" hidden="false" customHeight="true" outlineLevel="0" collapsed="false">
      <c r="A3669" s="8" t="s">
        <v>244</v>
      </c>
      <c r="B3669" s="8" t="s">
        <v>1213</v>
      </c>
      <c r="C3669" s="8" t="n">
        <v>0</v>
      </c>
      <c r="D3669" s="8" t="n">
        <v>0</v>
      </c>
      <c r="E3669" s="8" t="n">
        <v>1</v>
      </c>
      <c r="F3669" s="8" t="n">
        <v>9.5</v>
      </c>
    </row>
    <row r="3670" customFormat="false" ht="15" hidden="false" customHeight="true" outlineLevel="0" collapsed="false">
      <c r="A3670" s="8" t="s">
        <v>172</v>
      </c>
      <c r="B3670" s="8" t="s">
        <v>1214</v>
      </c>
      <c r="C3670" s="8" t="n">
        <v>0</v>
      </c>
      <c r="D3670" s="8" t="n">
        <v>0</v>
      </c>
      <c r="E3670" s="8" t="n">
        <v>1</v>
      </c>
      <c r="F3670" s="8" t="n">
        <v>12.18</v>
      </c>
    </row>
    <row r="3671" customFormat="false" ht="15" hidden="false" customHeight="true" outlineLevel="0" collapsed="false">
      <c r="A3671" s="8" t="s">
        <v>180</v>
      </c>
      <c r="B3671" s="8" t="s">
        <v>1216</v>
      </c>
      <c r="C3671" s="8" t="n">
        <v>0</v>
      </c>
      <c r="D3671" s="8" t="n">
        <v>0</v>
      </c>
      <c r="E3671" s="8" t="n">
        <v>1</v>
      </c>
      <c r="F3671" s="8" t="n">
        <v>16.5</v>
      </c>
    </row>
    <row r="3672" customFormat="false" ht="15" hidden="false" customHeight="true" outlineLevel="0" collapsed="false">
      <c r="A3672" s="8" t="s">
        <v>189</v>
      </c>
      <c r="B3672" s="8" t="s">
        <v>1216</v>
      </c>
      <c r="C3672" s="8" t="n">
        <v>0</v>
      </c>
      <c r="D3672" s="8" t="n">
        <v>0</v>
      </c>
      <c r="E3672" s="8" t="n">
        <v>1</v>
      </c>
      <c r="F3672" s="8" t="n">
        <v>16.5</v>
      </c>
    </row>
    <row r="3673" customFormat="false" ht="15" hidden="false" customHeight="true" outlineLevel="0" collapsed="false">
      <c r="A3673" s="8" t="s">
        <v>198</v>
      </c>
      <c r="B3673" s="8" t="s">
        <v>1217</v>
      </c>
      <c r="C3673" s="8" t="n">
        <v>0</v>
      </c>
      <c r="D3673" s="8" t="n">
        <v>0</v>
      </c>
      <c r="E3673" s="8" t="n">
        <v>1</v>
      </c>
      <c r="F3673" s="8" t="n">
        <v>20.5</v>
      </c>
    </row>
    <row r="3674" customFormat="false" ht="15" hidden="false" customHeight="true" outlineLevel="0" collapsed="false">
      <c r="A3674" s="8" t="s">
        <v>205</v>
      </c>
      <c r="B3674" s="8" t="s">
        <v>1217</v>
      </c>
      <c r="C3674" s="8" t="n">
        <v>0</v>
      </c>
      <c r="D3674" s="8" t="n">
        <v>0</v>
      </c>
      <c r="E3674" s="8" t="n">
        <v>1</v>
      </c>
      <c r="F3674" s="8" t="n">
        <v>20.5</v>
      </c>
    </row>
    <row r="3675" customFormat="false" ht="15" hidden="false" customHeight="true" outlineLevel="0" collapsed="false">
      <c r="A3675" s="8" t="s">
        <v>256</v>
      </c>
      <c r="B3675" s="8" t="s">
        <v>1217</v>
      </c>
      <c r="C3675" s="8" t="n">
        <v>0</v>
      </c>
      <c r="D3675" s="8" t="n">
        <v>0</v>
      </c>
      <c r="E3675" s="8" t="n">
        <v>1</v>
      </c>
      <c r="F3675" s="8" t="n">
        <v>20.5</v>
      </c>
    </row>
    <row r="3676" customFormat="false" ht="15" hidden="false" customHeight="true" outlineLevel="0" collapsed="false">
      <c r="A3676" s="8" t="s">
        <v>240</v>
      </c>
      <c r="B3676" s="8" t="s">
        <v>769</v>
      </c>
      <c r="C3676" s="8" t="n">
        <v>0</v>
      </c>
      <c r="D3676" s="8" t="n">
        <v>0</v>
      </c>
      <c r="E3676" s="8" t="n">
        <v>1</v>
      </c>
      <c r="F3676" s="8" t="n">
        <v>17</v>
      </c>
    </row>
    <row r="3677" customFormat="false" ht="15" hidden="false" customHeight="true" outlineLevel="0" collapsed="false">
      <c r="A3677" s="8" t="s">
        <v>300</v>
      </c>
      <c r="B3677" s="8" t="s">
        <v>769</v>
      </c>
      <c r="C3677" s="8" t="n">
        <v>0</v>
      </c>
      <c r="D3677" s="8" t="n">
        <v>0</v>
      </c>
      <c r="E3677" s="8" t="n">
        <v>1</v>
      </c>
      <c r="F3677" s="8" t="n">
        <v>17</v>
      </c>
    </row>
    <row r="3678" customFormat="false" ht="15" hidden="false" customHeight="true" outlineLevel="0" collapsed="false">
      <c r="A3678" s="8" t="s">
        <v>367</v>
      </c>
      <c r="B3678" s="8" t="s">
        <v>769</v>
      </c>
      <c r="C3678" s="8" t="n">
        <v>0</v>
      </c>
      <c r="D3678" s="8" t="n">
        <v>0</v>
      </c>
      <c r="E3678" s="8" t="n">
        <v>1</v>
      </c>
      <c r="F3678" s="8" t="n">
        <v>17</v>
      </c>
    </row>
    <row r="3679" customFormat="false" ht="15" hidden="false" customHeight="true" outlineLevel="0" collapsed="false">
      <c r="A3679" s="8" t="s">
        <v>182</v>
      </c>
      <c r="B3679" s="8" t="s">
        <v>799</v>
      </c>
      <c r="C3679" s="8" t="n">
        <v>0</v>
      </c>
      <c r="D3679" s="8" t="n">
        <v>0</v>
      </c>
      <c r="E3679" s="8" t="n">
        <v>1</v>
      </c>
      <c r="F3679" s="8" t="n">
        <v>20</v>
      </c>
    </row>
    <row r="3680" customFormat="false" ht="15" hidden="false" customHeight="true" outlineLevel="0" collapsed="false">
      <c r="A3680" s="8" t="s">
        <v>203</v>
      </c>
      <c r="B3680" s="8" t="s">
        <v>1177</v>
      </c>
      <c r="C3680" s="8" t="n">
        <v>0</v>
      </c>
      <c r="D3680" s="8" t="n">
        <v>0</v>
      </c>
      <c r="E3680" s="8" t="n">
        <v>1</v>
      </c>
      <c r="F3680" s="8" t="n">
        <v>18.5</v>
      </c>
    </row>
    <row r="3681" customFormat="false" ht="15" hidden="false" customHeight="true" outlineLevel="0" collapsed="false">
      <c r="A3681" s="8" t="s">
        <v>207</v>
      </c>
      <c r="B3681" s="8" t="s">
        <v>1222</v>
      </c>
      <c r="C3681" s="8" t="n">
        <v>0</v>
      </c>
      <c r="D3681" s="8" t="n">
        <v>0</v>
      </c>
      <c r="E3681" s="8" t="n">
        <v>3</v>
      </c>
      <c r="F3681" s="8" t="n">
        <v>195</v>
      </c>
    </row>
    <row r="3682" customFormat="false" ht="15" hidden="false" customHeight="true" outlineLevel="0" collapsed="false">
      <c r="A3682" s="8" t="s">
        <v>163</v>
      </c>
      <c r="B3682" s="8" t="s">
        <v>897</v>
      </c>
      <c r="C3682" s="8" t="n">
        <v>4</v>
      </c>
      <c r="D3682" s="8" t="n">
        <v>260</v>
      </c>
      <c r="E3682" s="8" t="n">
        <v>3</v>
      </c>
      <c r="F3682" s="8" t="n">
        <v>195</v>
      </c>
    </row>
    <row r="3683" customFormat="false" ht="15" hidden="false" customHeight="true" outlineLevel="0" collapsed="false">
      <c r="A3683" s="8" t="s">
        <v>181</v>
      </c>
      <c r="B3683" s="8" t="s">
        <v>897</v>
      </c>
      <c r="C3683" s="8" t="n">
        <v>3</v>
      </c>
      <c r="D3683" s="8" t="n">
        <v>195</v>
      </c>
      <c r="E3683" s="8" t="n">
        <v>0</v>
      </c>
      <c r="F3683" s="8" t="n">
        <v>0</v>
      </c>
    </row>
    <row r="3684" customFormat="false" ht="15" hidden="false" customHeight="true" outlineLevel="0" collapsed="false">
      <c r="A3684" s="8" t="s">
        <v>290</v>
      </c>
      <c r="B3684" s="8" t="s">
        <v>897</v>
      </c>
      <c r="C3684" s="8" t="n">
        <v>1</v>
      </c>
      <c r="D3684" s="8" t="n">
        <v>65</v>
      </c>
      <c r="E3684" s="8" t="n">
        <v>1</v>
      </c>
      <c r="F3684" s="8" t="n">
        <v>65</v>
      </c>
    </row>
    <row r="3685" customFormat="false" ht="15" hidden="false" customHeight="true" outlineLevel="0" collapsed="false">
      <c r="A3685" s="8" t="s">
        <v>165</v>
      </c>
      <c r="B3685" s="8" t="s">
        <v>897</v>
      </c>
      <c r="C3685" s="8" t="n">
        <v>4</v>
      </c>
      <c r="D3685" s="8" t="n">
        <v>260</v>
      </c>
      <c r="E3685" s="8" t="n">
        <v>0</v>
      </c>
      <c r="F3685" s="8" t="n">
        <v>0</v>
      </c>
    </row>
    <row r="3686" customFormat="false" ht="15" hidden="false" customHeight="true" outlineLevel="0" collapsed="false">
      <c r="A3686" s="8" t="s">
        <v>184</v>
      </c>
      <c r="B3686" s="8" t="s">
        <v>897</v>
      </c>
      <c r="C3686" s="8" t="n">
        <v>2</v>
      </c>
      <c r="D3686" s="8" t="n">
        <v>130</v>
      </c>
      <c r="E3686" s="8" t="n">
        <v>2</v>
      </c>
      <c r="F3686" s="8" t="n">
        <v>130</v>
      </c>
    </row>
    <row r="3687" customFormat="false" ht="15" hidden="false" customHeight="true" outlineLevel="0" collapsed="false">
      <c r="A3687" s="8" t="s">
        <v>208</v>
      </c>
      <c r="B3687" s="8" t="s">
        <v>1179</v>
      </c>
      <c r="C3687" s="8" t="n">
        <v>1</v>
      </c>
      <c r="D3687" s="8" t="n">
        <v>72.34</v>
      </c>
      <c r="E3687" s="8" t="n">
        <v>2</v>
      </c>
      <c r="F3687" s="8" t="n">
        <v>144.68</v>
      </c>
    </row>
    <row r="3688" customFormat="false" ht="15" hidden="false" customHeight="true" outlineLevel="0" collapsed="false">
      <c r="A3688" s="8" t="s">
        <v>221</v>
      </c>
      <c r="B3688" s="8" t="s">
        <v>1179</v>
      </c>
      <c r="C3688" s="8" t="n">
        <v>1</v>
      </c>
      <c r="D3688" s="8" t="n">
        <v>72.34</v>
      </c>
      <c r="E3688" s="8" t="n">
        <v>0</v>
      </c>
      <c r="F3688" s="8" t="n">
        <v>0</v>
      </c>
    </row>
    <row r="3689" customFormat="false" ht="15" hidden="false" customHeight="true" outlineLevel="0" collapsed="false">
      <c r="A3689" s="8" t="s">
        <v>190</v>
      </c>
      <c r="B3689" s="8" t="s">
        <v>1224</v>
      </c>
      <c r="C3689" s="8" t="n">
        <v>5</v>
      </c>
      <c r="D3689" s="8" t="n">
        <v>122.15</v>
      </c>
      <c r="E3689" s="8" t="n">
        <v>1</v>
      </c>
      <c r="F3689" s="8" t="n">
        <v>24.43</v>
      </c>
    </row>
    <row r="3690" customFormat="false" ht="15" hidden="false" customHeight="true" outlineLevel="0" collapsed="false">
      <c r="A3690" s="8" t="s">
        <v>183</v>
      </c>
      <c r="B3690" s="8" t="s">
        <v>1224</v>
      </c>
      <c r="C3690" s="8" t="n">
        <v>3</v>
      </c>
      <c r="D3690" s="8" t="n">
        <v>73.29</v>
      </c>
      <c r="E3690" s="8" t="n">
        <v>5</v>
      </c>
      <c r="F3690" s="8" t="n">
        <v>122.15</v>
      </c>
    </row>
    <row r="3691" customFormat="false" ht="15" hidden="false" customHeight="true" outlineLevel="0" collapsed="false">
      <c r="A3691" s="8" t="s">
        <v>161</v>
      </c>
      <c r="B3691" s="8" t="s">
        <v>1208</v>
      </c>
      <c r="C3691" s="8" t="n">
        <v>19</v>
      </c>
      <c r="D3691" s="8" t="n">
        <v>864.5</v>
      </c>
      <c r="E3691" s="8" t="n">
        <v>0</v>
      </c>
      <c r="F3691" s="8" t="n">
        <v>0</v>
      </c>
    </row>
    <row r="3692" customFormat="false" ht="15" hidden="false" customHeight="true" outlineLevel="0" collapsed="false">
      <c r="A3692" s="8" t="s">
        <v>162</v>
      </c>
      <c r="B3692" s="8" t="s">
        <v>1209</v>
      </c>
      <c r="C3692" s="8" t="n">
        <v>21</v>
      </c>
      <c r="D3692" s="8" t="n">
        <v>1633.8</v>
      </c>
      <c r="E3692" s="8" t="n">
        <v>0</v>
      </c>
      <c r="F3692" s="8" t="n">
        <v>0</v>
      </c>
    </row>
    <row r="3693" customFormat="false" ht="15" hidden="false" customHeight="true" outlineLevel="0" collapsed="false">
      <c r="A3693" s="8" t="s">
        <v>270</v>
      </c>
      <c r="B3693" s="8" t="s">
        <v>1251</v>
      </c>
      <c r="C3693" s="8" t="n">
        <v>2</v>
      </c>
      <c r="D3693" s="8" t="n">
        <v>19.64</v>
      </c>
      <c r="E3693" s="8" t="n">
        <v>0</v>
      </c>
      <c r="F3693" s="8" t="n">
        <v>0</v>
      </c>
    </row>
    <row r="3694" customFormat="false" ht="15" hidden="false" customHeight="true" outlineLevel="0" collapsed="false">
      <c r="A3694" s="8" t="s">
        <v>263</v>
      </c>
      <c r="B3694" s="8" t="s">
        <v>407</v>
      </c>
      <c r="C3694" s="8" t="n">
        <v>2</v>
      </c>
      <c r="D3694" s="8" t="n">
        <v>25.64</v>
      </c>
      <c r="E3694" s="8" t="n">
        <v>0</v>
      </c>
      <c r="F3694" s="8" t="n">
        <v>0</v>
      </c>
    </row>
    <row r="3695" customFormat="false" ht="15" hidden="false" customHeight="true" outlineLevel="0" collapsed="false">
      <c r="A3695" s="8" t="s">
        <v>188</v>
      </c>
      <c r="B3695" s="8" t="s">
        <v>1225</v>
      </c>
      <c r="C3695" s="8" t="n">
        <v>3</v>
      </c>
      <c r="D3695" s="8" t="n">
        <v>86.79</v>
      </c>
      <c r="E3695" s="8" t="n">
        <v>1</v>
      </c>
      <c r="F3695" s="8" t="n">
        <v>28.93</v>
      </c>
    </row>
    <row r="3696" customFormat="false" ht="15" hidden="false" customHeight="true" outlineLevel="0" collapsed="false">
      <c r="A3696" s="8" t="s">
        <v>186</v>
      </c>
      <c r="B3696" s="8" t="s">
        <v>1225</v>
      </c>
      <c r="C3696" s="8" t="n">
        <v>4</v>
      </c>
      <c r="D3696" s="8" t="n">
        <v>115.72</v>
      </c>
      <c r="E3696" s="8" t="n">
        <v>0</v>
      </c>
      <c r="F3696" s="8" t="n">
        <v>0</v>
      </c>
    </row>
    <row r="3697" customFormat="false" ht="15" hidden="false" customHeight="true" outlineLevel="0" collapsed="false">
      <c r="A3697" s="8" t="s">
        <v>239</v>
      </c>
      <c r="B3697" s="8" t="s">
        <v>1225</v>
      </c>
      <c r="C3697" s="8" t="n">
        <v>1</v>
      </c>
      <c r="D3697" s="8" t="n">
        <v>28.93</v>
      </c>
      <c r="E3697" s="8" t="n">
        <v>0</v>
      </c>
      <c r="F3697" s="8" t="n">
        <v>0</v>
      </c>
    </row>
    <row r="3698" customFormat="false" ht="15" hidden="false" customHeight="true" outlineLevel="0" collapsed="false">
      <c r="A3698" s="8" t="s">
        <v>210</v>
      </c>
      <c r="B3698" s="8" t="s">
        <v>1225</v>
      </c>
      <c r="C3698" s="8" t="n">
        <v>0</v>
      </c>
      <c r="D3698" s="8" t="n">
        <v>0</v>
      </c>
      <c r="E3698" s="8" t="n">
        <v>3</v>
      </c>
      <c r="F3698" s="8" t="n">
        <v>86.79</v>
      </c>
    </row>
    <row r="3699" customFormat="false" ht="15" hidden="false" customHeight="true" outlineLevel="0" collapsed="false">
      <c r="A3699" s="8" t="s">
        <v>201</v>
      </c>
      <c r="B3699" s="8" t="s">
        <v>1226</v>
      </c>
      <c r="C3699" s="8" t="n">
        <v>0</v>
      </c>
      <c r="D3699" s="8" t="n">
        <v>0</v>
      </c>
      <c r="E3699" s="8" t="n">
        <v>1</v>
      </c>
      <c r="F3699" s="8" t="n">
        <v>42.17</v>
      </c>
    </row>
    <row r="3700" customFormat="false" ht="15" hidden="false" customHeight="true" outlineLevel="0" collapsed="false">
      <c r="A3700" s="8" t="s">
        <v>214</v>
      </c>
      <c r="B3700" s="8" t="s">
        <v>1226</v>
      </c>
      <c r="C3700" s="8" t="n">
        <v>2</v>
      </c>
      <c r="D3700" s="8" t="n">
        <v>84.34</v>
      </c>
      <c r="E3700" s="8" t="n">
        <v>2</v>
      </c>
      <c r="F3700" s="8" t="n">
        <v>84.34</v>
      </c>
    </row>
    <row r="3701" customFormat="false" ht="15" hidden="false" customHeight="true" outlineLevel="0" collapsed="false">
      <c r="A3701" s="8" t="s">
        <v>241</v>
      </c>
      <c r="B3701" s="8" t="s">
        <v>1227</v>
      </c>
      <c r="C3701" s="8" t="n">
        <v>4</v>
      </c>
      <c r="D3701" s="8" t="n">
        <v>68</v>
      </c>
      <c r="E3701" s="8" t="n">
        <v>0</v>
      </c>
      <c r="F3701" s="8" t="n">
        <v>0</v>
      </c>
    </row>
    <row r="3702" customFormat="false" ht="15" hidden="false" customHeight="true" outlineLevel="0" collapsed="false">
      <c r="A3702" s="8" t="s">
        <v>219</v>
      </c>
      <c r="B3702" s="8" t="s">
        <v>1227</v>
      </c>
      <c r="C3702" s="8" t="n">
        <v>2</v>
      </c>
      <c r="D3702" s="8" t="n">
        <v>34</v>
      </c>
      <c r="E3702" s="8" t="n">
        <v>0</v>
      </c>
      <c r="F3702" s="8" t="n">
        <v>0</v>
      </c>
    </row>
    <row r="3703" customFormat="false" ht="15" hidden="false" customHeight="true" outlineLevel="0" collapsed="false">
      <c r="A3703" s="8" t="s">
        <v>223</v>
      </c>
      <c r="B3703" s="8" t="s">
        <v>1227</v>
      </c>
      <c r="C3703" s="8" t="n">
        <v>0</v>
      </c>
      <c r="D3703" s="8" t="n">
        <v>0</v>
      </c>
      <c r="E3703" s="8" t="n">
        <v>2</v>
      </c>
      <c r="F3703" s="8" t="n">
        <v>34</v>
      </c>
    </row>
    <row r="3704" customFormat="false" ht="15" hidden="false" customHeight="true" outlineLevel="0" collapsed="false">
      <c r="A3704" s="8" t="s">
        <v>287</v>
      </c>
      <c r="B3704" s="8" t="s">
        <v>1227</v>
      </c>
      <c r="C3704" s="8" t="n">
        <v>1</v>
      </c>
      <c r="D3704" s="8" t="n">
        <v>17</v>
      </c>
      <c r="E3704" s="8" t="n">
        <v>1</v>
      </c>
      <c r="F3704" s="8" t="n">
        <v>17</v>
      </c>
    </row>
    <row r="3705" customFormat="false" ht="15" hidden="false" customHeight="true" outlineLevel="0" collapsed="false">
      <c r="A3705" s="8" t="s">
        <v>266</v>
      </c>
      <c r="B3705" s="8" t="s">
        <v>1228</v>
      </c>
      <c r="C3705" s="8" t="n">
        <v>6</v>
      </c>
      <c r="D3705" s="8" t="n">
        <v>119.52</v>
      </c>
      <c r="E3705" s="8" t="n">
        <v>0</v>
      </c>
      <c r="F3705" s="8" t="n">
        <v>0</v>
      </c>
    </row>
    <row r="3706" customFormat="false" ht="15" hidden="false" customHeight="true" outlineLevel="0" collapsed="false">
      <c r="A3706" s="8" t="s">
        <v>244</v>
      </c>
      <c r="B3706" s="8" t="s">
        <v>1213</v>
      </c>
      <c r="C3706" s="8" t="n">
        <v>10</v>
      </c>
      <c r="D3706" s="8" t="n">
        <v>95</v>
      </c>
      <c r="E3706" s="8" t="n">
        <v>0</v>
      </c>
      <c r="F3706" s="8" t="n">
        <v>0</v>
      </c>
    </row>
    <row r="3707" customFormat="false" ht="15" hidden="false" customHeight="true" outlineLevel="0" collapsed="false">
      <c r="A3707" s="8" t="s">
        <v>243</v>
      </c>
      <c r="B3707" s="8" t="s">
        <v>1253</v>
      </c>
      <c r="C3707" s="8" t="n">
        <v>1</v>
      </c>
      <c r="D3707" s="8" t="n">
        <v>12.95</v>
      </c>
      <c r="E3707" s="8" t="n">
        <v>0</v>
      </c>
      <c r="F3707" s="8" t="n">
        <v>0</v>
      </c>
    </row>
    <row r="3708" customFormat="false" ht="15" hidden="false" customHeight="true" outlineLevel="0" collapsed="false">
      <c r="A3708" s="8" t="s">
        <v>172</v>
      </c>
      <c r="B3708" s="8" t="s">
        <v>1214</v>
      </c>
      <c r="C3708" s="8" t="n">
        <v>25</v>
      </c>
      <c r="D3708" s="8" t="n">
        <v>304.5</v>
      </c>
      <c r="E3708" s="8" t="n">
        <v>0</v>
      </c>
      <c r="F3708" s="8" t="n">
        <v>0</v>
      </c>
    </row>
    <row r="3709" customFormat="false" ht="15" hidden="false" customHeight="true" outlineLevel="0" collapsed="false">
      <c r="A3709" s="8" t="s">
        <v>168</v>
      </c>
      <c r="B3709" s="8" t="s">
        <v>1240</v>
      </c>
      <c r="C3709" s="8" t="n">
        <v>4</v>
      </c>
      <c r="D3709" s="8" t="n">
        <v>167.24</v>
      </c>
      <c r="E3709" s="8" t="n">
        <v>0</v>
      </c>
      <c r="F3709" s="8" t="n">
        <v>0</v>
      </c>
    </row>
    <row r="3710" customFormat="false" ht="15" hidden="false" customHeight="true" outlineLevel="0" collapsed="false">
      <c r="A3710" s="8" t="s">
        <v>180</v>
      </c>
      <c r="B3710" s="8" t="s">
        <v>1216</v>
      </c>
      <c r="C3710" s="8" t="n">
        <v>8</v>
      </c>
      <c r="D3710" s="8" t="n">
        <v>132</v>
      </c>
      <c r="E3710" s="8" t="n">
        <v>0</v>
      </c>
      <c r="F3710" s="8" t="n">
        <v>0</v>
      </c>
    </row>
    <row r="3711" customFormat="false" ht="15" hidden="false" customHeight="true" outlineLevel="0" collapsed="false">
      <c r="A3711" s="8" t="s">
        <v>189</v>
      </c>
      <c r="B3711" s="8" t="s">
        <v>1216</v>
      </c>
      <c r="C3711" s="8" t="n">
        <v>4</v>
      </c>
      <c r="D3711" s="8" t="n">
        <v>66</v>
      </c>
      <c r="E3711" s="8" t="n">
        <v>0</v>
      </c>
      <c r="F3711" s="8" t="n">
        <v>0</v>
      </c>
    </row>
    <row r="3712" customFormat="false" ht="15" hidden="false" customHeight="true" outlineLevel="0" collapsed="false">
      <c r="A3712" s="8" t="s">
        <v>199</v>
      </c>
      <c r="B3712" s="8" t="s">
        <v>1216</v>
      </c>
      <c r="C3712" s="8" t="n">
        <v>3</v>
      </c>
      <c r="D3712" s="8" t="n">
        <v>49.5</v>
      </c>
      <c r="E3712" s="8" t="n">
        <v>4</v>
      </c>
      <c r="F3712" s="8" t="n">
        <v>66</v>
      </c>
    </row>
    <row r="3713" customFormat="false" ht="15" hidden="false" customHeight="true" outlineLevel="0" collapsed="false">
      <c r="A3713" s="8" t="s">
        <v>250</v>
      </c>
      <c r="B3713" s="8" t="s">
        <v>1216</v>
      </c>
      <c r="C3713" s="8" t="n">
        <v>0</v>
      </c>
      <c r="D3713" s="8" t="n">
        <v>0</v>
      </c>
      <c r="E3713" s="8" t="n">
        <v>3</v>
      </c>
      <c r="F3713" s="8" t="n">
        <v>49.5</v>
      </c>
    </row>
    <row r="3714" customFormat="false" ht="15" hidden="false" customHeight="true" outlineLevel="0" collapsed="false">
      <c r="A3714" s="8" t="s">
        <v>198</v>
      </c>
      <c r="B3714" s="8" t="s">
        <v>1217</v>
      </c>
      <c r="C3714" s="8" t="n">
        <v>0</v>
      </c>
      <c r="D3714" s="8" t="n">
        <v>0</v>
      </c>
      <c r="E3714" s="8" t="n">
        <v>4</v>
      </c>
      <c r="F3714" s="8" t="n">
        <v>82</v>
      </c>
    </row>
    <row r="3715" customFormat="false" ht="15" hidden="false" customHeight="true" outlineLevel="0" collapsed="false">
      <c r="A3715" s="8" t="s">
        <v>332</v>
      </c>
      <c r="B3715" s="8" t="s">
        <v>1246</v>
      </c>
      <c r="C3715" s="8" t="n">
        <v>1</v>
      </c>
      <c r="D3715" s="8" t="n">
        <v>126.57</v>
      </c>
      <c r="E3715" s="8" t="n">
        <v>0</v>
      </c>
      <c r="F3715" s="8" t="n">
        <v>0</v>
      </c>
    </row>
    <row r="3716" customFormat="false" ht="15" hidden="false" customHeight="true" outlineLevel="0" collapsed="false">
      <c r="A3716" s="8" t="s">
        <v>272</v>
      </c>
      <c r="B3716" s="8" t="s">
        <v>1246</v>
      </c>
      <c r="C3716" s="8" t="n">
        <v>1</v>
      </c>
      <c r="D3716" s="8" t="n">
        <v>126.57</v>
      </c>
      <c r="E3716" s="8" t="n">
        <v>0</v>
      </c>
      <c r="F3716" s="8" t="n">
        <v>0</v>
      </c>
    </row>
    <row r="3717" customFormat="false" ht="15" hidden="false" customHeight="true" outlineLevel="0" collapsed="false">
      <c r="A3717" s="8" t="s">
        <v>113</v>
      </c>
      <c r="B3717" s="8" t="s">
        <v>1247</v>
      </c>
      <c r="C3717" s="8" t="n">
        <v>0</v>
      </c>
      <c r="D3717" s="8" t="n">
        <v>0</v>
      </c>
      <c r="E3717" s="8" t="n">
        <v>6</v>
      </c>
      <c r="F3717" s="8" t="n">
        <v>150</v>
      </c>
    </row>
    <row r="3718" customFormat="false" ht="15" hidden="false" customHeight="true" outlineLevel="0" collapsed="false">
      <c r="A3718" s="8" t="s">
        <v>99</v>
      </c>
      <c r="B3718" s="8" t="s">
        <v>1247</v>
      </c>
      <c r="C3718" s="8" t="n">
        <v>0</v>
      </c>
      <c r="D3718" s="8" t="n">
        <v>0</v>
      </c>
      <c r="E3718" s="8" t="n">
        <v>6</v>
      </c>
      <c r="F3718" s="8" t="n">
        <v>150</v>
      </c>
    </row>
    <row r="3719" customFormat="false" ht="15" hidden="false" customHeight="true" outlineLevel="0" collapsed="false">
      <c r="A3719" s="8" t="s">
        <v>120</v>
      </c>
      <c r="B3719" s="8" t="s">
        <v>1247</v>
      </c>
      <c r="C3719" s="8" t="n">
        <v>0</v>
      </c>
      <c r="D3719" s="8" t="n">
        <v>0</v>
      </c>
      <c r="E3719" s="8" t="n">
        <v>6</v>
      </c>
      <c r="F3719" s="8" t="n">
        <v>150</v>
      </c>
    </row>
    <row r="3720" customFormat="false" ht="15" hidden="false" customHeight="true" outlineLevel="0" collapsed="false">
      <c r="A3720" s="8" t="s">
        <v>303</v>
      </c>
      <c r="B3720" s="8" t="s">
        <v>1247</v>
      </c>
      <c r="C3720" s="8" t="n">
        <v>0</v>
      </c>
      <c r="D3720" s="8" t="n">
        <v>0</v>
      </c>
      <c r="E3720" s="8" t="n">
        <v>6</v>
      </c>
      <c r="F3720" s="8" t="n">
        <v>377.82</v>
      </c>
    </row>
    <row r="3721" customFormat="false" ht="15" hidden="false" customHeight="true" outlineLevel="0" collapsed="false">
      <c r="A3721" s="8" t="s">
        <v>178</v>
      </c>
      <c r="B3721" s="8" t="s">
        <v>1236</v>
      </c>
      <c r="C3721" s="8" t="n">
        <v>0</v>
      </c>
      <c r="D3721" s="8" t="n">
        <v>0</v>
      </c>
      <c r="E3721" s="8" t="n">
        <v>3</v>
      </c>
      <c r="F3721" s="8" t="n">
        <v>105</v>
      </c>
    </row>
    <row r="3722" customFormat="false" ht="15" hidden="false" customHeight="true" outlineLevel="0" collapsed="false">
      <c r="A3722" s="8" t="s">
        <v>176</v>
      </c>
      <c r="B3722" s="8" t="s">
        <v>1236</v>
      </c>
      <c r="C3722" s="8" t="n">
        <v>2</v>
      </c>
      <c r="D3722" s="8" t="n">
        <v>70</v>
      </c>
      <c r="E3722" s="8" t="n">
        <v>3</v>
      </c>
      <c r="F3722" s="8" t="n">
        <v>105</v>
      </c>
    </row>
    <row r="3723" customFormat="false" ht="15" hidden="false" customHeight="true" outlineLevel="0" collapsed="false">
      <c r="A3723" s="8" t="s">
        <v>224</v>
      </c>
      <c r="B3723" s="8" t="s">
        <v>1236</v>
      </c>
      <c r="C3723" s="8" t="n">
        <v>2</v>
      </c>
      <c r="D3723" s="8" t="n">
        <v>70</v>
      </c>
      <c r="E3723" s="8" t="n">
        <v>5</v>
      </c>
      <c r="F3723" s="8" t="n">
        <v>175</v>
      </c>
    </row>
    <row r="3724" customFormat="false" ht="15" hidden="false" customHeight="true" outlineLevel="0" collapsed="false">
      <c r="A3724" s="8" t="s">
        <v>179</v>
      </c>
      <c r="B3724" s="8" t="s">
        <v>1218</v>
      </c>
      <c r="C3724" s="8" t="n">
        <v>2</v>
      </c>
      <c r="D3724" s="8" t="n">
        <v>253</v>
      </c>
      <c r="E3724" s="8" t="n">
        <v>0</v>
      </c>
      <c r="F3724" s="8" t="n">
        <v>0</v>
      </c>
    </row>
    <row r="3725" customFormat="false" ht="15" hidden="false" customHeight="true" outlineLevel="0" collapsed="false">
      <c r="A3725" s="8" t="s">
        <v>185</v>
      </c>
      <c r="B3725" s="8" t="s">
        <v>1218</v>
      </c>
      <c r="C3725" s="8" t="n">
        <v>2</v>
      </c>
      <c r="D3725" s="8" t="n">
        <v>253</v>
      </c>
      <c r="E3725" s="8" t="n">
        <v>0</v>
      </c>
      <c r="F3725" s="8" t="n">
        <v>0</v>
      </c>
    </row>
    <row r="3726" customFormat="false" ht="15" hidden="false" customHeight="true" outlineLevel="0" collapsed="false">
      <c r="A3726" s="8" t="s">
        <v>240</v>
      </c>
      <c r="B3726" s="8" t="s">
        <v>769</v>
      </c>
      <c r="C3726" s="8" t="n">
        <v>2</v>
      </c>
      <c r="D3726" s="8" t="n">
        <v>34</v>
      </c>
      <c r="E3726" s="8" t="n">
        <v>0</v>
      </c>
      <c r="F3726" s="8" t="n">
        <v>0</v>
      </c>
    </row>
    <row r="3727" customFormat="false" ht="15" hidden="false" customHeight="true" outlineLevel="0" collapsed="false">
      <c r="A3727" s="8" t="s">
        <v>234</v>
      </c>
      <c r="B3727" s="8" t="s">
        <v>769</v>
      </c>
      <c r="C3727" s="8" t="n">
        <v>4</v>
      </c>
      <c r="D3727" s="8" t="n">
        <v>68</v>
      </c>
      <c r="E3727" s="8" t="n">
        <v>0</v>
      </c>
      <c r="F3727" s="8" t="n">
        <v>0</v>
      </c>
    </row>
    <row r="3728" customFormat="false" ht="15" hidden="false" customHeight="true" outlineLevel="0" collapsed="false">
      <c r="A3728" s="8" t="s">
        <v>247</v>
      </c>
      <c r="B3728" s="8" t="s">
        <v>769</v>
      </c>
      <c r="C3728" s="8" t="n">
        <v>1</v>
      </c>
      <c r="D3728" s="8" t="n">
        <v>17</v>
      </c>
      <c r="E3728" s="8" t="n">
        <v>3</v>
      </c>
      <c r="F3728" s="8" t="n">
        <v>51</v>
      </c>
    </row>
    <row r="3729" customFormat="false" ht="15" hidden="false" customHeight="true" outlineLevel="0" collapsed="false">
      <c r="A3729" s="8" t="s">
        <v>170</v>
      </c>
      <c r="B3729" s="8" t="s">
        <v>1220</v>
      </c>
      <c r="C3729" s="8" t="n">
        <v>12</v>
      </c>
      <c r="D3729" s="8" t="n">
        <v>177.6</v>
      </c>
      <c r="E3729" s="8" t="n">
        <v>0</v>
      </c>
      <c r="F3729" s="8" t="n">
        <v>0</v>
      </c>
    </row>
    <row r="3730" customFormat="false" ht="15" hidden="false" customHeight="true" outlineLevel="0" collapsed="false">
      <c r="A3730" s="8" t="s">
        <v>167</v>
      </c>
      <c r="B3730" s="8" t="s">
        <v>1238</v>
      </c>
      <c r="C3730" s="8" t="n">
        <v>10</v>
      </c>
      <c r="D3730" s="8" t="n">
        <v>134</v>
      </c>
      <c r="E3730" s="8" t="n">
        <v>0</v>
      </c>
      <c r="F3730" s="8" t="n">
        <v>0</v>
      </c>
    </row>
    <row r="3731" customFormat="false" ht="15" hidden="false" customHeight="true" outlineLevel="0" collapsed="false">
      <c r="A3731" s="8" t="s">
        <v>258</v>
      </c>
      <c r="B3731" s="8" t="s">
        <v>562</v>
      </c>
      <c r="C3731" s="8" t="n">
        <v>3</v>
      </c>
      <c r="D3731" s="8" t="n">
        <v>108</v>
      </c>
      <c r="E3731" s="8" t="n">
        <v>0</v>
      </c>
      <c r="F3731" s="8" t="n">
        <v>0</v>
      </c>
    </row>
    <row r="3732" customFormat="false" ht="15" hidden="false" customHeight="true" outlineLevel="0" collapsed="false">
      <c r="A3732" s="8" t="s">
        <v>203</v>
      </c>
      <c r="B3732" s="8" t="s">
        <v>1177</v>
      </c>
      <c r="C3732" s="8" t="n">
        <v>3</v>
      </c>
      <c r="D3732" s="8" t="n">
        <v>55.5</v>
      </c>
      <c r="E3732" s="8" t="n">
        <v>0</v>
      </c>
      <c r="F3732" s="8" t="n">
        <v>0</v>
      </c>
    </row>
    <row r="3733" customFormat="false" ht="15" hidden="false" customHeight="true" outlineLevel="0" collapsed="false">
      <c r="A3733" s="8" t="s">
        <v>211</v>
      </c>
      <c r="B3733" s="8" t="s">
        <v>1250</v>
      </c>
      <c r="C3733" s="8" t="n">
        <v>3</v>
      </c>
      <c r="D3733" s="8" t="n">
        <v>75</v>
      </c>
      <c r="E3733" s="8" t="n">
        <v>0</v>
      </c>
      <c r="F3733" s="8" t="n">
        <v>0</v>
      </c>
    </row>
    <row r="3734" customFormat="false" ht="15" hidden="false" customHeight="true" outlineLevel="0" collapsed="false">
      <c r="A3734" s="8" t="s">
        <v>248</v>
      </c>
      <c r="B3734" s="8" t="s">
        <v>1242</v>
      </c>
      <c r="C3734" s="8" t="n">
        <v>0</v>
      </c>
      <c r="D3734" s="8" t="n">
        <v>0</v>
      </c>
      <c r="E3734" s="8" t="n">
        <v>2</v>
      </c>
      <c r="F3734" s="8" t="n">
        <v>42</v>
      </c>
    </row>
    <row r="3735" customFormat="false" ht="15" hidden="false" customHeight="true" outlineLevel="0" collapsed="false">
      <c r="A3735" s="8" t="s">
        <v>310</v>
      </c>
      <c r="B3735" s="8" t="s">
        <v>1258</v>
      </c>
      <c r="C3735" s="8" t="n">
        <v>2</v>
      </c>
      <c r="D3735" s="8" t="n">
        <v>188.2</v>
      </c>
      <c r="E3735" s="8" t="n">
        <v>0</v>
      </c>
      <c r="F3735" s="8" t="n">
        <v>0</v>
      </c>
    </row>
    <row r="3736" customFormat="false" ht="15" hidden="false" customHeight="true" outlineLevel="0" collapsed="false">
      <c r="A3736" s="8" t="s">
        <v>343</v>
      </c>
      <c r="B3736" s="8" t="s">
        <v>1258</v>
      </c>
      <c r="C3736" s="8" t="n">
        <v>2</v>
      </c>
      <c r="D3736" s="8" t="n">
        <v>188.2</v>
      </c>
      <c r="E3736" s="8" t="n">
        <v>4</v>
      </c>
      <c r="F3736" s="8" t="n">
        <v>376.4</v>
      </c>
    </row>
    <row r="3737" customFormat="false" ht="15" hidden="false" customHeight="true" outlineLevel="0" collapsed="false">
      <c r="A3737" s="8" t="s">
        <v>163</v>
      </c>
      <c r="B3737" s="8" t="s">
        <v>897</v>
      </c>
      <c r="C3737" s="8" t="n">
        <v>7</v>
      </c>
      <c r="D3737" s="8" t="n">
        <v>455</v>
      </c>
      <c r="E3737" s="8" t="n">
        <v>3</v>
      </c>
      <c r="F3737" s="8" t="n">
        <v>195</v>
      </c>
    </row>
    <row r="3738" customFormat="false" ht="15" hidden="false" customHeight="true" outlineLevel="0" collapsed="false">
      <c r="A3738" s="8" t="s">
        <v>181</v>
      </c>
      <c r="B3738" s="8" t="s">
        <v>897</v>
      </c>
      <c r="C3738" s="8" t="n">
        <v>3</v>
      </c>
      <c r="D3738" s="8" t="n">
        <v>195</v>
      </c>
      <c r="E3738" s="8" t="n">
        <v>0</v>
      </c>
      <c r="F3738" s="8" t="n">
        <v>0</v>
      </c>
    </row>
    <row r="3739" customFormat="false" ht="15" hidden="false" customHeight="true" outlineLevel="0" collapsed="false">
      <c r="A3739" s="8" t="s">
        <v>165</v>
      </c>
      <c r="B3739" s="8" t="s">
        <v>897</v>
      </c>
      <c r="C3739" s="8" t="n">
        <v>5</v>
      </c>
      <c r="D3739" s="8" t="n">
        <v>325</v>
      </c>
      <c r="E3739" s="8" t="n">
        <v>2</v>
      </c>
      <c r="F3739" s="8" t="n">
        <v>130</v>
      </c>
    </row>
    <row r="3740" customFormat="false" ht="15" hidden="false" customHeight="true" outlineLevel="0" collapsed="false">
      <c r="A3740" s="8" t="s">
        <v>184</v>
      </c>
      <c r="B3740" s="8" t="s">
        <v>897</v>
      </c>
      <c r="C3740" s="8" t="n">
        <v>6</v>
      </c>
      <c r="D3740" s="8" t="n">
        <v>390</v>
      </c>
      <c r="E3740" s="8" t="n">
        <v>1</v>
      </c>
      <c r="F3740" s="8" t="n">
        <v>65</v>
      </c>
    </row>
    <row r="3741" customFormat="false" ht="15" hidden="false" customHeight="true" outlineLevel="0" collapsed="false">
      <c r="A3741" s="8" t="s">
        <v>208</v>
      </c>
      <c r="B3741" s="8" t="s">
        <v>1179</v>
      </c>
      <c r="C3741" s="8" t="n">
        <v>2</v>
      </c>
      <c r="D3741" s="8" t="n">
        <v>144.68</v>
      </c>
      <c r="E3741" s="8" t="n">
        <v>0</v>
      </c>
      <c r="F3741" s="8" t="n">
        <v>0</v>
      </c>
    </row>
    <row r="3742" customFormat="false" ht="15" hidden="false" customHeight="true" outlineLevel="0" collapsed="false">
      <c r="A3742" s="8" t="s">
        <v>221</v>
      </c>
      <c r="B3742" s="8" t="s">
        <v>1179</v>
      </c>
      <c r="C3742" s="8" t="n">
        <v>1</v>
      </c>
      <c r="D3742" s="8" t="n">
        <v>72.34</v>
      </c>
      <c r="E3742" s="8" t="n">
        <v>0</v>
      </c>
      <c r="F3742" s="8" t="n">
        <v>0</v>
      </c>
    </row>
    <row r="3743" customFormat="false" ht="15" hidden="false" customHeight="true" outlineLevel="0" collapsed="false">
      <c r="A3743" s="8" t="s">
        <v>191</v>
      </c>
      <c r="B3743" s="8" t="s">
        <v>1179</v>
      </c>
      <c r="C3743" s="8" t="n">
        <v>2</v>
      </c>
      <c r="D3743" s="8" t="n">
        <v>144.68</v>
      </c>
      <c r="E3743" s="8" t="n">
        <v>0</v>
      </c>
      <c r="F3743" s="8" t="n">
        <v>0</v>
      </c>
    </row>
    <row r="3744" customFormat="false" ht="15" hidden="false" customHeight="true" outlineLevel="0" collapsed="false">
      <c r="A3744" s="8" t="s">
        <v>204</v>
      </c>
      <c r="B3744" s="8" t="s">
        <v>1179</v>
      </c>
      <c r="C3744" s="8" t="n">
        <v>2</v>
      </c>
      <c r="D3744" s="8" t="n">
        <v>144.68</v>
      </c>
      <c r="E3744" s="8" t="n">
        <v>0</v>
      </c>
      <c r="F3744" s="8" t="n">
        <v>0</v>
      </c>
    </row>
    <row r="3745" customFormat="false" ht="15" hidden="false" customHeight="true" outlineLevel="0" collapsed="false">
      <c r="A3745" s="8" t="s">
        <v>216</v>
      </c>
      <c r="B3745" s="8" t="s">
        <v>1223</v>
      </c>
      <c r="C3745" s="8" t="n">
        <v>1</v>
      </c>
      <c r="D3745" s="8" t="n">
        <v>77.8</v>
      </c>
      <c r="E3745" s="8" t="n">
        <v>0</v>
      </c>
      <c r="F3745" s="8" t="n">
        <v>0</v>
      </c>
    </row>
    <row r="3746" customFormat="false" ht="15" hidden="false" customHeight="true" outlineLevel="0" collapsed="false">
      <c r="A3746" s="8" t="s">
        <v>190</v>
      </c>
      <c r="B3746" s="8" t="s">
        <v>1224</v>
      </c>
      <c r="C3746" s="8" t="n">
        <v>8</v>
      </c>
      <c r="D3746" s="8" t="n">
        <v>195.44</v>
      </c>
      <c r="E3746" s="8" t="n">
        <v>0</v>
      </c>
      <c r="F3746" s="8" t="n">
        <v>0</v>
      </c>
    </row>
    <row r="3747" customFormat="false" ht="15" hidden="false" customHeight="true" outlineLevel="0" collapsed="false">
      <c r="A3747" s="8" t="s">
        <v>183</v>
      </c>
      <c r="B3747" s="8" t="s">
        <v>1224</v>
      </c>
      <c r="C3747" s="8" t="n">
        <v>3</v>
      </c>
      <c r="D3747" s="8" t="n">
        <v>73.29</v>
      </c>
      <c r="E3747" s="8" t="n">
        <v>0</v>
      </c>
      <c r="F3747" s="8" t="n">
        <v>0</v>
      </c>
    </row>
    <row r="3748" customFormat="false" ht="15" hidden="false" customHeight="true" outlineLevel="0" collapsed="false">
      <c r="A3748" s="8" t="s">
        <v>231</v>
      </c>
      <c r="B3748" s="8" t="s">
        <v>1224</v>
      </c>
      <c r="C3748" s="8" t="n">
        <v>1</v>
      </c>
      <c r="D3748" s="8" t="n">
        <v>24.43</v>
      </c>
      <c r="E3748" s="8" t="n">
        <v>2</v>
      </c>
      <c r="F3748" s="8" t="n">
        <v>48.86</v>
      </c>
    </row>
    <row r="3749" customFormat="false" ht="15" hidden="false" customHeight="true" outlineLevel="0" collapsed="false">
      <c r="A3749" s="8" t="s">
        <v>161</v>
      </c>
      <c r="B3749" s="8" t="s">
        <v>1208</v>
      </c>
      <c r="C3749" s="8" t="n">
        <v>18</v>
      </c>
      <c r="D3749" s="8" t="n">
        <v>819</v>
      </c>
      <c r="E3749" s="8" t="n">
        <v>0</v>
      </c>
      <c r="F3749" s="8" t="n">
        <v>0</v>
      </c>
    </row>
    <row r="3750" customFormat="false" ht="15" hidden="false" customHeight="true" outlineLevel="0" collapsed="false">
      <c r="A3750" s="8" t="s">
        <v>162</v>
      </c>
      <c r="B3750" s="8" t="s">
        <v>1209</v>
      </c>
      <c r="C3750" s="8" t="n">
        <v>5</v>
      </c>
      <c r="D3750" s="8" t="n">
        <v>389</v>
      </c>
      <c r="E3750" s="8" t="n">
        <v>0</v>
      </c>
      <c r="F3750" s="8" t="n">
        <v>0</v>
      </c>
    </row>
    <row r="3751" customFormat="false" ht="15" hidden="false" customHeight="true" outlineLevel="0" collapsed="false">
      <c r="A3751" s="8" t="s">
        <v>171</v>
      </c>
      <c r="B3751" s="8" t="s">
        <v>1210</v>
      </c>
      <c r="C3751" s="8" t="n">
        <v>7</v>
      </c>
      <c r="D3751" s="8" t="n">
        <v>330.61</v>
      </c>
      <c r="E3751" s="8" t="n">
        <v>5</v>
      </c>
      <c r="F3751" s="8" t="n">
        <v>236.15</v>
      </c>
    </row>
    <row r="3752" customFormat="false" ht="15" hidden="false" customHeight="true" outlineLevel="0" collapsed="false">
      <c r="A3752" s="8" t="s">
        <v>174</v>
      </c>
      <c r="B3752" s="8" t="s">
        <v>1210</v>
      </c>
      <c r="C3752" s="8" t="n">
        <v>4</v>
      </c>
      <c r="D3752" s="8" t="n">
        <v>188.92</v>
      </c>
      <c r="E3752" s="8" t="n">
        <v>0</v>
      </c>
      <c r="F3752" s="8" t="n">
        <v>0</v>
      </c>
    </row>
    <row r="3753" customFormat="false" ht="15" hidden="false" customHeight="true" outlineLevel="0" collapsed="false">
      <c r="A3753" s="8" t="s">
        <v>166</v>
      </c>
      <c r="B3753" s="8" t="s">
        <v>1211</v>
      </c>
      <c r="C3753" s="8" t="n">
        <v>2</v>
      </c>
      <c r="D3753" s="8" t="n">
        <v>126.54</v>
      </c>
      <c r="E3753" s="8" t="n">
        <v>0</v>
      </c>
      <c r="F3753" s="8" t="n">
        <v>0</v>
      </c>
    </row>
    <row r="3754" customFormat="false" ht="15" hidden="false" customHeight="true" outlineLevel="0" collapsed="false">
      <c r="A3754" s="8" t="s">
        <v>164</v>
      </c>
      <c r="B3754" s="8" t="s">
        <v>1211</v>
      </c>
      <c r="C3754" s="8" t="n">
        <v>5</v>
      </c>
      <c r="D3754" s="8" t="n">
        <v>316.35</v>
      </c>
      <c r="E3754" s="8" t="n">
        <v>2</v>
      </c>
      <c r="F3754" s="8" t="n">
        <v>126.54</v>
      </c>
    </row>
    <row r="3755" customFormat="false" ht="15" hidden="false" customHeight="true" outlineLevel="0" collapsed="false">
      <c r="A3755" s="8" t="s">
        <v>222</v>
      </c>
      <c r="B3755" s="8" t="s">
        <v>1211</v>
      </c>
      <c r="C3755" s="8" t="n">
        <v>1</v>
      </c>
      <c r="D3755" s="8" t="n">
        <v>63.27</v>
      </c>
      <c r="E3755" s="8" t="n">
        <v>0</v>
      </c>
      <c r="F3755" s="8" t="n">
        <v>0</v>
      </c>
    </row>
    <row r="3756" customFormat="false" ht="15" hidden="false" customHeight="true" outlineLevel="0" collapsed="false">
      <c r="A3756" s="8" t="s">
        <v>187</v>
      </c>
      <c r="B3756" s="8" t="s">
        <v>1211</v>
      </c>
      <c r="C3756" s="8" t="n">
        <v>4</v>
      </c>
      <c r="D3756" s="8" t="n">
        <v>253.08</v>
      </c>
      <c r="E3756" s="8" t="n">
        <v>0</v>
      </c>
      <c r="F3756" s="8" t="n">
        <v>0</v>
      </c>
    </row>
    <row r="3757" customFormat="false" ht="15" hidden="false" customHeight="true" outlineLevel="0" collapsed="false">
      <c r="A3757" s="8" t="s">
        <v>270</v>
      </c>
      <c r="B3757" s="8" t="s">
        <v>1251</v>
      </c>
      <c r="C3757" s="8" t="n">
        <v>2</v>
      </c>
      <c r="D3757" s="8" t="n">
        <v>19.64</v>
      </c>
      <c r="E3757" s="8" t="n">
        <v>0</v>
      </c>
      <c r="F3757" s="8" t="n">
        <v>0</v>
      </c>
    </row>
    <row r="3758" customFormat="false" ht="15" hidden="false" customHeight="true" outlineLevel="0" collapsed="false">
      <c r="A3758" s="8" t="s">
        <v>307</v>
      </c>
      <c r="B3758" s="8" t="s">
        <v>1252</v>
      </c>
      <c r="C3758" s="8" t="n">
        <v>5</v>
      </c>
      <c r="D3758" s="8" t="n">
        <v>71.4</v>
      </c>
      <c r="E3758" s="8" t="n">
        <v>0</v>
      </c>
      <c r="F3758" s="8" t="n">
        <v>0</v>
      </c>
    </row>
    <row r="3759" customFormat="false" ht="15" hidden="false" customHeight="true" outlineLevel="0" collapsed="false">
      <c r="A3759" s="8" t="s">
        <v>188</v>
      </c>
      <c r="B3759" s="8" t="s">
        <v>1225</v>
      </c>
      <c r="C3759" s="8" t="n">
        <v>4</v>
      </c>
      <c r="D3759" s="8" t="n">
        <v>115.72</v>
      </c>
      <c r="E3759" s="8" t="n">
        <v>0</v>
      </c>
      <c r="F3759" s="8" t="n">
        <v>0</v>
      </c>
    </row>
    <row r="3760" customFormat="false" ht="15" hidden="false" customHeight="true" outlineLevel="0" collapsed="false">
      <c r="A3760" s="8" t="s">
        <v>186</v>
      </c>
      <c r="B3760" s="8" t="s">
        <v>1225</v>
      </c>
      <c r="C3760" s="8" t="n">
        <v>3</v>
      </c>
      <c r="D3760" s="8" t="n">
        <v>86.79</v>
      </c>
      <c r="E3760" s="8" t="n">
        <v>0</v>
      </c>
      <c r="F3760" s="8" t="n">
        <v>0</v>
      </c>
    </row>
    <row r="3761" customFormat="false" ht="15" hidden="false" customHeight="true" outlineLevel="0" collapsed="false">
      <c r="A3761" s="8" t="s">
        <v>210</v>
      </c>
      <c r="B3761" s="8" t="s">
        <v>1225</v>
      </c>
      <c r="C3761" s="8" t="n">
        <v>4</v>
      </c>
      <c r="D3761" s="8" t="n">
        <v>115.72</v>
      </c>
      <c r="E3761" s="8" t="n">
        <v>2</v>
      </c>
      <c r="F3761" s="8" t="n">
        <v>57.86</v>
      </c>
    </row>
    <row r="3762" customFormat="false" ht="15" hidden="false" customHeight="true" outlineLevel="0" collapsed="false">
      <c r="A3762" s="8" t="s">
        <v>278</v>
      </c>
      <c r="B3762" s="8" t="s">
        <v>1225</v>
      </c>
      <c r="C3762" s="8" t="n">
        <v>3</v>
      </c>
      <c r="D3762" s="8" t="n">
        <v>86.79</v>
      </c>
      <c r="E3762" s="8" t="n">
        <v>0</v>
      </c>
      <c r="F3762" s="8" t="n">
        <v>0</v>
      </c>
    </row>
    <row r="3763" customFormat="false" ht="15" hidden="false" customHeight="true" outlineLevel="0" collapsed="false">
      <c r="A3763" s="8" t="s">
        <v>238</v>
      </c>
      <c r="B3763" s="8" t="s">
        <v>1226</v>
      </c>
      <c r="C3763" s="8" t="n">
        <v>6</v>
      </c>
      <c r="D3763" s="8" t="n">
        <v>253.02</v>
      </c>
      <c r="E3763" s="8" t="n">
        <v>0</v>
      </c>
      <c r="F3763" s="8" t="n">
        <v>0</v>
      </c>
    </row>
    <row r="3764" customFormat="false" ht="15" hidden="false" customHeight="true" outlineLevel="0" collapsed="false">
      <c r="A3764" s="8" t="s">
        <v>201</v>
      </c>
      <c r="B3764" s="8" t="s">
        <v>1226</v>
      </c>
      <c r="C3764" s="8" t="n">
        <v>5</v>
      </c>
      <c r="D3764" s="8" t="n">
        <v>210.85</v>
      </c>
      <c r="E3764" s="8" t="n">
        <v>0</v>
      </c>
      <c r="F3764" s="8" t="n">
        <v>0</v>
      </c>
    </row>
    <row r="3765" customFormat="false" ht="15" hidden="false" customHeight="true" outlineLevel="0" collapsed="false">
      <c r="A3765" s="8" t="s">
        <v>214</v>
      </c>
      <c r="B3765" s="8" t="s">
        <v>1226</v>
      </c>
      <c r="C3765" s="8" t="n">
        <v>2</v>
      </c>
      <c r="D3765" s="8" t="n">
        <v>84.34</v>
      </c>
      <c r="E3765" s="8" t="n">
        <v>0</v>
      </c>
      <c r="F3765" s="8" t="n">
        <v>0</v>
      </c>
    </row>
    <row r="3766" customFormat="false" ht="15" hidden="false" customHeight="true" outlineLevel="0" collapsed="false">
      <c r="A3766" s="8" t="s">
        <v>309</v>
      </c>
      <c r="B3766" s="8" t="s">
        <v>1226</v>
      </c>
      <c r="C3766" s="8" t="n">
        <v>2</v>
      </c>
      <c r="D3766" s="8" t="n">
        <v>84.34</v>
      </c>
      <c r="E3766" s="8" t="n">
        <v>0</v>
      </c>
      <c r="F3766" s="8" t="n">
        <v>0</v>
      </c>
    </row>
    <row r="3767" customFormat="false" ht="15" hidden="false" customHeight="true" outlineLevel="0" collapsed="false">
      <c r="A3767" s="8" t="s">
        <v>202</v>
      </c>
      <c r="B3767" s="8" t="s">
        <v>1212</v>
      </c>
      <c r="C3767" s="8" t="n">
        <v>2</v>
      </c>
      <c r="D3767" s="8" t="n">
        <v>19</v>
      </c>
      <c r="E3767" s="8" t="n">
        <v>0</v>
      </c>
      <c r="F3767" s="8" t="n">
        <v>0</v>
      </c>
    </row>
    <row r="3768" customFormat="false" ht="15" hidden="false" customHeight="true" outlineLevel="0" collapsed="false">
      <c r="A3768" s="8" t="s">
        <v>244</v>
      </c>
      <c r="B3768" s="8" t="s">
        <v>1213</v>
      </c>
      <c r="C3768" s="8" t="n">
        <v>2</v>
      </c>
      <c r="D3768" s="8" t="n">
        <v>19</v>
      </c>
      <c r="E3768" s="8" t="n">
        <v>0</v>
      </c>
      <c r="F3768" s="8" t="n">
        <v>0</v>
      </c>
    </row>
    <row r="3769" customFormat="false" ht="15" hidden="false" customHeight="true" outlineLevel="0" collapsed="false">
      <c r="A3769" s="8" t="s">
        <v>251</v>
      </c>
      <c r="B3769" s="8" t="s">
        <v>1262</v>
      </c>
      <c r="C3769" s="8" t="n">
        <v>6</v>
      </c>
      <c r="D3769" s="8" t="n">
        <v>58.26</v>
      </c>
      <c r="E3769" s="8" t="n">
        <v>2</v>
      </c>
      <c r="F3769" s="8" t="n">
        <v>19.42</v>
      </c>
    </row>
    <row r="3770" customFormat="false" ht="15" hidden="false" customHeight="true" outlineLevel="0" collapsed="false">
      <c r="A3770" s="8" t="s">
        <v>172</v>
      </c>
      <c r="B3770" s="8" t="s">
        <v>1214</v>
      </c>
      <c r="C3770" s="8" t="n">
        <v>0</v>
      </c>
      <c r="D3770" s="8" t="n">
        <v>0</v>
      </c>
      <c r="E3770" s="8" t="n">
        <v>2</v>
      </c>
      <c r="F3770" s="8" t="n">
        <v>24.36</v>
      </c>
    </row>
    <row r="3771" customFormat="false" ht="15" hidden="false" customHeight="true" outlineLevel="0" collapsed="false">
      <c r="A3771" s="8" t="s">
        <v>215</v>
      </c>
      <c r="B3771" s="8" t="s">
        <v>1233</v>
      </c>
      <c r="C3771" s="8" t="n">
        <v>2</v>
      </c>
      <c r="D3771" s="8" t="n">
        <v>35.64</v>
      </c>
      <c r="E3771" s="8" t="n">
        <v>0</v>
      </c>
      <c r="F3771" s="8" t="n">
        <v>0</v>
      </c>
    </row>
    <row r="3772" customFormat="false" ht="15" hidden="false" customHeight="true" outlineLevel="0" collapsed="false">
      <c r="A3772" s="8" t="s">
        <v>255</v>
      </c>
      <c r="B3772" s="8" t="s">
        <v>1273</v>
      </c>
      <c r="C3772" s="8" t="n">
        <v>11</v>
      </c>
      <c r="D3772" s="8" t="n">
        <v>90.2</v>
      </c>
      <c r="E3772" s="8" t="n">
        <v>15</v>
      </c>
      <c r="F3772" s="8" t="n">
        <v>123</v>
      </c>
    </row>
    <row r="3773" customFormat="false" ht="15" hidden="false" customHeight="true" outlineLevel="0" collapsed="false">
      <c r="A3773" s="8" t="s">
        <v>194</v>
      </c>
      <c r="B3773" s="8" t="s">
        <v>1239</v>
      </c>
      <c r="C3773" s="8" t="n">
        <v>3</v>
      </c>
      <c r="D3773" s="8" t="n">
        <v>29.46</v>
      </c>
      <c r="E3773" s="8" t="n">
        <v>0</v>
      </c>
      <c r="F3773" s="8" t="n">
        <v>0</v>
      </c>
    </row>
    <row r="3774" customFormat="false" ht="15" hidden="false" customHeight="true" outlineLevel="0" collapsed="false">
      <c r="A3774" s="8" t="s">
        <v>279</v>
      </c>
      <c r="B3774" s="8" t="s">
        <v>1274</v>
      </c>
      <c r="C3774" s="8" t="n">
        <v>21</v>
      </c>
      <c r="D3774" s="8" t="n">
        <v>206.22</v>
      </c>
      <c r="E3774" s="8" t="n">
        <v>6</v>
      </c>
      <c r="F3774" s="8" t="n">
        <v>58.92</v>
      </c>
    </row>
    <row r="3775" customFormat="false" ht="15" hidden="false" customHeight="true" outlineLevel="0" collapsed="false">
      <c r="A3775" s="8" t="s">
        <v>338</v>
      </c>
      <c r="B3775" s="8" t="s">
        <v>1281</v>
      </c>
      <c r="C3775" s="8" t="n">
        <v>12</v>
      </c>
      <c r="D3775" s="8" t="n">
        <v>283.2</v>
      </c>
      <c r="E3775" s="8" t="n">
        <v>10</v>
      </c>
      <c r="F3775" s="8" t="n">
        <v>236</v>
      </c>
    </row>
    <row r="3776" customFormat="false" ht="15" hidden="false" customHeight="true" outlineLevel="0" collapsed="false">
      <c r="A3776" s="8" t="s">
        <v>321</v>
      </c>
      <c r="B3776" s="8" t="s">
        <v>1256</v>
      </c>
      <c r="C3776" s="8" t="n">
        <v>3</v>
      </c>
      <c r="D3776" s="8" t="n">
        <v>70.8</v>
      </c>
      <c r="E3776" s="8" t="n">
        <v>3</v>
      </c>
      <c r="F3776" s="8" t="n">
        <v>70.8</v>
      </c>
    </row>
    <row r="3777" customFormat="false" ht="15" hidden="false" customHeight="true" outlineLevel="0" collapsed="false">
      <c r="A3777" s="8" t="s">
        <v>318</v>
      </c>
      <c r="B3777" s="8" t="s">
        <v>1256</v>
      </c>
      <c r="C3777" s="8" t="n">
        <v>0</v>
      </c>
      <c r="D3777" s="8" t="n">
        <v>0</v>
      </c>
      <c r="E3777" s="8" t="n">
        <v>3</v>
      </c>
      <c r="F3777" s="8" t="n">
        <v>70.8</v>
      </c>
    </row>
    <row r="3778" customFormat="false" ht="15" hidden="false" customHeight="true" outlineLevel="0" collapsed="false">
      <c r="A3778" s="8" t="s">
        <v>285</v>
      </c>
      <c r="B3778" s="8" t="s">
        <v>1237</v>
      </c>
      <c r="C3778" s="8" t="n">
        <v>10</v>
      </c>
      <c r="D3778" s="8" t="n">
        <v>184</v>
      </c>
      <c r="E3778" s="8" t="n">
        <v>0</v>
      </c>
      <c r="F3778" s="8" t="n">
        <v>0</v>
      </c>
    </row>
    <row r="3779" customFormat="false" ht="15" hidden="false" customHeight="true" outlineLevel="0" collapsed="false">
      <c r="A3779" s="8" t="s">
        <v>225</v>
      </c>
      <c r="B3779" s="8" t="s">
        <v>1237</v>
      </c>
      <c r="C3779" s="8" t="n">
        <v>8</v>
      </c>
      <c r="D3779" s="8" t="n">
        <v>147.2</v>
      </c>
      <c r="E3779" s="8" t="n">
        <v>0</v>
      </c>
      <c r="F3779" s="8" t="n">
        <v>0</v>
      </c>
    </row>
    <row r="3780" customFormat="false" ht="15" hidden="false" customHeight="true" outlineLevel="0" collapsed="false">
      <c r="A3780" s="8" t="s">
        <v>217</v>
      </c>
      <c r="B3780" s="8" t="s">
        <v>1237</v>
      </c>
      <c r="C3780" s="8" t="n">
        <v>20</v>
      </c>
      <c r="D3780" s="8" t="n">
        <v>368</v>
      </c>
      <c r="E3780" s="8" t="n">
        <v>0</v>
      </c>
      <c r="F3780" s="8" t="n">
        <v>0</v>
      </c>
    </row>
    <row r="3781" customFormat="false" ht="15" hidden="false" customHeight="true" outlineLevel="0" collapsed="false">
      <c r="A3781" s="8" t="s">
        <v>322</v>
      </c>
      <c r="B3781" s="8" t="s">
        <v>1264</v>
      </c>
      <c r="C3781" s="8" t="n">
        <v>3</v>
      </c>
      <c r="D3781" s="8" t="n">
        <v>55.2</v>
      </c>
      <c r="E3781" s="8" t="n">
        <v>0</v>
      </c>
      <c r="F3781" s="8" t="n">
        <v>0</v>
      </c>
    </row>
    <row r="3782" customFormat="false" ht="15" hidden="false" customHeight="true" outlineLevel="0" collapsed="false">
      <c r="A3782" s="8" t="s">
        <v>192</v>
      </c>
      <c r="B3782" s="8" t="s">
        <v>1240</v>
      </c>
      <c r="C3782" s="8" t="n">
        <v>2</v>
      </c>
      <c r="D3782" s="8" t="n">
        <v>83.62</v>
      </c>
      <c r="E3782" s="8" t="n">
        <v>0</v>
      </c>
      <c r="F3782" s="8" t="n">
        <v>0</v>
      </c>
    </row>
    <row r="3783" customFormat="false" ht="15" hidden="false" customHeight="true" outlineLevel="0" collapsed="false">
      <c r="A3783" s="8" t="s">
        <v>168</v>
      </c>
      <c r="B3783" s="8" t="s">
        <v>1240</v>
      </c>
      <c r="C3783" s="8" t="n">
        <v>3</v>
      </c>
      <c r="D3783" s="8" t="n">
        <v>125.43</v>
      </c>
      <c r="E3783" s="8" t="n">
        <v>0</v>
      </c>
      <c r="F3783" s="8" t="n">
        <v>0</v>
      </c>
    </row>
    <row r="3784" customFormat="false" ht="15" hidden="false" customHeight="true" outlineLevel="0" collapsed="false">
      <c r="A3784" s="8" t="s">
        <v>268</v>
      </c>
      <c r="B3784" s="8" t="s">
        <v>1234</v>
      </c>
      <c r="C3784" s="8" t="n">
        <v>0</v>
      </c>
      <c r="D3784" s="8" t="n">
        <v>0</v>
      </c>
      <c r="E3784" s="8" t="n">
        <v>3</v>
      </c>
      <c r="F3784" s="8" t="n">
        <v>107.01</v>
      </c>
    </row>
    <row r="3785" customFormat="false" ht="15" hidden="false" customHeight="true" outlineLevel="0" collapsed="false">
      <c r="A3785" s="8" t="s">
        <v>180</v>
      </c>
      <c r="B3785" s="8" t="s">
        <v>1216</v>
      </c>
      <c r="C3785" s="8" t="n">
        <v>0</v>
      </c>
      <c r="D3785" s="8" t="n">
        <v>0</v>
      </c>
      <c r="E3785" s="8" t="n">
        <v>5</v>
      </c>
      <c r="F3785" s="8" t="n">
        <v>82.5</v>
      </c>
    </row>
    <row r="3786" customFormat="false" ht="15" hidden="false" customHeight="true" outlineLevel="0" collapsed="false">
      <c r="A3786" s="8" t="s">
        <v>189</v>
      </c>
      <c r="B3786" s="8" t="s">
        <v>1216</v>
      </c>
      <c r="C3786" s="8" t="n">
        <v>4</v>
      </c>
      <c r="D3786" s="8" t="n">
        <v>66</v>
      </c>
      <c r="E3786" s="8" t="n">
        <v>4</v>
      </c>
      <c r="F3786" s="8" t="n">
        <v>66</v>
      </c>
    </row>
    <row r="3787" customFormat="false" ht="15" hidden="false" customHeight="true" outlineLevel="0" collapsed="false">
      <c r="A3787" s="8" t="s">
        <v>267</v>
      </c>
      <c r="B3787" s="8" t="s">
        <v>1216</v>
      </c>
      <c r="C3787" s="8" t="n">
        <v>0</v>
      </c>
      <c r="D3787" s="8" t="n">
        <v>0</v>
      </c>
      <c r="E3787" s="8" t="n">
        <v>2</v>
      </c>
      <c r="F3787" s="8" t="n">
        <v>33</v>
      </c>
    </row>
    <row r="3788" customFormat="false" ht="15" hidden="false" customHeight="true" outlineLevel="0" collapsed="false">
      <c r="A3788" s="8" t="s">
        <v>199</v>
      </c>
      <c r="B3788" s="8" t="s">
        <v>1216</v>
      </c>
      <c r="C3788" s="8" t="n">
        <v>0</v>
      </c>
      <c r="D3788" s="8" t="n">
        <v>0</v>
      </c>
      <c r="E3788" s="8" t="n">
        <v>2</v>
      </c>
      <c r="F3788" s="8" t="n">
        <v>33</v>
      </c>
    </row>
    <row r="3789" customFormat="false" ht="15" hidden="false" customHeight="true" outlineLevel="0" collapsed="false">
      <c r="A3789" s="8" t="s">
        <v>198</v>
      </c>
      <c r="B3789" s="8" t="s">
        <v>1217</v>
      </c>
      <c r="C3789" s="8" t="n">
        <v>4</v>
      </c>
      <c r="D3789" s="8" t="n">
        <v>82</v>
      </c>
      <c r="E3789" s="8" t="n">
        <v>4</v>
      </c>
      <c r="F3789" s="8" t="n">
        <v>82</v>
      </c>
    </row>
    <row r="3790" customFormat="false" ht="15" hidden="false" customHeight="true" outlineLevel="0" collapsed="false">
      <c r="A3790" s="8" t="s">
        <v>193</v>
      </c>
      <c r="B3790" s="8" t="s">
        <v>1217</v>
      </c>
      <c r="C3790" s="8" t="n">
        <v>0</v>
      </c>
      <c r="D3790" s="8" t="n">
        <v>0</v>
      </c>
      <c r="E3790" s="8" t="n">
        <v>4</v>
      </c>
      <c r="F3790" s="8" t="n">
        <v>82</v>
      </c>
    </row>
    <row r="3791" customFormat="false" ht="15" hidden="false" customHeight="true" outlineLevel="0" collapsed="false">
      <c r="A3791" s="8" t="s">
        <v>302</v>
      </c>
      <c r="B3791" s="8" t="s">
        <v>1217</v>
      </c>
      <c r="C3791" s="8" t="n">
        <v>0</v>
      </c>
      <c r="D3791" s="8" t="n">
        <v>0</v>
      </c>
      <c r="E3791" s="8" t="n">
        <v>2</v>
      </c>
      <c r="F3791" s="8" t="n">
        <v>41</v>
      </c>
    </row>
    <row r="3792" customFormat="false" ht="15" hidden="false" customHeight="true" outlineLevel="0" collapsed="false">
      <c r="A3792" s="8" t="s">
        <v>205</v>
      </c>
      <c r="B3792" s="8" t="s">
        <v>1217</v>
      </c>
      <c r="C3792" s="8" t="n">
        <v>2</v>
      </c>
      <c r="D3792" s="8" t="n">
        <v>41</v>
      </c>
      <c r="E3792" s="8" t="n">
        <v>2</v>
      </c>
      <c r="F3792" s="8" t="n">
        <v>41</v>
      </c>
    </row>
    <row r="3793" customFormat="false" ht="15" hidden="false" customHeight="true" outlineLevel="0" collapsed="false">
      <c r="A3793" s="8" t="s">
        <v>256</v>
      </c>
      <c r="B3793" s="8" t="s">
        <v>1217</v>
      </c>
      <c r="C3793" s="8" t="n">
        <v>0</v>
      </c>
      <c r="D3793" s="8" t="n">
        <v>0</v>
      </c>
      <c r="E3793" s="8" t="n">
        <v>2</v>
      </c>
      <c r="F3793" s="8" t="n">
        <v>41</v>
      </c>
    </row>
    <row r="3794" customFormat="false" ht="15" hidden="false" customHeight="true" outlineLevel="0" collapsed="false">
      <c r="A3794" s="8" t="s">
        <v>228</v>
      </c>
      <c r="B3794" s="8" t="s">
        <v>1275</v>
      </c>
      <c r="C3794" s="8" t="n">
        <v>1</v>
      </c>
      <c r="D3794" s="8" t="n">
        <v>14.25</v>
      </c>
      <c r="E3794" s="8" t="n">
        <v>0</v>
      </c>
      <c r="F3794" s="8" t="n">
        <v>0</v>
      </c>
    </row>
    <row r="3795" customFormat="false" ht="15" hidden="false" customHeight="true" outlineLevel="0" collapsed="false">
      <c r="A3795" s="8" t="s">
        <v>178</v>
      </c>
      <c r="B3795" s="8" t="s">
        <v>1236</v>
      </c>
      <c r="C3795" s="8" t="n">
        <v>4</v>
      </c>
      <c r="D3795" s="8" t="n">
        <v>140</v>
      </c>
      <c r="E3795" s="8" t="n">
        <v>0</v>
      </c>
      <c r="F3795" s="8" t="n">
        <v>0</v>
      </c>
    </row>
    <row r="3796" customFormat="false" ht="15" hidden="false" customHeight="true" outlineLevel="0" collapsed="false">
      <c r="A3796" s="8" t="s">
        <v>176</v>
      </c>
      <c r="B3796" s="8" t="s">
        <v>1236</v>
      </c>
      <c r="C3796" s="8" t="n">
        <v>1</v>
      </c>
      <c r="D3796" s="8" t="n">
        <v>35</v>
      </c>
      <c r="E3796" s="8" t="n">
        <v>0</v>
      </c>
      <c r="F3796" s="8" t="n">
        <v>0</v>
      </c>
    </row>
    <row r="3797" customFormat="false" ht="15" hidden="false" customHeight="true" outlineLevel="0" collapsed="false">
      <c r="A3797" s="8" t="s">
        <v>224</v>
      </c>
      <c r="B3797" s="8" t="s">
        <v>1236</v>
      </c>
      <c r="C3797" s="8" t="n">
        <v>1</v>
      </c>
      <c r="D3797" s="8" t="n">
        <v>35</v>
      </c>
      <c r="E3797" s="8" t="n">
        <v>0</v>
      </c>
      <c r="F3797" s="8" t="n">
        <v>0</v>
      </c>
    </row>
    <row r="3798" customFormat="false" ht="15" hidden="false" customHeight="true" outlineLevel="0" collapsed="false">
      <c r="A3798" s="8" t="s">
        <v>240</v>
      </c>
      <c r="B3798" s="8" t="s">
        <v>769</v>
      </c>
      <c r="C3798" s="8" t="n">
        <v>2</v>
      </c>
      <c r="D3798" s="8" t="n">
        <v>34</v>
      </c>
      <c r="E3798" s="8" t="n">
        <v>0</v>
      </c>
      <c r="F3798" s="8" t="n">
        <v>0</v>
      </c>
    </row>
    <row r="3799" customFormat="false" ht="15" hidden="false" customHeight="true" outlineLevel="0" collapsed="false">
      <c r="A3799" s="8" t="s">
        <v>234</v>
      </c>
      <c r="B3799" s="8" t="s">
        <v>769</v>
      </c>
      <c r="C3799" s="8" t="n">
        <v>2</v>
      </c>
      <c r="D3799" s="8" t="n">
        <v>34</v>
      </c>
      <c r="E3799" s="8" t="n">
        <v>0</v>
      </c>
      <c r="F3799" s="8" t="n">
        <v>0</v>
      </c>
    </row>
    <row r="3800" customFormat="false" ht="15" hidden="false" customHeight="true" outlineLevel="0" collapsed="false">
      <c r="A3800" s="8" t="s">
        <v>247</v>
      </c>
      <c r="B3800" s="8" t="s">
        <v>769</v>
      </c>
      <c r="C3800" s="8" t="n">
        <v>2</v>
      </c>
      <c r="D3800" s="8" t="n">
        <v>34</v>
      </c>
      <c r="E3800" s="8" t="n">
        <v>2</v>
      </c>
      <c r="F3800" s="8" t="n">
        <v>34</v>
      </c>
    </row>
    <row r="3801" customFormat="false" ht="15" hidden="false" customHeight="true" outlineLevel="0" collapsed="false">
      <c r="A3801" s="8" t="s">
        <v>170</v>
      </c>
      <c r="B3801" s="8" t="s">
        <v>1220</v>
      </c>
      <c r="C3801" s="8" t="n">
        <v>12</v>
      </c>
      <c r="D3801" s="8" t="n">
        <v>177.6</v>
      </c>
      <c r="E3801" s="8" t="n">
        <v>6</v>
      </c>
      <c r="F3801" s="8" t="n">
        <v>88.8</v>
      </c>
    </row>
    <row r="3802" customFormat="false" ht="15" hidden="false" customHeight="true" outlineLevel="0" collapsed="false">
      <c r="A3802" s="8" t="s">
        <v>167</v>
      </c>
      <c r="B3802" s="8" t="s">
        <v>1238</v>
      </c>
      <c r="C3802" s="8" t="n">
        <v>2</v>
      </c>
      <c r="D3802" s="8" t="n">
        <v>26.8</v>
      </c>
      <c r="E3802" s="8" t="n">
        <v>0</v>
      </c>
      <c r="F3802" s="8" t="n">
        <v>0</v>
      </c>
    </row>
    <row r="3803" customFormat="false" ht="15" hidden="false" customHeight="true" outlineLevel="0" collapsed="false">
      <c r="A3803" s="8" t="s">
        <v>294</v>
      </c>
      <c r="B3803" s="8" t="s">
        <v>1289</v>
      </c>
      <c r="C3803" s="8" t="n">
        <v>4</v>
      </c>
      <c r="D3803" s="8" t="n">
        <v>57.8</v>
      </c>
      <c r="E3803" s="8" t="n">
        <v>0</v>
      </c>
      <c r="F3803" s="8" t="n">
        <v>0</v>
      </c>
    </row>
    <row r="3804" customFormat="false" ht="15" hidden="false" customHeight="true" outlineLevel="0" collapsed="false">
      <c r="A3804" s="8" t="s">
        <v>200</v>
      </c>
      <c r="B3804" s="8" t="s">
        <v>1279</v>
      </c>
      <c r="C3804" s="8" t="n">
        <v>5</v>
      </c>
      <c r="D3804" s="8" t="n">
        <v>386.2</v>
      </c>
      <c r="E3804" s="8" t="n">
        <v>0</v>
      </c>
      <c r="F3804" s="8" t="n">
        <v>0</v>
      </c>
    </row>
    <row r="3805" customFormat="false" ht="15" hidden="false" customHeight="true" outlineLevel="0" collapsed="false">
      <c r="A3805" s="8" t="s">
        <v>165</v>
      </c>
      <c r="B3805" s="8" t="s">
        <v>897</v>
      </c>
      <c r="C3805" s="8" t="n">
        <v>1</v>
      </c>
      <c r="D3805" s="8" t="n">
        <v>65</v>
      </c>
      <c r="E3805" s="8" t="n">
        <v>0</v>
      </c>
      <c r="F3805" s="8" t="n">
        <v>0</v>
      </c>
    </row>
    <row r="3806" customFormat="false" ht="15" hidden="false" customHeight="true" outlineLevel="0" collapsed="false">
      <c r="A3806" s="8" t="s">
        <v>184</v>
      </c>
      <c r="B3806" s="8" t="s">
        <v>897</v>
      </c>
      <c r="C3806" s="8" t="n">
        <v>2</v>
      </c>
      <c r="D3806" s="8" t="n">
        <v>130</v>
      </c>
      <c r="E3806" s="8" t="n">
        <v>0</v>
      </c>
      <c r="F3806" s="8" t="n">
        <v>0</v>
      </c>
    </row>
    <row r="3807" customFormat="false" ht="15" hidden="false" customHeight="true" outlineLevel="0" collapsed="false">
      <c r="A3807" s="8" t="s">
        <v>190</v>
      </c>
      <c r="B3807" s="8" t="s">
        <v>1224</v>
      </c>
      <c r="C3807" s="8" t="n">
        <v>12</v>
      </c>
      <c r="D3807" s="8" t="n">
        <v>293.16</v>
      </c>
      <c r="E3807" s="8" t="n">
        <v>0</v>
      </c>
      <c r="F3807" s="8" t="n">
        <v>0</v>
      </c>
    </row>
    <row r="3808" customFormat="false" ht="15" hidden="false" customHeight="true" outlineLevel="0" collapsed="false">
      <c r="A3808" s="8" t="s">
        <v>183</v>
      </c>
      <c r="B3808" s="8" t="s">
        <v>1224</v>
      </c>
      <c r="C3808" s="8" t="n">
        <v>3</v>
      </c>
      <c r="D3808" s="8" t="n">
        <v>73.29</v>
      </c>
      <c r="E3808" s="8" t="n">
        <v>0</v>
      </c>
      <c r="F3808" s="8" t="n">
        <v>0</v>
      </c>
    </row>
    <row r="3809" customFormat="false" ht="15" hidden="false" customHeight="true" outlineLevel="0" collapsed="false">
      <c r="A3809" s="8" t="s">
        <v>231</v>
      </c>
      <c r="B3809" s="8" t="s">
        <v>1224</v>
      </c>
      <c r="C3809" s="8" t="n">
        <v>3</v>
      </c>
      <c r="D3809" s="8" t="n">
        <v>73.29</v>
      </c>
      <c r="E3809" s="8" t="n">
        <v>0</v>
      </c>
      <c r="F3809" s="8" t="n">
        <v>0</v>
      </c>
    </row>
    <row r="3810" customFormat="false" ht="15" hidden="false" customHeight="true" outlineLevel="0" collapsed="false">
      <c r="A3810" s="8" t="s">
        <v>161</v>
      </c>
      <c r="B3810" s="8" t="s">
        <v>1208</v>
      </c>
      <c r="C3810" s="8" t="n">
        <v>3</v>
      </c>
      <c r="D3810" s="8" t="n">
        <v>136.5</v>
      </c>
      <c r="E3810" s="8" t="n">
        <v>0</v>
      </c>
      <c r="F3810" s="8" t="n">
        <v>0</v>
      </c>
    </row>
    <row r="3811" customFormat="false" ht="15" hidden="false" customHeight="true" outlineLevel="0" collapsed="false">
      <c r="A3811" s="8" t="s">
        <v>162</v>
      </c>
      <c r="B3811" s="8" t="s">
        <v>1209</v>
      </c>
      <c r="C3811" s="8" t="n">
        <v>6</v>
      </c>
      <c r="D3811" s="8" t="n">
        <v>466.8</v>
      </c>
      <c r="E3811" s="8" t="n">
        <v>0</v>
      </c>
      <c r="F3811" s="8" t="n">
        <v>0</v>
      </c>
    </row>
    <row r="3812" customFormat="false" ht="15" hidden="false" customHeight="true" outlineLevel="0" collapsed="false">
      <c r="A3812" s="8" t="s">
        <v>166</v>
      </c>
      <c r="B3812" s="8" t="s">
        <v>1211</v>
      </c>
      <c r="C3812" s="8" t="n">
        <v>4</v>
      </c>
      <c r="D3812" s="8" t="n">
        <v>253.08</v>
      </c>
      <c r="E3812" s="8" t="n">
        <v>0</v>
      </c>
      <c r="F3812" s="8" t="n">
        <v>0</v>
      </c>
    </row>
    <row r="3813" customFormat="false" ht="15" hidden="false" customHeight="true" outlineLevel="0" collapsed="false">
      <c r="A3813" s="8" t="s">
        <v>164</v>
      </c>
      <c r="B3813" s="8" t="s">
        <v>1211</v>
      </c>
      <c r="C3813" s="8" t="n">
        <v>3</v>
      </c>
      <c r="D3813" s="8" t="n">
        <v>189.81</v>
      </c>
      <c r="E3813" s="8" t="n">
        <v>0</v>
      </c>
      <c r="F3813" s="8" t="n">
        <v>0</v>
      </c>
    </row>
    <row r="3814" customFormat="false" ht="15" hidden="false" customHeight="true" outlineLevel="0" collapsed="false">
      <c r="A3814" s="8" t="s">
        <v>187</v>
      </c>
      <c r="B3814" s="8" t="s">
        <v>1211</v>
      </c>
      <c r="C3814" s="8" t="n">
        <v>2</v>
      </c>
      <c r="D3814" s="8" t="n">
        <v>126.54</v>
      </c>
      <c r="E3814" s="8" t="n">
        <v>0</v>
      </c>
      <c r="F3814" s="8" t="n">
        <v>0</v>
      </c>
    </row>
    <row r="3815" customFormat="false" ht="15" hidden="false" customHeight="true" outlineLevel="0" collapsed="false">
      <c r="A3815" s="8" t="s">
        <v>241</v>
      </c>
      <c r="B3815" s="8" t="s">
        <v>1227</v>
      </c>
      <c r="C3815" s="8" t="n">
        <v>3</v>
      </c>
      <c r="D3815" s="8" t="n">
        <v>51</v>
      </c>
      <c r="E3815" s="8" t="n">
        <v>0</v>
      </c>
      <c r="F3815" s="8" t="n">
        <v>0</v>
      </c>
    </row>
    <row r="3816" customFormat="false" ht="15" hidden="false" customHeight="true" outlineLevel="0" collapsed="false">
      <c r="A3816" s="8" t="s">
        <v>219</v>
      </c>
      <c r="B3816" s="8" t="s">
        <v>1227</v>
      </c>
      <c r="C3816" s="8" t="n">
        <v>3</v>
      </c>
      <c r="D3816" s="8" t="n">
        <v>51</v>
      </c>
      <c r="E3816" s="8" t="n">
        <v>0</v>
      </c>
      <c r="F3816" s="8" t="n">
        <v>0</v>
      </c>
    </row>
    <row r="3817" customFormat="false" ht="15" hidden="false" customHeight="true" outlineLevel="0" collapsed="false">
      <c r="A3817" s="8" t="s">
        <v>223</v>
      </c>
      <c r="B3817" s="8" t="s">
        <v>1227</v>
      </c>
      <c r="C3817" s="8" t="n">
        <v>3</v>
      </c>
      <c r="D3817" s="8" t="n">
        <v>51</v>
      </c>
      <c r="E3817" s="8" t="n">
        <v>0</v>
      </c>
      <c r="F3817" s="8" t="n">
        <v>0</v>
      </c>
    </row>
    <row r="3818" customFormat="false" ht="15" hidden="false" customHeight="true" outlineLevel="0" collapsed="false">
      <c r="A3818" s="8" t="s">
        <v>202</v>
      </c>
      <c r="B3818" s="8" t="s">
        <v>1212</v>
      </c>
      <c r="C3818" s="8" t="n">
        <v>3</v>
      </c>
      <c r="D3818" s="8" t="n">
        <v>28.5</v>
      </c>
      <c r="E3818" s="8" t="n">
        <v>0</v>
      </c>
      <c r="F3818" s="8" t="n">
        <v>0</v>
      </c>
    </row>
    <row r="3819" customFormat="false" ht="15" hidden="false" customHeight="true" outlineLevel="0" collapsed="false">
      <c r="A3819" s="8" t="s">
        <v>243</v>
      </c>
      <c r="B3819" s="8" t="s">
        <v>1253</v>
      </c>
      <c r="C3819" s="8" t="n">
        <v>3</v>
      </c>
      <c r="D3819" s="8" t="n">
        <v>38.85</v>
      </c>
      <c r="E3819" s="8" t="n">
        <v>0</v>
      </c>
      <c r="F3819" s="8" t="n">
        <v>0</v>
      </c>
    </row>
    <row r="3820" customFormat="false" ht="15" hidden="false" customHeight="true" outlineLevel="0" collapsed="false">
      <c r="A3820" s="8" t="s">
        <v>172</v>
      </c>
      <c r="B3820" s="8" t="s">
        <v>1214</v>
      </c>
      <c r="C3820" s="8" t="n">
        <v>12</v>
      </c>
      <c r="D3820" s="8" t="n">
        <v>146.16</v>
      </c>
      <c r="E3820" s="8" t="n">
        <v>0</v>
      </c>
      <c r="F3820" s="8" t="n">
        <v>0</v>
      </c>
    </row>
    <row r="3821" customFormat="false" ht="15" hidden="false" customHeight="true" outlineLevel="0" collapsed="false">
      <c r="A3821" s="8" t="s">
        <v>194</v>
      </c>
      <c r="B3821" s="8" t="s">
        <v>1239</v>
      </c>
      <c r="C3821" s="8" t="n">
        <v>10</v>
      </c>
      <c r="D3821" s="8" t="n">
        <v>98.2</v>
      </c>
      <c r="E3821" s="8" t="n">
        <v>0</v>
      </c>
      <c r="F3821" s="8" t="n">
        <v>0</v>
      </c>
    </row>
    <row r="3822" customFormat="false" ht="15" hidden="false" customHeight="true" outlineLevel="0" collapsed="false">
      <c r="A3822" s="8" t="s">
        <v>180</v>
      </c>
      <c r="B3822" s="8" t="s">
        <v>1216</v>
      </c>
      <c r="C3822" s="8" t="n">
        <v>4</v>
      </c>
      <c r="D3822" s="8" t="n">
        <v>66</v>
      </c>
      <c r="E3822" s="8" t="n">
        <v>0</v>
      </c>
      <c r="F3822" s="8" t="n">
        <v>0</v>
      </c>
    </row>
    <row r="3823" customFormat="false" ht="15" hidden="false" customHeight="true" outlineLevel="0" collapsed="false">
      <c r="A3823" s="8" t="s">
        <v>189</v>
      </c>
      <c r="B3823" s="8" t="s">
        <v>1216</v>
      </c>
      <c r="C3823" s="8" t="n">
        <v>4</v>
      </c>
      <c r="D3823" s="8" t="n">
        <v>66</v>
      </c>
      <c r="E3823" s="8" t="n">
        <v>0</v>
      </c>
      <c r="F3823" s="8" t="n">
        <v>0</v>
      </c>
    </row>
    <row r="3824" customFormat="false" ht="15" hidden="false" customHeight="true" outlineLevel="0" collapsed="false">
      <c r="A3824" s="8" t="s">
        <v>199</v>
      </c>
      <c r="B3824" s="8" t="s">
        <v>1216</v>
      </c>
      <c r="C3824" s="8" t="n">
        <v>4</v>
      </c>
      <c r="D3824" s="8" t="n">
        <v>66</v>
      </c>
      <c r="E3824" s="8" t="n">
        <v>0</v>
      </c>
      <c r="F3824" s="8" t="n">
        <v>0</v>
      </c>
    </row>
    <row r="3825" customFormat="false" ht="15" hidden="false" customHeight="true" outlineLevel="0" collapsed="false">
      <c r="A3825" s="8" t="s">
        <v>197</v>
      </c>
      <c r="B3825" s="8" t="s">
        <v>1222</v>
      </c>
      <c r="C3825" s="8" t="n">
        <v>1</v>
      </c>
      <c r="D3825" s="8" t="n">
        <v>65</v>
      </c>
      <c r="E3825" s="8" t="n">
        <v>0</v>
      </c>
      <c r="F3825" s="8" t="n">
        <v>0</v>
      </c>
    </row>
    <row r="3826" customFormat="false" ht="15" hidden="false" customHeight="true" outlineLevel="0" collapsed="false">
      <c r="A3826" s="8" t="s">
        <v>253</v>
      </c>
      <c r="B3826" s="8" t="s">
        <v>1222</v>
      </c>
      <c r="C3826" s="8" t="n">
        <v>1</v>
      </c>
      <c r="D3826" s="8" t="n">
        <v>65</v>
      </c>
      <c r="E3826" s="8" t="n">
        <v>0</v>
      </c>
      <c r="F3826" s="8" t="n">
        <v>0</v>
      </c>
    </row>
    <row r="3827" customFormat="false" ht="15" hidden="false" customHeight="true" outlineLevel="0" collapsed="false">
      <c r="A3827" s="8" t="s">
        <v>207</v>
      </c>
      <c r="B3827" s="8" t="s">
        <v>1222</v>
      </c>
      <c r="C3827" s="8" t="n">
        <v>1</v>
      </c>
      <c r="D3827" s="8" t="n">
        <v>65</v>
      </c>
      <c r="E3827" s="8" t="n">
        <v>0</v>
      </c>
      <c r="F3827" s="8" t="n">
        <v>0</v>
      </c>
    </row>
    <row r="3828" customFormat="false" ht="15" hidden="false" customHeight="true" outlineLevel="0" collapsed="false">
      <c r="A3828" s="8" t="s">
        <v>163</v>
      </c>
      <c r="B3828" s="8" t="s">
        <v>897</v>
      </c>
      <c r="C3828" s="8" t="n">
        <v>2</v>
      </c>
      <c r="D3828" s="8" t="n">
        <v>130</v>
      </c>
      <c r="E3828" s="8" t="n">
        <v>0</v>
      </c>
      <c r="F3828" s="8" t="n">
        <v>0</v>
      </c>
    </row>
    <row r="3829" customFormat="false" ht="15" hidden="false" customHeight="true" outlineLevel="0" collapsed="false">
      <c r="A3829" s="8" t="s">
        <v>181</v>
      </c>
      <c r="B3829" s="8" t="s">
        <v>897</v>
      </c>
      <c r="C3829" s="8" t="n">
        <v>1</v>
      </c>
      <c r="D3829" s="8" t="n">
        <v>65</v>
      </c>
      <c r="E3829" s="8" t="n">
        <v>2</v>
      </c>
      <c r="F3829" s="8" t="n">
        <v>130</v>
      </c>
    </row>
    <row r="3830" customFormat="false" ht="15" hidden="false" customHeight="true" outlineLevel="0" collapsed="false">
      <c r="A3830" s="8" t="s">
        <v>290</v>
      </c>
      <c r="B3830" s="8" t="s">
        <v>897</v>
      </c>
      <c r="C3830" s="8" t="n">
        <v>1</v>
      </c>
      <c r="D3830" s="8" t="n">
        <v>65</v>
      </c>
      <c r="E3830" s="8" t="n">
        <v>0</v>
      </c>
      <c r="F3830" s="8" t="n">
        <v>0</v>
      </c>
    </row>
    <row r="3831" customFormat="false" ht="15" hidden="false" customHeight="true" outlineLevel="0" collapsed="false">
      <c r="A3831" s="8" t="s">
        <v>165</v>
      </c>
      <c r="B3831" s="8" t="s">
        <v>897</v>
      </c>
      <c r="C3831" s="8" t="n">
        <v>1</v>
      </c>
      <c r="D3831" s="8" t="n">
        <v>65</v>
      </c>
      <c r="E3831" s="8" t="n">
        <v>0</v>
      </c>
      <c r="F3831" s="8" t="n">
        <v>0</v>
      </c>
    </row>
    <row r="3832" customFormat="false" ht="15" hidden="false" customHeight="true" outlineLevel="0" collapsed="false">
      <c r="A3832" s="8" t="s">
        <v>184</v>
      </c>
      <c r="B3832" s="8" t="s">
        <v>897</v>
      </c>
      <c r="C3832" s="8" t="n">
        <v>1</v>
      </c>
      <c r="D3832" s="8" t="n">
        <v>65</v>
      </c>
      <c r="E3832" s="8" t="n">
        <v>0</v>
      </c>
      <c r="F3832" s="8" t="n">
        <v>0</v>
      </c>
    </row>
    <row r="3833" customFormat="false" ht="15" hidden="false" customHeight="true" outlineLevel="0" collapsed="false">
      <c r="A3833" s="8" t="s">
        <v>175</v>
      </c>
      <c r="B3833" s="8" t="s">
        <v>1244</v>
      </c>
      <c r="C3833" s="8" t="n">
        <v>1</v>
      </c>
      <c r="D3833" s="8" t="n">
        <v>175.5</v>
      </c>
      <c r="E3833" s="8" t="n">
        <v>0</v>
      </c>
      <c r="F3833" s="8" t="n">
        <v>0</v>
      </c>
    </row>
    <row r="3834" customFormat="false" ht="15" hidden="false" customHeight="true" outlineLevel="0" collapsed="false">
      <c r="A3834" s="8" t="s">
        <v>230</v>
      </c>
      <c r="B3834" s="8" t="s">
        <v>1244</v>
      </c>
      <c r="C3834" s="8" t="n">
        <v>1</v>
      </c>
      <c r="D3834" s="8" t="n">
        <v>175.5</v>
      </c>
      <c r="E3834" s="8" t="n">
        <v>0</v>
      </c>
      <c r="F3834" s="8" t="n">
        <v>0</v>
      </c>
    </row>
    <row r="3835" customFormat="false" ht="15" hidden="false" customHeight="true" outlineLevel="0" collapsed="false">
      <c r="A3835" s="8" t="s">
        <v>329</v>
      </c>
      <c r="B3835" s="8" t="s">
        <v>1244</v>
      </c>
      <c r="C3835" s="8" t="n">
        <v>1</v>
      </c>
      <c r="D3835" s="8" t="n">
        <v>175.5</v>
      </c>
      <c r="E3835" s="8" t="n">
        <v>0</v>
      </c>
      <c r="F3835" s="8" t="n">
        <v>0</v>
      </c>
    </row>
    <row r="3836" customFormat="false" ht="15" hidden="false" customHeight="true" outlineLevel="0" collapsed="false">
      <c r="A3836" s="8" t="s">
        <v>173</v>
      </c>
      <c r="B3836" s="8" t="s">
        <v>1244</v>
      </c>
      <c r="C3836" s="8" t="n">
        <v>2</v>
      </c>
      <c r="D3836" s="8" t="n">
        <v>351</v>
      </c>
      <c r="E3836" s="8" t="n">
        <v>0</v>
      </c>
      <c r="F3836" s="8" t="n">
        <v>0</v>
      </c>
    </row>
    <row r="3837" customFormat="false" ht="15" hidden="false" customHeight="true" outlineLevel="0" collapsed="false">
      <c r="A3837" s="8" t="s">
        <v>177</v>
      </c>
      <c r="B3837" s="8" t="s">
        <v>1244</v>
      </c>
      <c r="C3837" s="8" t="n">
        <v>1</v>
      </c>
      <c r="D3837" s="8" t="n">
        <v>175.5</v>
      </c>
      <c r="E3837" s="8" t="n">
        <v>0</v>
      </c>
      <c r="F3837" s="8" t="n">
        <v>0</v>
      </c>
    </row>
    <row r="3838" customFormat="false" ht="15" hidden="false" customHeight="true" outlineLevel="0" collapsed="false">
      <c r="A3838" s="8" t="s">
        <v>190</v>
      </c>
      <c r="B3838" s="8" t="s">
        <v>1224</v>
      </c>
      <c r="C3838" s="8" t="n">
        <v>2</v>
      </c>
      <c r="D3838" s="8" t="n">
        <v>48.86</v>
      </c>
      <c r="E3838" s="8" t="n">
        <v>0</v>
      </c>
      <c r="F3838" s="8" t="n">
        <v>0</v>
      </c>
    </row>
    <row r="3839" customFormat="false" ht="15" hidden="false" customHeight="true" outlineLevel="0" collapsed="false">
      <c r="A3839" s="8" t="s">
        <v>183</v>
      </c>
      <c r="B3839" s="8" t="s">
        <v>1224</v>
      </c>
      <c r="C3839" s="8" t="n">
        <v>2</v>
      </c>
      <c r="D3839" s="8" t="n">
        <v>48.86</v>
      </c>
      <c r="E3839" s="8" t="n">
        <v>0</v>
      </c>
      <c r="F3839" s="8" t="n">
        <v>0</v>
      </c>
    </row>
    <row r="3840" customFormat="false" ht="15" hidden="false" customHeight="true" outlineLevel="0" collapsed="false">
      <c r="A3840" s="8" t="s">
        <v>218</v>
      </c>
      <c r="B3840" s="8" t="s">
        <v>1224</v>
      </c>
      <c r="C3840" s="8" t="n">
        <v>2</v>
      </c>
      <c r="D3840" s="8" t="n">
        <v>48.86</v>
      </c>
      <c r="E3840" s="8" t="n">
        <v>0</v>
      </c>
      <c r="F3840" s="8" t="n">
        <v>0</v>
      </c>
    </row>
    <row r="3841" customFormat="false" ht="15" hidden="false" customHeight="true" outlineLevel="0" collapsed="false">
      <c r="A3841" s="8" t="s">
        <v>231</v>
      </c>
      <c r="B3841" s="8" t="s">
        <v>1224</v>
      </c>
      <c r="C3841" s="8" t="n">
        <v>2</v>
      </c>
      <c r="D3841" s="8" t="n">
        <v>48.86</v>
      </c>
      <c r="E3841" s="8" t="n">
        <v>0</v>
      </c>
      <c r="F3841" s="8" t="n">
        <v>0</v>
      </c>
    </row>
    <row r="3842" customFormat="false" ht="15" hidden="false" customHeight="true" outlineLevel="0" collapsed="false">
      <c r="A3842" s="8" t="s">
        <v>286</v>
      </c>
      <c r="B3842" s="8" t="s">
        <v>1269</v>
      </c>
      <c r="C3842" s="8" t="n">
        <v>6</v>
      </c>
      <c r="D3842" s="8" t="n">
        <v>66</v>
      </c>
      <c r="E3842" s="8" t="n">
        <v>0</v>
      </c>
      <c r="F3842" s="8" t="n">
        <v>0</v>
      </c>
    </row>
    <row r="3843" customFormat="false" ht="15" hidden="false" customHeight="true" outlineLevel="0" collapsed="false">
      <c r="A3843" s="8" t="s">
        <v>324</v>
      </c>
      <c r="B3843" s="8" t="s">
        <v>1271</v>
      </c>
      <c r="C3843" s="8" t="n">
        <v>6</v>
      </c>
      <c r="D3843" s="8" t="n">
        <v>66</v>
      </c>
      <c r="E3843" s="8" t="n">
        <v>0</v>
      </c>
      <c r="F3843" s="8" t="n">
        <v>0</v>
      </c>
    </row>
    <row r="3844" customFormat="false" ht="15" hidden="false" customHeight="true" outlineLevel="0" collapsed="false">
      <c r="A3844" s="8" t="s">
        <v>161</v>
      </c>
      <c r="B3844" s="8" t="s">
        <v>1208</v>
      </c>
      <c r="C3844" s="8" t="n">
        <v>18</v>
      </c>
      <c r="D3844" s="8" t="n">
        <v>819</v>
      </c>
      <c r="E3844" s="8" t="n">
        <v>0</v>
      </c>
      <c r="F3844" s="8" t="n">
        <v>0</v>
      </c>
    </row>
    <row r="3845" customFormat="false" ht="15" hidden="false" customHeight="true" outlineLevel="0" collapsed="false">
      <c r="A3845" s="8" t="s">
        <v>162</v>
      </c>
      <c r="B3845" s="8" t="s">
        <v>1209</v>
      </c>
      <c r="C3845" s="8" t="n">
        <v>10</v>
      </c>
      <c r="D3845" s="8" t="n">
        <v>778</v>
      </c>
      <c r="E3845" s="8" t="n">
        <v>0</v>
      </c>
      <c r="F3845" s="8" t="n">
        <v>0</v>
      </c>
    </row>
    <row r="3846" customFormat="false" ht="15" hidden="false" customHeight="true" outlineLevel="0" collapsed="false">
      <c r="A3846" s="8" t="s">
        <v>187</v>
      </c>
      <c r="B3846" s="8" t="s">
        <v>1211</v>
      </c>
      <c r="C3846" s="8" t="n">
        <v>0</v>
      </c>
      <c r="D3846" s="8" t="n">
        <v>0</v>
      </c>
      <c r="E3846" s="8" t="n">
        <v>2</v>
      </c>
      <c r="F3846" s="8" t="n">
        <v>126.54</v>
      </c>
    </row>
    <row r="3847" customFormat="false" ht="15" hidden="false" customHeight="true" outlineLevel="0" collapsed="false">
      <c r="A3847" s="8" t="s">
        <v>270</v>
      </c>
      <c r="B3847" s="8" t="s">
        <v>1251</v>
      </c>
      <c r="C3847" s="8" t="n">
        <v>3</v>
      </c>
      <c r="D3847" s="8" t="n">
        <v>29.46</v>
      </c>
      <c r="E3847" s="8" t="n">
        <v>0</v>
      </c>
      <c r="F3847" s="8" t="n">
        <v>0</v>
      </c>
    </row>
    <row r="3848" customFormat="false" ht="15" hidden="false" customHeight="true" outlineLevel="0" collapsed="false">
      <c r="A3848" s="8" t="s">
        <v>188</v>
      </c>
      <c r="B3848" s="8" t="s">
        <v>1225</v>
      </c>
      <c r="C3848" s="8" t="n">
        <v>2</v>
      </c>
      <c r="D3848" s="8" t="n">
        <v>57.86</v>
      </c>
      <c r="E3848" s="8" t="n">
        <v>0</v>
      </c>
      <c r="F3848" s="8" t="n">
        <v>0</v>
      </c>
    </row>
    <row r="3849" customFormat="false" ht="15" hidden="false" customHeight="true" outlineLevel="0" collapsed="false">
      <c r="A3849" s="8" t="s">
        <v>186</v>
      </c>
      <c r="B3849" s="8" t="s">
        <v>1225</v>
      </c>
      <c r="C3849" s="8" t="n">
        <v>2</v>
      </c>
      <c r="D3849" s="8" t="n">
        <v>57.86</v>
      </c>
      <c r="E3849" s="8" t="n">
        <v>0</v>
      </c>
      <c r="F3849" s="8" t="n">
        <v>0</v>
      </c>
    </row>
    <row r="3850" customFormat="false" ht="15" hidden="false" customHeight="true" outlineLevel="0" collapsed="false">
      <c r="A3850" s="8" t="s">
        <v>210</v>
      </c>
      <c r="B3850" s="8" t="s">
        <v>1225</v>
      </c>
      <c r="C3850" s="8" t="n">
        <v>2</v>
      </c>
      <c r="D3850" s="8" t="n">
        <v>57.86</v>
      </c>
      <c r="E3850" s="8" t="n">
        <v>0</v>
      </c>
      <c r="F3850" s="8" t="n">
        <v>0</v>
      </c>
    </row>
    <row r="3851" customFormat="false" ht="15" hidden="false" customHeight="true" outlineLevel="0" collapsed="false">
      <c r="A3851" s="8" t="s">
        <v>238</v>
      </c>
      <c r="B3851" s="8" t="s">
        <v>1226</v>
      </c>
      <c r="C3851" s="8" t="n">
        <v>0</v>
      </c>
      <c r="D3851" s="8" t="n">
        <v>0</v>
      </c>
      <c r="E3851" s="8" t="n">
        <v>2</v>
      </c>
      <c r="F3851" s="8" t="n">
        <v>84.34</v>
      </c>
    </row>
    <row r="3852" customFormat="false" ht="15" hidden="false" customHeight="true" outlineLevel="0" collapsed="false">
      <c r="A3852" s="8" t="s">
        <v>201</v>
      </c>
      <c r="B3852" s="8" t="s">
        <v>1226</v>
      </c>
      <c r="C3852" s="8" t="n">
        <v>0</v>
      </c>
      <c r="D3852" s="8" t="n">
        <v>0</v>
      </c>
      <c r="E3852" s="8" t="n">
        <v>1</v>
      </c>
      <c r="F3852" s="8" t="n">
        <v>42.17</v>
      </c>
    </row>
    <row r="3853" customFormat="false" ht="15" hidden="false" customHeight="true" outlineLevel="0" collapsed="false">
      <c r="A3853" s="8" t="s">
        <v>214</v>
      </c>
      <c r="B3853" s="8" t="s">
        <v>1226</v>
      </c>
      <c r="C3853" s="8" t="n">
        <v>0</v>
      </c>
      <c r="D3853" s="8" t="n">
        <v>0</v>
      </c>
      <c r="E3853" s="8" t="n">
        <v>1</v>
      </c>
      <c r="F3853" s="8" t="n">
        <v>42.17</v>
      </c>
    </row>
    <row r="3854" customFormat="false" ht="15" hidden="false" customHeight="true" outlineLevel="0" collapsed="false">
      <c r="A3854" s="8" t="s">
        <v>241</v>
      </c>
      <c r="B3854" s="8" t="s">
        <v>1227</v>
      </c>
      <c r="C3854" s="8" t="n">
        <v>2</v>
      </c>
      <c r="D3854" s="8" t="n">
        <v>34</v>
      </c>
      <c r="E3854" s="8" t="n">
        <v>0</v>
      </c>
      <c r="F3854" s="8" t="n">
        <v>0</v>
      </c>
    </row>
    <row r="3855" customFormat="false" ht="15" hidden="false" customHeight="true" outlineLevel="0" collapsed="false">
      <c r="A3855" s="8" t="s">
        <v>219</v>
      </c>
      <c r="B3855" s="8" t="s">
        <v>1227</v>
      </c>
      <c r="C3855" s="8" t="n">
        <v>2</v>
      </c>
      <c r="D3855" s="8" t="n">
        <v>34</v>
      </c>
      <c r="E3855" s="8" t="n">
        <v>0</v>
      </c>
      <c r="F3855" s="8" t="n">
        <v>0</v>
      </c>
    </row>
    <row r="3856" customFormat="false" ht="15" hidden="false" customHeight="true" outlineLevel="0" collapsed="false">
      <c r="A3856" s="8" t="s">
        <v>223</v>
      </c>
      <c r="B3856" s="8" t="s">
        <v>1227</v>
      </c>
      <c r="C3856" s="8" t="n">
        <v>2</v>
      </c>
      <c r="D3856" s="8" t="n">
        <v>34</v>
      </c>
      <c r="E3856" s="8" t="n">
        <v>0</v>
      </c>
      <c r="F3856" s="8" t="n">
        <v>0</v>
      </c>
    </row>
    <row r="3857" customFormat="false" ht="15" hidden="false" customHeight="true" outlineLevel="0" collapsed="false">
      <c r="A3857" s="8" t="s">
        <v>229</v>
      </c>
      <c r="B3857" s="8" t="s">
        <v>881</v>
      </c>
      <c r="C3857" s="8" t="n">
        <v>3</v>
      </c>
      <c r="D3857" s="8" t="n">
        <v>123.6</v>
      </c>
      <c r="E3857" s="8" t="n">
        <v>0</v>
      </c>
      <c r="F3857" s="8" t="n">
        <v>0</v>
      </c>
    </row>
    <row r="3858" customFormat="false" ht="15" hidden="false" customHeight="true" outlineLevel="0" collapsed="false">
      <c r="A3858" s="8" t="s">
        <v>271</v>
      </c>
      <c r="B3858" s="8" t="s">
        <v>1260</v>
      </c>
      <c r="C3858" s="8" t="n">
        <v>3</v>
      </c>
      <c r="D3858" s="8" t="n">
        <v>70.2</v>
      </c>
      <c r="E3858" s="8" t="n">
        <v>0</v>
      </c>
      <c r="F3858" s="8" t="n">
        <v>0</v>
      </c>
    </row>
    <row r="3859" customFormat="false" ht="15" hidden="false" customHeight="true" outlineLevel="0" collapsed="false">
      <c r="A3859" s="8" t="s">
        <v>246</v>
      </c>
      <c r="B3859" s="8" t="s">
        <v>1261</v>
      </c>
      <c r="C3859" s="8" t="n">
        <v>2</v>
      </c>
      <c r="D3859" s="8" t="n">
        <v>34.7</v>
      </c>
      <c r="E3859" s="8" t="n">
        <v>2</v>
      </c>
      <c r="F3859" s="8" t="n">
        <v>34.7</v>
      </c>
    </row>
    <row r="3860" customFormat="false" ht="15" hidden="false" customHeight="true" outlineLevel="0" collapsed="false">
      <c r="A3860" s="8" t="s">
        <v>202</v>
      </c>
      <c r="B3860" s="8" t="s">
        <v>1212</v>
      </c>
      <c r="C3860" s="8" t="n">
        <v>13</v>
      </c>
      <c r="D3860" s="8" t="n">
        <v>123.5</v>
      </c>
      <c r="E3860" s="8" t="n">
        <v>0</v>
      </c>
      <c r="F3860" s="8" t="n">
        <v>0</v>
      </c>
    </row>
    <row r="3861" customFormat="false" ht="15" hidden="false" customHeight="true" outlineLevel="0" collapsed="false">
      <c r="A3861" s="8" t="s">
        <v>244</v>
      </c>
      <c r="B3861" s="8" t="s">
        <v>1213</v>
      </c>
      <c r="C3861" s="8" t="n">
        <v>5</v>
      </c>
      <c r="D3861" s="8" t="n">
        <v>47.5</v>
      </c>
      <c r="E3861" s="8" t="n">
        <v>0</v>
      </c>
      <c r="F3861" s="8" t="n">
        <v>0</v>
      </c>
    </row>
    <row r="3862" customFormat="false" ht="15" hidden="false" customHeight="true" outlineLevel="0" collapsed="false">
      <c r="A3862" s="8" t="s">
        <v>172</v>
      </c>
      <c r="B3862" s="8" t="s">
        <v>1214</v>
      </c>
      <c r="C3862" s="8" t="n">
        <v>11</v>
      </c>
      <c r="D3862" s="8" t="n">
        <v>133.98</v>
      </c>
      <c r="E3862" s="8" t="n">
        <v>5</v>
      </c>
      <c r="F3862" s="8" t="n">
        <v>60.9</v>
      </c>
    </row>
    <row r="3863" customFormat="false" ht="15" hidden="false" customHeight="true" outlineLevel="0" collapsed="false">
      <c r="A3863" s="8" t="s">
        <v>269</v>
      </c>
      <c r="B3863" s="8" t="s">
        <v>1231</v>
      </c>
      <c r="C3863" s="8" t="n">
        <v>10</v>
      </c>
      <c r="D3863" s="8" t="n">
        <v>113.3</v>
      </c>
      <c r="E3863" s="8" t="n">
        <v>0</v>
      </c>
      <c r="F3863" s="8" t="n">
        <v>0</v>
      </c>
    </row>
    <row r="3864" customFormat="false" ht="15" hidden="false" customHeight="true" outlineLevel="0" collapsed="false">
      <c r="A3864" s="8" t="s">
        <v>213</v>
      </c>
      <c r="B3864" s="8" t="s">
        <v>1232</v>
      </c>
      <c r="C3864" s="8" t="n">
        <v>3</v>
      </c>
      <c r="D3864" s="8" t="n">
        <v>82.65</v>
      </c>
      <c r="E3864" s="8" t="n">
        <v>0</v>
      </c>
      <c r="F3864" s="8" t="n">
        <v>0</v>
      </c>
    </row>
    <row r="3865" customFormat="false" ht="15" hidden="false" customHeight="true" outlineLevel="0" collapsed="false">
      <c r="A3865" s="8" t="s">
        <v>281</v>
      </c>
      <c r="B3865" s="8" t="s">
        <v>1254</v>
      </c>
      <c r="C3865" s="8" t="n">
        <v>3</v>
      </c>
      <c r="D3865" s="8" t="n">
        <v>41.52</v>
      </c>
      <c r="E3865" s="8" t="n">
        <v>0</v>
      </c>
      <c r="F3865" s="8" t="n">
        <v>0</v>
      </c>
    </row>
    <row r="3866" customFormat="false" ht="15" hidden="false" customHeight="true" outlineLevel="0" collapsed="false">
      <c r="A3866" s="8" t="s">
        <v>232</v>
      </c>
      <c r="B3866" s="8" t="s">
        <v>1233</v>
      </c>
      <c r="C3866" s="8" t="n">
        <v>1</v>
      </c>
      <c r="D3866" s="8" t="n">
        <v>16.2</v>
      </c>
      <c r="E3866" s="8" t="n">
        <v>0</v>
      </c>
      <c r="F3866" s="8" t="n">
        <v>0</v>
      </c>
    </row>
    <row r="3867" customFormat="false" ht="15" hidden="false" customHeight="true" outlineLevel="0" collapsed="false">
      <c r="A3867" s="8" t="s">
        <v>215</v>
      </c>
      <c r="B3867" s="8" t="s">
        <v>1233</v>
      </c>
      <c r="C3867" s="8" t="n">
        <v>4</v>
      </c>
      <c r="D3867" s="8" t="n">
        <v>71.28</v>
      </c>
      <c r="E3867" s="8" t="n">
        <v>0</v>
      </c>
      <c r="F3867" s="8" t="n">
        <v>0</v>
      </c>
    </row>
    <row r="3868" customFormat="false" ht="15" hidden="false" customHeight="true" outlineLevel="0" collapsed="false">
      <c r="A3868" s="8" t="s">
        <v>255</v>
      </c>
      <c r="B3868" s="8" t="s">
        <v>1273</v>
      </c>
      <c r="C3868" s="8" t="n">
        <v>10</v>
      </c>
      <c r="D3868" s="8" t="n">
        <v>82</v>
      </c>
      <c r="E3868" s="8" t="n">
        <v>0</v>
      </c>
      <c r="F3868" s="8" t="n">
        <v>0</v>
      </c>
    </row>
    <row r="3869" customFormat="false" ht="15" hidden="false" customHeight="true" outlineLevel="0" collapsed="false">
      <c r="A3869" s="8" t="s">
        <v>194</v>
      </c>
      <c r="B3869" s="8" t="s">
        <v>1239</v>
      </c>
      <c r="C3869" s="8" t="n">
        <v>5</v>
      </c>
      <c r="D3869" s="8" t="n">
        <v>49.1</v>
      </c>
      <c r="E3869" s="8" t="n">
        <v>5</v>
      </c>
      <c r="F3869" s="8" t="n">
        <v>49.1</v>
      </c>
    </row>
    <row r="3870" customFormat="false" ht="15" hidden="false" customHeight="true" outlineLevel="0" collapsed="false">
      <c r="A3870" s="8" t="s">
        <v>326</v>
      </c>
      <c r="B3870" s="8" t="s">
        <v>1281</v>
      </c>
      <c r="C3870" s="8" t="n">
        <v>3</v>
      </c>
      <c r="D3870" s="8" t="n">
        <v>70.8</v>
      </c>
      <c r="E3870" s="8" t="n">
        <v>0</v>
      </c>
      <c r="F3870" s="8" t="n">
        <v>0</v>
      </c>
    </row>
    <row r="3871" customFormat="false" ht="15" hidden="false" customHeight="true" outlineLevel="0" collapsed="false">
      <c r="A3871" s="8" t="s">
        <v>285</v>
      </c>
      <c r="B3871" s="8" t="s">
        <v>1237</v>
      </c>
      <c r="C3871" s="8" t="n">
        <v>5</v>
      </c>
      <c r="D3871" s="8" t="n">
        <v>92</v>
      </c>
      <c r="E3871" s="8" t="n">
        <v>0</v>
      </c>
      <c r="F3871" s="8" t="n">
        <v>0</v>
      </c>
    </row>
    <row r="3872" customFormat="false" ht="15" hidden="false" customHeight="true" outlineLevel="0" collapsed="false">
      <c r="A3872" s="8" t="s">
        <v>225</v>
      </c>
      <c r="B3872" s="8" t="s">
        <v>1237</v>
      </c>
      <c r="C3872" s="8" t="n">
        <v>7</v>
      </c>
      <c r="D3872" s="8" t="n">
        <v>128.8</v>
      </c>
      <c r="E3872" s="8" t="n">
        <v>0</v>
      </c>
      <c r="F3872" s="8" t="n">
        <v>0</v>
      </c>
    </row>
    <row r="3873" customFormat="false" ht="15" hidden="false" customHeight="true" outlineLevel="0" collapsed="false">
      <c r="A3873" s="8" t="s">
        <v>217</v>
      </c>
      <c r="B3873" s="8" t="s">
        <v>1237</v>
      </c>
      <c r="C3873" s="8" t="n">
        <v>5</v>
      </c>
      <c r="D3873" s="8" t="n">
        <v>92</v>
      </c>
      <c r="E3873" s="8" t="n">
        <v>0</v>
      </c>
      <c r="F3873" s="8" t="n">
        <v>0</v>
      </c>
    </row>
    <row r="3874" customFormat="false" ht="15" hidden="false" customHeight="true" outlineLevel="0" collapsed="false">
      <c r="A3874" s="8" t="s">
        <v>192</v>
      </c>
      <c r="B3874" s="8" t="s">
        <v>1240</v>
      </c>
      <c r="C3874" s="8" t="n">
        <v>2</v>
      </c>
      <c r="D3874" s="8" t="n">
        <v>83.62</v>
      </c>
      <c r="E3874" s="8" t="n">
        <v>0</v>
      </c>
      <c r="F3874" s="8" t="n">
        <v>0</v>
      </c>
    </row>
    <row r="3875" customFormat="false" ht="15" hidden="false" customHeight="true" outlineLevel="0" collapsed="false">
      <c r="A3875" s="8" t="s">
        <v>168</v>
      </c>
      <c r="B3875" s="8" t="s">
        <v>1240</v>
      </c>
      <c r="C3875" s="8" t="n">
        <v>1</v>
      </c>
      <c r="D3875" s="8" t="n">
        <v>41.81</v>
      </c>
      <c r="E3875" s="8" t="n">
        <v>0</v>
      </c>
      <c r="F3875" s="8" t="n">
        <v>0</v>
      </c>
    </row>
    <row r="3876" customFormat="false" ht="15" hidden="false" customHeight="true" outlineLevel="0" collapsed="false">
      <c r="A3876" s="8" t="s">
        <v>169</v>
      </c>
      <c r="B3876" s="8" t="s">
        <v>1240</v>
      </c>
      <c r="C3876" s="8" t="n">
        <v>1</v>
      </c>
      <c r="D3876" s="8" t="n">
        <v>41.81</v>
      </c>
      <c r="E3876" s="8" t="n">
        <v>0</v>
      </c>
      <c r="F3876" s="8" t="n">
        <v>0</v>
      </c>
    </row>
    <row r="3877" customFormat="false" ht="15" hidden="false" customHeight="true" outlineLevel="0" collapsed="false">
      <c r="A3877" s="8" t="s">
        <v>180</v>
      </c>
      <c r="B3877" s="8" t="s">
        <v>1216</v>
      </c>
      <c r="C3877" s="8" t="n">
        <v>11</v>
      </c>
      <c r="D3877" s="8" t="n">
        <v>181.5</v>
      </c>
      <c r="E3877" s="8" t="n">
        <v>0</v>
      </c>
      <c r="F3877" s="8" t="n">
        <v>0</v>
      </c>
    </row>
    <row r="3878" customFormat="false" ht="15" hidden="false" customHeight="true" outlineLevel="0" collapsed="false">
      <c r="A3878" s="8" t="s">
        <v>189</v>
      </c>
      <c r="B3878" s="8" t="s">
        <v>1216</v>
      </c>
      <c r="C3878" s="8" t="n">
        <v>8</v>
      </c>
      <c r="D3878" s="8" t="n">
        <v>132</v>
      </c>
      <c r="E3878" s="8" t="n">
        <v>0</v>
      </c>
      <c r="F3878" s="8" t="n">
        <v>0</v>
      </c>
    </row>
    <row r="3879" customFormat="false" ht="15" hidden="false" customHeight="true" outlineLevel="0" collapsed="false">
      <c r="A3879" s="8" t="s">
        <v>267</v>
      </c>
      <c r="B3879" s="8" t="s">
        <v>1216</v>
      </c>
      <c r="C3879" s="8" t="n">
        <v>2</v>
      </c>
      <c r="D3879" s="8" t="n">
        <v>33</v>
      </c>
      <c r="E3879" s="8" t="n">
        <v>0</v>
      </c>
      <c r="F3879" s="8" t="n">
        <v>0</v>
      </c>
    </row>
    <row r="3880" customFormat="false" ht="15" hidden="false" customHeight="true" outlineLevel="0" collapsed="false">
      <c r="A3880" s="8" t="s">
        <v>199</v>
      </c>
      <c r="B3880" s="8" t="s">
        <v>1216</v>
      </c>
      <c r="C3880" s="8" t="n">
        <v>12</v>
      </c>
      <c r="D3880" s="8" t="n">
        <v>198</v>
      </c>
      <c r="E3880" s="8" t="n">
        <v>2</v>
      </c>
      <c r="F3880" s="8" t="n">
        <v>33</v>
      </c>
    </row>
    <row r="3881" customFormat="false" ht="15" hidden="false" customHeight="true" outlineLevel="0" collapsed="false">
      <c r="A3881" s="8" t="s">
        <v>250</v>
      </c>
      <c r="B3881" s="8" t="s">
        <v>1216</v>
      </c>
      <c r="C3881" s="8" t="n">
        <v>1</v>
      </c>
      <c r="D3881" s="8" t="n">
        <v>16.5</v>
      </c>
      <c r="E3881" s="8" t="n">
        <v>2</v>
      </c>
      <c r="F3881" s="8" t="n">
        <v>33</v>
      </c>
    </row>
    <row r="3882" customFormat="false" ht="15" hidden="false" customHeight="true" outlineLevel="0" collapsed="false">
      <c r="A3882" s="8" t="s">
        <v>228</v>
      </c>
      <c r="B3882" s="8" t="s">
        <v>1275</v>
      </c>
      <c r="C3882" s="8" t="n">
        <v>5</v>
      </c>
      <c r="D3882" s="8" t="n">
        <v>71.25</v>
      </c>
      <c r="E3882" s="8" t="n">
        <v>0</v>
      </c>
      <c r="F3882" s="8" t="n">
        <v>0</v>
      </c>
    </row>
    <row r="3883" customFormat="false" ht="15" hidden="false" customHeight="true" outlineLevel="0" collapsed="false">
      <c r="A3883" s="8" t="s">
        <v>178</v>
      </c>
      <c r="B3883" s="8" t="s">
        <v>1236</v>
      </c>
      <c r="C3883" s="8" t="n">
        <v>7</v>
      </c>
      <c r="D3883" s="8" t="n">
        <v>245</v>
      </c>
      <c r="E3883" s="8" t="n">
        <v>0</v>
      </c>
      <c r="F3883" s="8" t="n">
        <v>0</v>
      </c>
    </row>
    <row r="3884" customFormat="false" ht="15" hidden="false" customHeight="true" outlineLevel="0" collapsed="false">
      <c r="A3884" s="8" t="s">
        <v>176</v>
      </c>
      <c r="B3884" s="8" t="s">
        <v>1236</v>
      </c>
      <c r="C3884" s="8" t="n">
        <v>3</v>
      </c>
      <c r="D3884" s="8" t="n">
        <v>105</v>
      </c>
      <c r="E3884" s="8" t="n">
        <v>0</v>
      </c>
      <c r="F3884" s="8" t="n">
        <v>0</v>
      </c>
    </row>
    <row r="3885" customFormat="false" ht="15" hidden="false" customHeight="true" outlineLevel="0" collapsed="false">
      <c r="A3885" s="8" t="s">
        <v>240</v>
      </c>
      <c r="B3885" s="8" t="s">
        <v>769</v>
      </c>
      <c r="C3885" s="8" t="n">
        <v>2</v>
      </c>
      <c r="D3885" s="8" t="n">
        <v>34</v>
      </c>
      <c r="E3885" s="8" t="n">
        <v>0</v>
      </c>
      <c r="F3885" s="8" t="n">
        <v>0</v>
      </c>
    </row>
    <row r="3886" customFormat="false" ht="15" hidden="false" customHeight="true" outlineLevel="0" collapsed="false">
      <c r="A3886" s="8" t="s">
        <v>234</v>
      </c>
      <c r="B3886" s="8" t="s">
        <v>769</v>
      </c>
      <c r="C3886" s="8" t="n">
        <v>7</v>
      </c>
      <c r="D3886" s="8" t="n">
        <v>119</v>
      </c>
      <c r="E3886" s="8" t="n">
        <v>0</v>
      </c>
      <c r="F3886" s="8" t="n">
        <v>0</v>
      </c>
    </row>
    <row r="3887" customFormat="false" ht="15" hidden="false" customHeight="true" outlineLevel="0" collapsed="false">
      <c r="A3887" s="8" t="s">
        <v>247</v>
      </c>
      <c r="B3887" s="8" t="s">
        <v>769</v>
      </c>
      <c r="C3887" s="8" t="n">
        <v>7</v>
      </c>
      <c r="D3887" s="8" t="n">
        <v>119</v>
      </c>
      <c r="E3887" s="8" t="n">
        <v>0</v>
      </c>
      <c r="F3887" s="8" t="n">
        <v>0</v>
      </c>
    </row>
    <row r="3888" customFormat="false" ht="15" hidden="false" customHeight="true" outlineLevel="0" collapsed="false">
      <c r="A3888" s="8" t="s">
        <v>300</v>
      </c>
      <c r="B3888" s="8" t="s">
        <v>769</v>
      </c>
      <c r="C3888" s="8" t="n">
        <v>2</v>
      </c>
      <c r="D3888" s="8" t="n">
        <v>34</v>
      </c>
      <c r="E3888" s="8" t="n">
        <v>0</v>
      </c>
      <c r="F3888" s="8" t="n">
        <v>0</v>
      </c>
    </row>
    <row r="3889" customFormat="false" ht="15" hidden="false" customHeight="true" outlineLevel="0" collapsed="false">
      <c r="A3889" s="8" t="s">
        <v>182</v>
      </c>
      <c r="B3889" s="8" t="s">
        <v>799</v>
      </c>
      <c r="C3889" s="8" t="n">
        <v>2</v>
      </c>
      <c r="D3889" s="8" t="n">
        <v>40</v>
      </c>
      <c r="E3889" s="8" t="n">
        <v>0</v>
      </c>
      <c r="F3889" s="8" t="n">
        <v>0</v>
      </c>
    </row>
    <row r="3890" customFormat="false" ht="15" hidden="false" customHeight="true" outlineLevel="0" collapsed="false">
      <c r="A3890" s="8" t="s">
        <v>170</v>
      </c>
      <c r="B3890" s="8" t="s">
        <v>1220</v>
      </c>
      <c r="C3890" s="8" t="n">
        <v>12</v>
      </c>
      <c r="D3890" s="8" t="n">
        <v>177.6</v>
      </c>
      <c r="E3890" s="8" t="n">
        <v>0</v>
      </c>
      <c r="F3890" s="8" t="n">
        <v>0</v>
      </c>
    </row>
    <row r="3891" customFormat="false" ht="15" hidden="false" customHeight="true" outlineLevel="0" collapsed="false">
      <c r="A3891" s="8" t="s">
        <v>252</v>
      </c>
      <c r="B3891" s="8" t="s">
        <v>1177</v>
      </c>
      <c r="C3891" s="8" t="n">
        <v>3</v>
      </c>
      <c r="D3891" s="8" t="n">
        <v>49.8</v>
      </c>
      <c r="E3891" s="8" t="n">
        <v>3</v>
      </c>
      <c r="F3891" s="8" t="n">
        <v>49.8</v>
      </c>
    </row>
    <row r="3892" customFormat="false" ht="15" hidden="false" customHeight="true" outlineLevel="0" collapsed="false">
      <c r="A3892" s="8" t="s">
        <v>203</v>
      </c>
      <c r="B3892" s="8" t="s">
        <v>1177</v>
      </c>
      <c r="C3892" s="8" t="n">
        <v>3</v>
      </c>
      <c r="D3892" s="8" t="n">
        <v>55.5</v>
      </c>
      <c r="E3892" s="8" t="n">
        <v>0</v>
      </c>
      <c r="F3892" s="8" t="n">
        <v>0</v>
      </c>
    </row>
    <row r="3893" customFormat="false" ht="15" hidden="false" customHeight="true" outlineLevel="0" collapsed="false">
      <c r="A3893" s="8" t="s">
        <v>163</v>
      </c>
      <c r="B3893" s="8" t="s">
        <v>897</v>
      </c>
      <c r="C3893" s="8" t="n">
        <v>28</v>
      </c>
      <c r="D3893" s="8" t="n">
        <v>1820</v>
      </c>
      <c r="E3893" s="8" t="n">
        <v>0</v>
      </c>
      <c r="F3893" s="8" t="n">
        <v>0</v>
      </c>
    </row>
    <row r="3894" customFormat="false" ht="15" hidden="false" customHeight="true" outlineLevel="0" collapsed="false">
      <c r="A3894" s="8" t="s">
        <v>181</v>
      </c>
      <c r="B3894" s="8" t="s">
        <v>897</v>
      </c>
      <c r="C3894" s="8" t="n">
        <v>0</v>
      </c>
      <c r="D3894" s="8" t="n">
        <v>0</v>
      </c>
      <c r="E3894" s="8" t="n">
        <v>1</v>
      </c>
      <c r="F3894" s="8" t="n">
        <v>65</v>
      </c>
    </row>
    <row r="3895" customFormat="false" ht="15" hidden="false" customHeight="true" outlineLevel="0" collapsed="false">
      <c r="A3895" s="8" t="s">
        <v>165</v>
      </c>
      <c r="B3895" s="8" t="s">
        <v>897</v>
      </c>
      <c r="C3895" s="8" t="n">
        <v>12</v>
      </c>
      <c r="D3895" s="8" t="n">
        <v>780</v>
      </c>
      <c r="E3895" s="8" t="n">
        <v>2</v>
      </c>
      <c r="F3895" s="8" t="n">
        <v>130</v>
      </c>
    </row>
    <row r="3896" customFormat="false" ht="15" hidden="false" customHeight="true" outlineLevel="0" collapsed="false">
      <c r="A3896" s="8" t="s">
        <v>184</v>
      </c>
      <c r="B3896" s="8" t="s">
        <v>897</v>
      </c>
      <c r="C3896" s="8" t="n">
        <v>10</v>
      </c>
      <c r="D3896" s="8" t="n">
        <v>650</v>
      </c>
      <c r="E3896" s="8" t="n">
        <v>0</v>
      </c>
      <c r="F3896" s="8" t="n">
        <v>0</v>
      </c>
    </row>
    <row r="3897" customFormat="false" ht="15" hidden="false" customHeight="true" outlineLevel="0" collapsed="false">
      <c r="A3897" s="8" t="s">
        <v>175</v>
      </c>
      <c r="B3897" s="8" t="s">
        <v>1244</v>
      </c>
      <c r="C3897" s="8" t="n">
        <v>7</v>
      </c>
      <c r="D3897" s="8" t="n">
        <v>1228.5</v>
      </c>
      <c r="E3897" s="8" t="n">
        <v>0</v>
      </c>
      <c r="F3897" s="8" t="n">
        <v>0</v>
      </c>
    </row>
    <row r="3898" customFormat="false" ht="15" hidden="false" customHeight="true" outlineLevel="0" collapsed="false">
      <c r="A3898" s="8" t="s">
        <v>230</v>
      </c>
      <c r="B3898" s="8" t="s">
        <v>1244</v>
      </c>
      <c r="C3898" s="8" t="n">
        <v>1</v>
      </c>
      <c r="D3898" s="8" t="n">
        <v>175.5</v>
      </c>
      <c r="E3898" s="8" t="n">
        <v>0</v>
      </c>
      <c r="F3898" s="8" t="n">
        <v>0</v>
      </c>
    </row>
    <row r="3899" customFormat="false" ht="15" hidden="false" customHeight="true" outlineLevel="0" collapsed="false">
      <c r="A3899" s="8" t="s">
        <v>173</v>
      </c>
      <c r="B3899" s="8" t="s">
        <v>1244</v>
      </c>
      <c r="C3899" s="8" t="n">
        <v>2</v>
      </c>
      <c r="D3899" s="8" t="n">
        <v>351</v>
      </c>
      <c r="E3899" s="8" t="n">
        <v>1</v>
      </c>
      <c r="F3899" s="8" t="n">
        <v>175.5</v>
      </c>
    </row>
    <row r="3900" customFormat="false" ht="15" hidden="false" customHeight="true" outlineLevel="0" collapsed="false">
      <c r="A3900" s="8" t="s">
        <v>177</v>
      </c>
      <c r="B3900" s="8" t="s">
        <v>1244</v>
      </c>
      <c r="C3900" s="8" t="n">
        <v>5</v>
      </c>
      <c r="D3900" s="8" t="n">
        <v>877.5</v>
      </c>
      <c r="E3900" s="8" t="n">
        <v>0</v>
      </c>
      <c r="F3900" s="8" t="n">
        <v>0</v>
      </c>
    </row>
    <row r="3901" customFormat="false" ht="15" hidden="false" customHeight="true" outlineLevel="0" collapsed="false">
      <c r="A3901" s="8" t="s">
        <v>208</v>
      </c>
      <c r="B3901" s="8" t="s">
        <v>1179</v>
      </c>
      <c r="C3901" s="8" t="n">
        <v>8</v>
      </c>
      <c r="D3901" s="8" t="n">
        <v>578.72</v>
      </c>
      <c r="E3901" s="8" t="n">
        <v>4</v>
      </c>
      <c r="F3901" s="8" t="n">
        <v>289.36</v>
      </c>
    </row>
    <row r="3902" customFormat="false" ht="15" hidden="false" customHeight="true" outlineLevel="0" collapsed="false">
      <c r="A3902" s="8" t="s">
        <v>221</v>
      </c>
      <c r="B3902" s="8" t="s">
        <v>1179</v>
      </c>
      <c r="C3902" s="8" t="n">
        <v>2</v>
      </c>
      <c r="D3902" s="8" t="n">
        <v>144.68</v>
      </c>
      <c r="E3902" s="8" t="n">
        <v>1</v>
      </c>
      <c r="F3902" s="8" t="n">
        <v>72.34</v>
      </c>
    </row>
    <row r="3903" customFormat="false" ht="15" hidden="false" customHeight="true" outlineLevel="0" collapsed="false">
      <c r="A3903" s="8" t="s">
        <v>245</v>
      </c>
      <c r="B3903" s="8" t="s">
        <v>1179</v>
      </c>
      <c r="C3903" s="8" t="n">
        <v>6</v>
      </c>
      <c r="D3903" s="8" t="n">
        <v>434.04</v>
      </c>
      <c r="E3903" s="8" t="n">
        <v>0</v>
      </c>
      <c r="F3903" s="8" t="n">
        <v>0</v>
      </c>
    </row>
    <row r="3904" customFormat="false" ht="15" hidden="false" customHeight="true" outlineLevel="0" collapsed="false">
      <c r="A3904" s="8" t="s">
        <v>191</v>
      </c>
      <c r="B3904" s="8" t="s">
        <v>1179</v>
      </c>
      <c r="C3904" s="8" t="n">
        <v>3</v>
      </c>
      <c r="D3904" s="8" t="n">
        <v>217.02</v>
      </c>
      <c r="E3904" s="8" t="n">
        <v>1</v>
      </c>
      <c r="F3904" s="8" t="n">
        <v>72.34</v>
      </c>
    </row>
    <row r="3905" customFormat="false" ht="15" hidden="false" customHeight="true" outlineLevel="0" collapsed="false">
      <c r="A3905" s="8" t="s">
        <v>204</v>
      </c>
      <c r="B3905" s="8" t="s">
        <v>1179</v>
      </c>
      <c r="C3905" s="8" t="n">
        <v>6</v>
      </c>
      <c r="D3905" s="8" t="n">
        <v>434.04</v>
      </c>
      <c r="E3905" s="8" t="n">
        <v>0</v>
      </c>
      <c r="F3905" s="8" t="n">
        <v>0</v>
      </c>
    </row>
    <row r="3906" customFormat="false" ht="15" hidden="false" customHeight="true" outlineLevel="0" collapsed="false">
      <c r="A3906" s="8" t="s">
        <v>319</v>
      </c>
      <c r="B3906" s="8" t="s">
        <v>1268</v>
      </c>
      <c r="C3906" s="8" t="n">
        <v>1</v>
      </c>
      <c r="D3906" s="8" t="n">
        <v>113.58</v>
      </c>
      <c r="E3906" s="8" t="n">
        <v>0</v>
      </c>
      <c r="F3906" s="8" t="n">
        <v>0</v>
      </c>
    </row>
    <row r="3907" customFormat="false" ht="15" hidden="false" customHeight="true" outlineLevel="0" collapsed="false">
      <c r="A3907" s="8" t="s">
        <v>333</v>
      </c>
      <c r="B3907" s="8" t="s">
        <v>1268</v>
      </c>
      <c r="C3907" s="8" t="n">
        <v>1</v>
      </c>
      <c r="D3907" s="8" t="n">
        <v>113.58</v>
      </c>
      <c r="E3907" s="8" t="n">
        <v>0</v>
      </c>
      <c r="F3907" s="8" t="n">
        <v>0</v>
      </c>
    </row>
    <row r="3908" customFormat="false" ht="15" hidden="false" customHeight="true" outlineLevel="0" collapsed="false">
      <c r="A3908" s="8" t="s">
        <v>304</v>
      </c>
      <c r="B3908" s="8" t="s">
        <v>1268</v>
      </c>
      <c r="C3908" s="8" t="n">
        <v>1</v>
      </c>
      <c r="D3908" s="8" t="n">
        <v>113.58</v>
      </c>
      <c r="E3908" s="8" t="n">
        <v>0</v>
      </c>
      <c r="F3908" s="8" t="n">
        <v>0</v>
      </c>
    </row>
    <row r="3909" customFormat="false" ht="15" hidden="false" customHeight="true" outlineLevel="0" collapsed="false">
      <c r="A3909" s="8" t="s">
        <v>280</v>
      </c>
      <c r="B3909" s="8" t="s">
        <v>1282</v>
      </c>
      <c r="C3909" s="8" t="n">
        <v>5</v>
      </c>
      <c r="D3909" s="8" t="n">
        <v>535.45</v>
      </c>
      <c r="E3909" s="8" t="n">
        <v>0</v>
      </c>
      <c r="F3909" s="8" t="n">
        <v>0</v>
      </c>
    </row>
    <row r="3910" customFormat="false" ht="15" hidden="false" customHeight="true" outlineLevel="0" collapsed="false">
      <c r="A3910" s="8" t="s">
        <v>298</v>
      </c>
      <c r="B3910" s="8" t="s">
        <v>1282</v>
      </c>
      <c r="C3910" s="8" t="n">
        <v>4</v>
      </c>
      <c r="D3910" s="8" t="n">
        <v>428.36</v>
      </c>
      <c r="E3910" s="8" t="n">
        <v>0</v>
      </c>
      <c r="F3910" s="8" t="n">
        <v>0</v>
      </c>
    </row>
    <row r="3911" customFormat="false" ht="15" hidden="false" customHeight="true" outlineLevel="0" collapsed="false">
      <c r="A3911" s="8" t="s">
        <v>311</v>
      </c>
      <c r="B3911" s="8" t="s">
        <v>1282</v>
      </c>
      <c r="C3911" s="8" t="n">
        <v>1</v>
      </c>
      <c r="D3911" s="8" t="n">
        <v>107.09</v>
      </c>
      <c r="E3911" s="8" t="n">
        <v>0</v>
      </c>
      <c r="F3911" s="8" t="n">
        <v>0</v>
      </c>
    </row>
    <row r="3912" customFormat="false" ht="15" hidden="false" customHeight="true" outlineLevel="0" collapsed="false">
      <c r="A3912" s="8" t="s">
        <v>216</v>
      </c>
      <c r="B3912" s="8" t="s">
        <v>1223</v>
      </c>
      <c r="C3912" s="8" t="n">
        <v>1</v>
      </c>
      <c r="D3912" s="8" t="n">
        <v>77.8</v>
      </c>
      <c r="E3912" s="8" t="n">
        <v>0</v>
      </c>
      <c r="F3912" s="8" t="n">
        <v>0</v>
      </c>
    </row>
    <row r="3913" customFormat="false" ht="15" hidden="false" customHeight="true" outlineLevel="0" collapsed="false">
      <c r="A3913" s="8" t="s">
        <v>190</v>
      </c>
      <c r="B3913" s="8" t="s">
        <v>1224</v>
      </c>
      <c r="C3913" s="8" t="n">
        <v>16</v>
      </c>
      <c r="D3913" s="8" t="n">
        <v>390.88</v>
      </c>
      <c r="E3913" s="8" t="n">
        <v>3</v>
      </c>
      <c r="F3913" s="8" t="n">
        <v>73.29</v>
      </c>
    </row>
    <row r="3914" customFormat="false" ht="15" hidden="false" customHeight="true" outlineLevel="0" collapsed="false">
      <c r="A3914" s="8" t="s">
        <v>183</v>
      </c>
      <c r="B3914" s="8" t="s">
        <v>1224</v>
      </c>
      <c r="C3914" s="8" t="n">
        <v>14</v>
      </c>
      <c r="D3914" s="8" t="n">
        <v>342.02</v>
      </c>
      <c r="E3914" s="8" t="n">
        <v>5</v>
      </c>
      <c r="F3914" s="8" t="n">
        <v>122.15</v>
      </c>
    </row>
    <row r="3915" customFormat="false" ht="15" hidden="false" customHeight="true" outlineLevel="0" collapsed="false">
      <c r="A3915" s="8" t="s">
        <v>218</v>
      </c>
      <c r="B3915" s="8" t="s">
        <v>1224</v>
      </c>
      <c r="C3915" s="8" t="n">
        <v>7</v>
      </c>
      <c r="D3915" s="8" t="n">
        <v>171.01</v>
      </c>
      <c r="E3915" s="8" t="n">
        <v>0</v>
      </c>
      <c r="F3915" s="8" t="n">
        <v>0</v>
      </c>
    </row>
    <row r="3916" customFormat="false" ht="15" hidden="false" customHeight="true" outlineLevel="0" collapsed="false">
      <c r="A3916" s="8" t="s">
        <v>231</v>
      </c>
      <c r="B3916" s="8" t="s">
        <v>1224</v>
      </c>
      <c r="C3916" s="8" t="n">
        <v>2</v>
      </c>
      <c r="D3916" s="8" t="n">
        <v>48.86</v>
      </c>
      <c r="E3916" s="8" t="n">
        <v>0</v>
      </c>
      <c r="F3916" s="8" t="n">
        <v>0</v>
      </c>
    </row>
    <row r="3917" customFormat="false" ht="15" hidden="false" customHeight="true" outlineLevel="0" collapsed="false">
      <c r="A3917" s="8" t="s">
        <v>161</v>
      </c>
      <c r="B3917" s="8" t="s">
        <v>1208</v>
      </c>
      <c r="C3917" s="8" t="n">
        <v>59</v>
      </c>
      <c r="D3917" s="8" t="n">
        <v>2684.5</v>
      </c>
      <c r="E3917" s="8" t="n">
        <v>6</v>
      </c>
      <c r="F3917" s="8" t="n">
        <v>273</v>
      </c>
    </row>
    <row r="3918" customFormat="false" ht="15" hidden="false" customHeight="true" outlineLevel="0" collapsed="false">
      <c r="A3918" s="8" t="s">
        <v>162</v>
      </c>
      <c r="B3918" s="8" t="s">
        <v>1209</v>
      </c>
      <c r="C3918" s="8" t="n">
        <v>23</v>
      </c>
      <c r="D3918" s="8" t="n">
        <v>1789.4</v>
      </c>
      <c r="E3918" s="8" t="n">
        <v>11</v>
      </c>
      <c r="F3918" s="8" t="n">
        <v>855.8</v>
      </c>
    </row>
    <row r="3919" customFormat="false" ht="15" hidden="false" customHeight="true" outlineLevel="0" collapsed="false">
      <c r="A3919" s="8" t="s">
        <v>171</v>
      </c>
      <c r="B3919" s="8" t="s">
        <v>1210</v>
      </c>
      <c r="C3919" s="8" t="n">
        <v>37</v>
      </c>
      <c r="D3919" s="8" t="n">
        <v>1747.51</v>
      </c>
      <c r="E3919" s="8" t="n">
        <v>0</v>
      </c>
      <c r="F3919" s="8" t="n">
        <v>0</v>
      </c>
    </row>
    <row r="3920" customFormat="false" ht="15" hidden="false" customHeight="true" outlineLevel="0" collapsed="false">
      <c r="A3920" s="8" t="s">
        <v>174</v>
      </c>
      <c r="B3920" s="8" t="s">
        <v>1210</v>
      </c>
      <c r="C3920" s="8" t="n">
        <v>26</v>
      </c>
      <c r="D3920" s="8" t="n">
        <v>1227.98</v>
      </c>
      <c r="E3920" s="8" t="n">
        <v>0</v>
      </c>
      <c r="F3920" s="8" t="n">
        <v>0</v>
      </c>
    </row>
    <row r="3921" customFormat="false" ht="15" hidden="false" customHeight="true" outlineLevel="0" collapsed="false">
      <c r="A3921" s="8" t="s">
        <v>166</v>
      </c>
      <c r="B3921" s="8" t="s">
        <v>1211</v>
      </c>
      <c r="C3921" s="8" t="n">
        <v>11</v>
      </c>
      <c r="D3921" s="8" t="n">
        <v>695.97</v>
      </c>
      <c r="E3921" s="8" t="n">
        <v>0</v>
      </c>
      <c r="F3921" s="8" t="n">
        <v>0</v>
      </c>
    </row>
    <row r="3922" customFormat="false" ht="15" hidden="false" customHeight="true" outlineLevel="0" collapsed="false">
      <c r="A3922" s="8" t="s">
        <v>164</v>
      </c>
      <c r="B3922" s="8" t="s">
        <v>1211</v>
      </c>
      <c r="C3922" s="8" t="n">
        <v>17</v>
      </c>
      <c r="D3922" s="8" t="n">
        <v>1075.59</v>
      </c>
      <c r="E3922" s="8" t="n">
        <v>0</v>
      </c>
      <c r="F3922" s="8" t="n">
        <v>0</v>
      </c>
    </row>
    <row r="3923" customFormat="false" ht="15" hidden="false" customHeight="true" outlineLevel="0" collapsed="false">
      <c r="A3923" s="8" t="s">
        <v>222</v>
      </c>
      <c r="B3923" s="8" t="s">
        <v>1211</v>
      </c>
      <c r="C3923" s="8" t="n">
        <v>3</v>
      </c>
      <c r="D3923" s="8" t="n">
        <v>189.81</v>
      </c>
      <c r="E3923" s="8" t="n">
        <v>0</v>
      </c>
      <c r="F3923" s="8" t="n">
        <v>0</v>
      </c>
    </row>
    <row r="3924" customFormat="false" ht="15" hidden="false" customHeight="true" outlineLevel="0" collapsed="false">
      <c r="A3924" s="8" t="s">
        <v>187</v>
      </c>
      <c r="B3924" s="8" t="s">
        <v>1211</v>
      </c>
      <c r="C3924" s="8" t="n">
        <v>5</v>
      </c>
      <c r="D3924" s="8" t="n">
        <v>316.35</v>
      </c>
      <c r="E3924" s="8" t="n">
        <v>0</v>
      </c>
      <c r="F3924" s="8" t="n">
        <v>0</v>
      </c>
    </row>
    <row r="3925" customFormat="false" ht="15" hidden="false" customHeight="true" outlineLevel="0" collapsed="false">
      <c r="A3925" s="8" t="s">
        <v>188</v>
      </c>
      <c r="B3925" s="8" t="s">
        <v>1225</v>
      </c>
      <c r="C3925" s="8" t="n">
        <v>2</v>
      </c>
      <c r="D3925" s="8" t="n">
        <v>57.86</v>
      </c>
      <c r="E3925" s="8" t="n">
        <v>5</v>
      </c>
      <c r="F3925" s="8" t="n">
        <v>144.65</v>
      </c>
    </row>
    <row r="3926" customFormat="false" ht="15" hidden="false" customHeight="true" outlineLevel="0" collapsed="false">
      <c r="A3926" s="8" t="s">
        <v>186</v>
      </c>
      <c r="B3926" s="8" t="s">
        <v>1225</v>
      </c>
      <c r="C3926" s="8" t="n">
        <v>2</v>
      </c>
      <c r="D3926" s="8" t="n">
        <v>57.86</v>
      </c>
      <c r="E3926" s="8" t="n">
        <v>5</v>
      </c>
      <c r="F3926" s="8" t="n">
        <v>144.65</v>
      </c>
    </row>
    <row r="3927" customFormat="false" ht="15" hidden="false" customHeight="true" outlineLevel="0" collapsed="false">
      <c r="A3927" s="8" t="s">
        <v>239</v>
      </c>
      <c r="B3927" s="8" t="s">
        <v>1225</v>
      </c>
      <c r="C3927" s="8" t="n">
        <v>2</v>
      </c>
      <c r="D3927" s="8" t="n">
        <v>57.86</v>
      </c>
      <c r="E3927" s="8" t="n">
        <v>1</v>
      </c>
      <c r="F3927" s="8" t="n">
        <v>28.93</v>
      </c>
    </row>
    <row r="3928" customFormat="false" ht="15" hidden="false" customHeight="true" outlineLevel="0" collapsed="false">
      <c r="A3928" s="8" t="s">
        <v>210</v>
      </c>
      <c r="B3928" s="8" t="s">
        <v>1225</v>
      </c>
      <c r="C3928" s="8" t="n">
        <v>2</v>
      </c>
      <c r="D3928" s="8" t="n">
        <v>57.86</v>
      </c>
      <c r="E3928" s="8" t="n">
        <v>1</v>
      </c>
      <c r="F3928" s="8" t="n">
        <v>28.93</v>
      </c>
    </row>
    <row r="3929" customFormat="false" ht="15" hidden="false" customHeight="true" outlineLevel="0" collapsed="false">
      <c r="A3929" s="8" t="s">
        <v>238</v>
      </c>
      <c r="B3929" s="8" t="s">
        <v>1226</v>
      </c>
      <c r="C3929" s="8" t="n">
        <v>1</v>
      </c>
      <c r="D3929" s="8" t="n">
        <v>42.17</v>
      </c>
      <c r="E3929" s="8" t="n">
        <v>2</v>
      </c>
      <c r="F3929" s="8" t="n">
        <v>84.34</v>
      </c>
    </row>
    <row r="3930" customFormat="false" ht="15" hidden="false" customHeight="true" outlineLevel="0" collapsed="false">
      <c r="A3930" s="8" t="s">
        <v>201</v>
      </c>
      <c r="B3930" s="8" t="s">
        <v>1226</v>
      </c>
      <c r="C3930" s="8" t="n">
        <v>1</v>
      </c>
      <c r="D3930" s="8" t="n">
        <v>42.17</v>
      </c>
      <c r="E3930" s="8" t="n">
        <v>2</v>
      </c>
      <c r="F3930" s="8" t="n">
        <v>84.34</v>
      </c>
    </row>
    <row r="3931" customFormat="false" ht="15" hidden="false" customHeight="true" outlineLevel="0" collapsed="false">
      <c r="A3931" s="8" t="s">
        <v>314</v>
      </c>
      <c r="B3931" s="8" t="s">
        <v>1226</v>
      </c>
      <c r="C3931" s="8" t="n">
        <v>2</v>
      </c>
      <c r="D3931" s="8" t="n">
        <v>84.34</v>
      </c>
      <c r="E3931" s="8" t="n">
        <v>4</v>
      </c>
      <c r="F3931" s="8" t="n">
        <v>168.68</v>
      </c>
    </row>
    <row r="3932" customFormat="false" ht="15" hidden="false" customHeight="true" outlineLevel="0" collapsed="false">
      <c r="A3932" s="8" t="s">
        <v>214</v>
      </c>
      <c r="B3932" s="8" t="s">
        <v>1226</v>
      </c>
      <c r="C3932" s="8" t="n">
        <v>1</v>
      </c>
      <c r="D3932" s="8" t="n">
        <v>42.17</v>
      </c>
      <c r="E3932" s="8" t="n">
        <v>1</v>
      </c>
      <c r="F3932" s="8" t="n">
        <v>42.17</v>
      </c>
    </row>
    <row r="3933" customFormat="false" ht="15" hidden="false" customHeight="true" outlineLevel="0" collapsed="false">
      <c r="A3933" s="8" t="s">
        <v>309</v>
      </c>
      <c r="B3933" s="8" t="s">
        <v>1226</v>
      </c>
      <c r="C3933" s="8" t="n">
        <v>1</v>
      </c>
      <c r="D3933" s="8" t="n">
        <v>42.17</v>
      </c>
      <c r="E3933" s="8" t="n">
        <v>0</v>
      </c>
      <c r="F3933" s="8" t="n">
        <v>0</v>
      </c>
    </row>
    <row r="3934" customFormat="false" ht="15" hidden="false" customHeight="true" outlineLevel="0" collapsed="false">
      <c r="A3934" s="8" t="s">
        <v>202</v>
      </c>
      <c r="B3934" s="8" t="s">
        <v>1212</v>
      </c>
      <c r="C3934" s="8" t="n">
        <v>83</v>
      </c>
      <c r="D3934" s="8" t="n">
        <v>788.5</v>
      </c>
      <c r="E3934" s="8" t="n">
        <v>20</v>
      </c>
      <c r="F3934" s="8" t="n">
        <v>190</v>
      </c>
    </row>
    <row r="3935" customFormat="false" ht="15" hidden="false" customHeight="true" outlineLevel="0" collapsed="false">
      <c r="A3935" s="8" t="s">
        <v>244</v>
      </c>
      <c r="B3935" s="8" t="s">
        <v>1213</v>
      </c>
      <c r="C3935" s="8" t="n">
        <v>15</v>
      </c>
      <c r="D3935" s="8" t="n">
        <v>142.5</v>
      </c>
      <c r="E3935" s="8" t="n">
        <v>7</v>
      </c>
      <c r="F3935" s="8" t="n">
        <v>66.5</v>
      </c>
    </row>
    <row r="3936" customFormat="false" ht="15" hidden="false" customHeight="true" outlineLevel="0" collapsed="false">
      <c r="A3936" s="8" t="s">
        <v>251</v>
      </c>
      <c r="B3936" s="8" t="s">
        <v>1262</v>
      </c>
      <c r="C3936" s="8" t="n">
        <v>39</v>
      </c>
      <c r="D3936" s="8" t="n">
        <v>378.69</v>
      </c>
      <c r="E3936" s="8" t="n">
        <v>3</v>
      </c>
      <c r="F3936" s="8" t="n">
        <v>29.13</v>
      </c>
    </row>
    <row r="3937" customFormat="false" ht="15" hidden="false" customHeight="true" outlineLevel="0" collapsed="false">
      <c r="A3937" s="8" t="s">
        <v>172</v>
      </c>
      <c r="B3937" s="8" t="s">
        <v>1214</v>
      </c>
      <c r="C3937" s="8" t="n">
        <v>51</v>
      </c>
      <c r="D3937" s="8" t="n">
        <v>621.18</v>
      </c>
      <c r="E3937" s="8" t="n">
        <v>20</v>
      </c>
      <c r="F3937" s="8" t="n">
        <v>243.6</v>
      </c>
    </row>
    <row r="3938" customFormat="false" ht="15" hidden="false" customHeight="true" outlineLevel="0" collapsed="false">
      <c r="A3938" s="8" t="s">
        <v>242</v>
      </c>
      <c r="B3938" s="8" t="s">
        <v>1230</v>
      </c>
      <c r="C3938" s="8" t="n">
        <v>2</v>
      </c>
      <c r="D3938" s="8" t="n">
        <v>77.4</v>
      </c>
      <c r="E3938" s="8" t="n">
        <v>0</v>
      </c>
      <c r="F3938" s="8" t="n">
        <v>0</v>
      </c>
    </row>
    <row r="3939" customFormat="false" ht="15" hidden="false" customHeight="true" outlineLevel="0" collapsed="false">
      <c r="A3939" s="8" t="s">
        <v>215</v>
      </c>
      <c r="B3939" s="8" t="s">
        <v>1233</v>
      </c>
      <c r="C3939" s="8" t="n">
        <v>19</v>
      </c>
      <c r="D3939" s="8" t="n">
        <v>338.58</v>
      </c>
      <c r="E3939" s="8" t="n">
        <v>5</v>
      </c>
      <c r="F3939" s="8" t="n">
        <v>89.1</v>
      </c>
    </row>
    <row r="3940" customFormat="false" ht="15" hidden="false" customHeight="true" outlineLevel="0" collapsed="false">
      <c r="A3940" s="8" t="s">
        <v>317</v>
      </c>
      <c r="B3940" s="8" t="s">
        <v>621</v>
      </c>
      <c r="C3940" s="8" t="n">
        <v>2</v>
      </c>
      <c r="D3940" s="8" t="n">
        <v>98.6</v>
      </c>
      <c r="E3940" s="8" t="n">
        <v>0</v>
      </c>
      <c r="F3940" s="8" t="n">
        <v>0</v>
      </c>
    </row>
    <row r="3941" customFormat="false" ht="15" hidden="false" customHeight="true" outlineLevel="0" collapsed="false">
      <c r="A3941" s="8" t="s">
        <v>180</v>
      </c>
      <c r="B3941" s="8" t="s">
        <v>1216</v>
      </c>
      <c r="C3941" s="8" t="n">
        <v>33</v>
      </c>
      <c r="D3941" s="8" t="n">
        <v>544.5</v>
      </c>
      <c r="E3941" s="8" t="n">
        <v>11</v>
      </c>
      <c r="F3941" s="8" t="n">
        <v>181.5</v>
      </c>
    </row>
    <row r="3942" customFormat="false" ht="15" hidden="false" customHeight="true" outlineLevel="0" collapsed="false">
      <c r="A3942" s="8" t="s">
        <v>189</v>
      </c>
      <c r="B3942" s="8" t="s">
        <v>1216</v>
      </c>
      <c r="C3942" s="8" t="n">
        <v>18</v>
      </c>
      <c r="D3942" s="8" t="n">
        <v>297</v>
      </c>
      <c r="E3942" s="8" t="n">
        <v>2</v>
      </c>
      <c r="F3942" s="8" t="n">
        <v>33</v>
      </c>
    </row>
    <row r="3943" customFormat="false" ht="15" hidden="false" customHeight="true" outlineLevel="0" collapsed="false">
      <c r="A3943" s="8" t="s">
        <v>267</v>
      </c>
      <c r="B3943" s="8" t="s">
        <v>1216</v>
      </c>
      <c r="C3943" s="8" t="n">
        <v>10</v>
      </c>
      <c r="D3943" s="8" t="n">
        <v>165</v>
      </c>
      <c r="E3943" s="8" t="n">
        <v>5</v>
      </c>
      <c r="F3943" s="8" t="n">
        <v>82.5</v>
      </c>
    </row>
    <row r="3944" customFormat="false" ht="15" hidden="false" customHeight="true" outlineLevel="0" collapsed="false">
      <c r="A3944" s="8" t="s">
        <v>199</v>
      </c>
      <c r="B3944" s="8" t="s">
        <v>1216</v>
      </c>
      <c r="C3944" s="8" t="n">
        <v>25</v>
      </c>
      <c r="D3944" s="8" t="n">
        <v>412.5</v>
      </c>
      <c r="E3944" s="8" t="n">
        <v>0</v>
      </c>
      <c r="F3944" s="8" t="n">
        <v>0</v>
      </c>
    </row>
    <row r="3945" customFormat="false" ht="15" hidden="false" customHeight="true" outlineLevel="0" collapsed="false">
      <c r="A3945" s="8" t="s">
        <v>250</v>
      </c>
      <c r="B3945" s="8" t="s">
        <v>1216</v>
      </c>
      <c r="C3945" s="8" t="n">
        <v>8</v>
      </c>
      <c r="D3945" s="8" t="n">
        <v>132</v>
      </c>
      <c r="E3945" s="8" t="n">
        <v>0</v>
      </c>
      <c r="F3945" s="8" t="n">
        <v>0</v>
      </c>
    </row>
    <row r="3946" customFormat="false" ht="15" hidden="false" customHeight="true" outlineLevel="0" collapsed="false">
      <c r="A3946" s="8" t="s">
        <v>193</v>
      </c>
      <c r="B3946" s="8" t="s">
        <v>1217</v>
      </c>
      <c r="C3946" s="8" t="n">
        <v>8</v>
      </c>
      <c r="D3946" s="8" t="n">
        <v>164</v>
      </c>
      <c r="E3946" s="8" t="n">
        <v>0</v>
      </c>
      <c r="F3946" s="8" t="n">
        <v>0</v>
      </c>
    </row>
    <row r="3947" customFormat="false" ht="15" hidden="false" customHeight="true" outlineLevel="0" collapsed="false">
      <c r="A3947" s="8" t="s">
        <v>259</v>
      </c>
      <c r="B3947" s="8" t="s">
        <v>1265</v>
      </c>
      <c r="C3947" s="8" t="n">
        <v>1</v>
      </c>
      <c r="D3947" s="8" t="n">
        <v>126.57</v>
      </c>
      <c r="E3947" s="8" t="n">
        <v>0</v>
      </c>
      <c r="F3947" s="8" t="n">
        <v>0</v>
      </c>
    </row>
    <row r="3948" customFormat="false" ht="15" hidden="false" customHeight="true" outlineLevel="0" collapsed="false">
      <c r="A3948" s="8" t="s">
        <v>257</v>
      </c>
      <c r="B3948" s="8" t="s">
        <v>1284</v>
      </c>
      <c r="C3948" s="8" t="n">
        <v>6</v>
      </c>
      <c r="D3948" s="8" t="n">
        <v>194.58</v>
      </c>
      <c r="E3948" s="8" t="n">
        <v>0</v>
      </c>
      <c r="F3948" s="8" t="n">
        <v>0</v>
      </c>
    </row>
    <row r="3949" customFormat="false" ht="15" hidden="false" customHeight="true" outlineLevel="0" collapsed="false">
      <c r="A3949" s="8" t="s">
        <v>178</v>
      </c>
      <c r="B3949" s="8" t="s">
        <v>1236</v>
      </c>
      <c r="C3949" s="8" t="n">
        <v>19</v>
      </c>
      <c r="D3949" s="8" t="n">
        <v>665</v>
      </c>
      <c r="E3949" s="8" t="n">
        <v>4</v>
      </c>
      <c r="F3949" s="8" t="n">
        <v>140</v>
      </c>
    </row>
    <row r="3950" customFormat="false" ht="15" hidden="false" customHeight="true" outlineLevel="0" collapsed="false">
      <c r="A3950" s="8" t="s">
        <v>176</v>
      </c>
      <c r="B3950" s="8" t="s">
        <v>1236</v>
      </c>
      <c r="C3950" s="8" t="n">
        <v>14</v>
      </c>
      <c r="D3950" s="8" t="n">
        <v>490</v>
      </c>
      <c r="E3950" s="8" t="n">
        <v>0</v>
      </c>
      <c r="F3950" s="8" t="n">
        <v>0</v>
      </c>
    </row>
    <row r="3951" customFormat="false" ht="15" hidden="false" customHeight="true" outlineLevel="0" collapsed="false">
      <c r="A3951" s="8" t="s">
        <v>235</v>
      </c>
      <c r="B3951" s="8" t="s">
        <v>1236</v>
      </c>
      <c r="C3951" s="8" t="n">
        <v>5</v>
      </c>
      <c r="D3951" s="8" t="n">
        <v>175</v>
      </c>
      <c r="E3951" s="8" t="n">
        <v>1</v>
      </c>
      <c r="F3951" s="8" t="n">
        <v>35</v>
      </c>
    </row>
    <row r="3952" customFormat="false" ht="15" hidden="false" customHeight="true" outlineLevel="0" collapsed="false">
      <c r="A3952" s="8" t="s">
        <v>224</v>
      </c>
      <c r="B3952" s="8" t="s">
        <v>1236</v>
      </c>
      <c r="C3952" s="8" t="n">
        <v>6</v>
      </c>
      <c r="D3952" s="8" t="n">
        <v>210</v>
      </c>
      <c r="E3952" s="8" t="n">
        <v>0</v>
      </c>
      <c r="F3952" s="8" t="n">
        <v>0</v>
      </c>
    </row>
    <row r="3953" customFormat="false" ht="15" hidden="false" customHeight="true" outlineLevel="0" collapsed="false">
      <c r="A3953" s="8" t="s">
        <v>240</v>
      </c>
      <c r="B3953" s="8" t="s">
        <v>769</v>
      </c>
      <c r="C3953" s="8" t="n">
        <v>3</v>
      </c>
      <c r="D3953" s="8" t="n">
        <v>51</v>
      </c>
      <c r="E3953" s="8" t="n">
        <v>5</v>
      </c>
      <c r="F3953" s="8" t="n">
        <v>85</v>
      </c>
    </row>
    <row r="3954" customFormat="false" ht="15" hidden="false" customHeight="true" outlineLevel="0" collapsed="false">
      <c r="A3954" s="8" t="s">
        <v>234</v>
      </c>
      <c r="B3954" s="8" t="s">
        <v>769</v>
      </c>
      <c r="C3954" s="8" t="n">
        <v>3</v>
      </c>
      <c r="D3954" s="8" t="n">
        <v>51</v>
      </c>
      <c r="E3954" s="8" t="n">
        <v>5</v>
      </c>
      <c r="F3954" s="8" t="n">
        <v>85</v>
      </c>
    </row>
    <row r="3955" customFormat="false" ht="15" hidden="false" customHeight="true" outlineLevel="0" collapsed="false">
      <c r="A3955" s="8" t="s">
        <v>247</v>
      </c>
      <c r="B3955" s="8" t="s">
        <v>769</v>
      </c>
      <c r="C3955" s="8" t="n">
        <v>14</v>
      </c>
      <c r="D3955" s="8" t="n">
        <v>238</v>
      </c>
      <c r="E3955" s="8" t="n">
        <v>0</v>
      </c>
      <c r="F3955" s="8" t="n">
        <v>0</v>
      </c>
    </row>
    <row r="3956" customFormat="false" ht="15" hidden="false" customHeight="true" outlineLevel="0" collapsed="false">
      <c r="A3956" s="8" t="s">
        <v>300</v>
      </c>
      <c r="B3956" s="8" t="s">
        <v>769</v>
      </c>
      <c r="C3956" s="8" t="n">
        <v>3</v>
      </c>
      <c r="D3956" s="8" t="n">
        <v>51</v>
      </c>
      <c r="E3956" s="8" t="n">
        <v>2</v>
      </c>
      <c r="F3956" s="8" t="n">
        <v>34</v>
      </c>
    </row>
    <row r="3957" customFormat="false" ht="15" hidden="false" customHeight="true" outlineLevel="0" collapsed="false">
      <c r="A3957" s="8" t="s">
        <v>367</v>
      </c>
      <c r="B3957" s="8" t="s">
        <v>769</v>
      </c>
      <c r="C3957" s="8" t="n">
        <v>2</v>
      </c>
      <c r="D3957" s="8" t="n">
        <v>34</v>
      </c>
      <c r="E3957" s="8" t="n">
        <v>0</v>
      </c>
      <c r="F3957" s="8" t="n">
        <v>0</v>
      </c>
    </row>
    <row r="3958" customFormat="false" ht="15" hidden="false" customHeight="true" outlineLevel="0" collapsed="false">
      <c r="A3958" s="8" t="s">
        <v>182</v>
      </c>
      <c r="B3958" s="8" t="s">
        <v>799</v>
      </c>
      <c r="C3958" s="8" t="n">
        <v>35</v>
      </c>
      <c r="D3958" s="8" t="n">
        <v>700</v>
      </c>
      <c r="E3958" s="8" t="n">
        <v>16</v>
      </c>
      <c r="F3958" s="8" t="n">
        <v>320</v>
      </c>
    </row>
    <row r="3959" customFormat="false" ht="15" hidden="false" customHeight="true" outlineLevel="0" collapsed="false">
      <c r="A3959" s="8" t="s">
        <v>170</v>
      </c>
      <c r="B3959" s="8" t="s">
        <v>1220</v>
      </c>
      <c r="C3959" s="8" t="n">
        <v>12</v>
      </c>
      <c r="D3959" s="8" t="n">
        <v>177.6</v>
      </c>
      <c r="E3959" s="8" t="n">
        <v>0</v>
      </c>
      <c r="F3959" s="8" t="n">
        <v>0</v>
      </c>
    </row>
    <row r="3960" customFormat="false" ht="15" hidden="false" customHeight="true" outlineLevel="0" collapsed="false">
      <c r="A3960" s="8" t="s">
        <v>167</v>
      </c>
      <c r="B3960" s="8" t="s">
        <v>1238</v>
      </c>
      <c r="C3960" s="8" t="n">
        <v>69</v>
      </c>
      <c r="D3960" s="8" t="n">
        <v>924.6</v>
      </c>
      <c r="E3960" s="8" t="n">
        <v>10</v>
      </c>
      <c r="F3960" s="8" t="n">
        <v>134</v>
      </c>
    </row>
    <row r="3961" customFormat="false" ht="15" hidden="false" customHeight="true" outlineLevel="0" collapsed="false">
      <c r="A3961" s="8" t="s">
        <v>310</v>
      </c>
      <c r="B3961" s="8" t="s">
        <v>1258</v>
      </c>
      <c r="C3961" s="8" t="n">
        <v>2</v>
      </c>
      <c r="D3961" s="8" t="n">
        <v>188.2</v>
      </c>
      <c r="E3961" s="8" t="n">
        <v>0</v>
      </c>
      <c r="F3961" s="8" t="n">
        <v>0</v>
      </c>
    </row>
    <row r="3962" customFormat="false" ht="15" hidden="false" customHeight="true" outlineLevel="0" collapsed="false">
      <c r="A3962" s="8" t="s">
        <v>197</v>
      </c>
      <c r="B3962" s="8" t="s">
        <v>1222</v>
      </c>
      <c r="C3962" s="8" t="n">
        <v>1</v>
      </c>
      <c r="D3962" s="8" t="n">
        <v>65</v>
      </c>
      <c r="E3962" s="8" t="n">
        <v>0</v>
      </c>
      <c r="F3962" s="8" t="n">
        <v>0</v>
      </c>
    </row>
    <row r="3963" customFormat="false" ht="15" hidden="false" customHeight="true" outlineLevel="0" collapsed="false">
      <c r="A3963" s="8" t="s">
        <v>253</v>
      </c>
      <c r="B3963" s="8" t="s">
        <v>1222</v>
      </c>
      <c r="C3963" s="8" t="n">
        <v>2</v>
      </c>
      <c r="D3963" s="8" t="n">
        <v>130</v>
      </c>
      <c r="E3963" s="8" t="n">
        <v>0</v>
      </c>
      <c r="F3963" s="8" t="n">
        <v>0</v>
      </c>
    </row>
    <row r="3964" customFormat="false" ht="15" hidden="false" customHeight="true" outlineLevel="0" collapsed="false">
      <c r="A3964" s="8" t="s">
        <v>207</v>
      </c>
      <c r="B3964" s="8" t="s">
        <v>1222</v>
      </c>
      <c r="C3964" s="8" t="n">
        <v>2</v>
      </c>
      <c r="D3964" s="8" t="n">
        <v>130</v>
      </c>
      <c r="E3964" s="8" t="n">
        <v>1</v>
      </c>
      <c r="F3964" s="8" t="n">
        <v>65</v>
      </c>
    </row>
    <row r="3965" customFormat="false" ht="15" hidden="false" customHeight="true" outlineLevel="0" collapsed="false">
      <c r="A3965" s="8" t="s">
        <v>163</v>
      </c>
      <c r="B3965" s="8" t="s">
        <v>897</v>
      </c>
      <c r="C3965" s="8" t="n">
        <v>6</v>
      </c>
      <c r="D3965" s="8" t="n">
        <v>390</v>
      </c>
      <c r="E3965" s="8" t="n">
        <v>0</v>
      </c>
      <c r="F3965" s="8" t="n">
        <v>0</v>
      </c>
    </row>
    <row r="3966" customFormat="false" ht="15" hidden="false" customHeight="true" outlineLevel="0" collapsed="false">
      <c r="A3966" s="8" t="s">
        <v>290</v>
      </c>
      <c r="B3966" s="8" t="s">
        <v>897</v>
      </c>
      <c r="C3966" s="8" t="n">
        <v>1</v>
      </c>
      <c r="D3966" s="8" t="n">
        <v>65</v>
      </c>
      <c r="E3966" s="8" t="n">
        <v>0</v>
      </c>
      <c r="F3966" s="8" t="n">
        <v>0</v>
      </c>
    </row>
    <row r="3967" customFormat="false" ht="15" hidden="false" customHeight="true" outlineLevel="0" collapsed="false">
      <c r="A3967" s="8" t="s">
        <v>165</v>
      </c>
      <c r="B3967" s="8" t="s">
        <v>897</v>
      </c>
      <c r="C3967" s="8" t="n">
        <v>2</v>
      </c>
      <c r="D3967" s="8" t="n">
        <v>130</v>
      </c>
      <c r="E3967" s="8" t="n">
        <v>0</v>
      </c>
      <c r="F3967" s="8" t="n">
        <v>0</v>
      </c>
    </row>
    <row r="3968" customFormat="false" ht="15" hidden="false" customHeight="true" outlineLevel="0" collapsed="false">
      <c r="A3968" s="8" t="s">
        <v>184</v>
      </c>
      <c r="B3968" s="8" t="s">
        <v>897</v>
      </c>
      <c r="C3968" s="8" t="n">
        <v>2</v>
      </c>
      <c r="D3968" s="8" t="n">
        <v>130</v>
      </c>
      <c r="E3968" s="8" t="n">
        <v>0</v>
      </c>
      <c r="F3968" s="8" t="n">
        <v>0</v>
      </c>
    </row>
    <row r="3969" customFormat="false" ht="15" hidden="false" customHeight="true" outlineLevel="0" collapsed="false">
      <c r="A3969" s="8" t="s">
        <v>208</v>
      </c>
      <c r="B3969" s="8" t="s">
        <v>1179</v>
      </c>
      <c r="C3969" s="8" t="n">
        <v>1</v>
      </c>
      <c r="D3969" s="8" t="n">
        <v>72.34</v>
      </c>
      <c r="E3969" s="8" t="n">
        <v>0</v>
      </c>
      <c r="F3969" s="8" t="n">
        <v>0</v>
      </c>
    </row>
    <row r="3970" customFormat="false" ht="15" hidden="false" customHeight="true" outlineLevel="0" collapsed="false">
      <c r="A3970" s="8" t="s">
        <v>191</v>
      </c>
      <c r="B3970" s="8" t="s">
        <v>1179</v>
      </c>
      <c r="C3970" s="8" t="n">
        <v>1</v>
      </c>
      <c r="D3970" s="8" t="n">
        <v>72.34</v>
      </c>
      <c r="E3970" s="8" t="n">
        <v>0</v>
      </c>
      <c r="F3970" s="8" t="n">
        <v>0</v>
      </c>
    </row>
    <row r="3971" customFormat="false" ht="15" hidden="false" customHeight="true" outlineLevel="0" collapsed="false">
      <c r="A3971" s="8" t="s">
        <v>204</v>
      </c>
      <c r="B3971" s="8" t="s">
        <v>1179</v>
      </c>
      <c r="C3971" s="8" t="n">
        <v>1</v>
      </c>
      <c r="D3971" s="8" t="n">
        <v>72.34</v>
      </c>
      <c r="E3971" s="8" t="n">
        <v>0</v>
      </c>
      <c r="F3971" s="8" t="n">
        <v>0</v>
      </c>
    </row>
    <row r="3972" customFormat="false" ht="15" hidden="false" customHeight="true" outlineLevel="0" collapsed="false">
      <c r="A3972" s="8" t="s">
        <v>190</v>
      </c>
      <c r="B3972" s="8" t="s">
        <v>1224</v>
      </c>
      <c r="C3972" s="8" t="n">
        <v>3</v>
      </c>
      <c r="D3972" s="8" t="n">
        <v>73.29</v>
      </c>
      <c r="E3972" s="8" t="n">
        <v>2</v>
      </c>
      <c r="F3972" s="8" t="n">
        <v>48.86</v>
      </c>
    </row>
    <row r="3973" customFormat="false" ht="15" hidden="false" customHeight="true" outlineLevel="0" collapsed="false">
      <c r="A3973" s="8" t="s">
        <v>183</v>
      </c>
      <c r="B3973" s="8" t="s">
        <v>1224</v>
      </c>
      <c r="C3973" s="8" t="n">
        <v>4</v>
      </c>
      <c r="D3973" s="8" t="n">
        <v>97.72</v>
      </c>
      <c r="E3973" s="8" t="n">
        <v>2</v>
      </c>
      <c r="F3973" s="8" t="n">
        <v>48.86</v>
      </c>
    </row>
    <row r="3974" customFormat="false" ht="15" hidden="false" customHeight="true" outlineLevel="0" collapsed="false">
      <c r="A3974" s="8" t="s">
        <v>218</v>
      </c>
      <c r="B3974" s="8" t="s">
        <v>1224</v>
      </c>
      <c r="C3974" s="8" t="n">
        <v>0</v>
      </c>
      <c r="D3974" s="8" t="n">
        <v>0</v>
      </c>
      <c r="E3974" s="8" t="n">
        <v>2</v>
      </c>
      <c r="F3974" s="8" t="n">
        <v>48.86</v>
      </c>
    </row>
    <row r="3975" customFormat="false" ht="15" hidden="false" customHeight="true" outlineLevel="0" collapsed="false">
      <c r="A3975" s="8" t="s">
        <v>161</v>
      </c>
      <c r="B3975" s="8" t="s">
        <v>1208</v>
      </c>
      <c r="C3975" s="8" t="n">
        <v>11</v>
      </c>
      <c r="D3975" s="8" t="n">
        <v>500.5</v>
      </c>
      <c r="E3975" s="8" t="n">
        <v>3</v>
      </c>
      <c r="F3975" s="8" t="n">
        <v>136.5</v>
      </c>
    </row>
    <row r="3976" customFormat="false" ht="15" hidden="false" customHeight="true" outlineLevel="0" collapsed="false">
      <c r="A3976" s="8" t="s">
        <v>162</v>
      </c>
      <c r="B3976" s="8" t="s">
        <v>1209</v>
      </c>
      <c r="C3976" s="8" t="n">
        <v>3</v>
      </c>
      <c r="D3976" s="8" t="n">
        <v>233.4</v>
      </c>
      <c r="E3976" s="8" t="n">
        <v>0</v>
      </c>
      <c r="F3976" s="8" t="n">
        <v>0</v>
      </c>
    </row>
    <row r="3977" customFormat="false" ht="15" hidden="false" customHeight="true" outlineLevel="0" collapsed="false">
      <c r="A3977" s="8" t="s">
        <v>171</v>
      </c>
      <c r="B3977" s="8" t="s">
        <v>1210</v>
      </c>
      <c r="C3977" s="8" t="n">
        <v>3</v>
      </c>
      <c r="D3977" s="8" t="n">
        <v>141.69</v>
      </c>
      <c r="E3977" s="8" t="n">
        <v>0</v>
      </c>
      <c r="F3977" s="8" t="n">
        <v>0</v>
      </c>
    </row>
    <row r="3978" customFormat="false" ht="15" hidden="false" customHeight="true" outlineLevel="0" collapsed="false">
      <c r="A3978" s="8" t="s">
        <v>174</v>
      </c>
      <c r="B3978" s="8" t="s">
        <v>1210</v>
      </c>
      <c r="C3978" s="8" t="n">
        <v>1</v>
      </c>
      <c r="D3978" s="8" t="n">
        <v>47.23</v>
      </c>
      <c r="E3978" s="8" t="n">
        <v>0</v>
      </c>
      <c r="F3978" s="8" t="n">
        <v>0</v>
      </c>
    </row>
    <row r="3979" customFormat="false" ht="15" hidden="false" customHeight="true" outlineLevel="0" collapsed="false">
      <c r="A3979" s="8" t="s">
        <v>166</v>
      </c>
      <c r="B3979" s="8" t="s">
        <v>1211</v>
      </c>
      <c r="C3979" s="8" t="n">
        <v>1</v>
      </c>
      <c r="D3979" s="8" t="n">
        <v>63.27</v>
      </c>
      <c r="E3979" s="8" t="n">
        <v>0</v>
      </c>
      <c r="F3979" s="8" t="n">
        <v>0</v>
      </c>
    </row>
    <row r="3980" customFormat="false" ht="15" hidden="false" customHeight="true" outlineLevel="0" collapsed="false">
      <c r="A3980" s="8" t="s">
        <v>164</v>
      </c>
      <c r="B3980" s="8" t="s">
        <v>1211</v>
      </c>
      <c r="C3980" s="8" t="n">
        <v>1</v>
      </c>
      <c r="D3980" s="8" t="n">
        <v>63.27</v>
      </c>
      <c r="E3980" s="8" t="n">
        <v>1</v>
      </c>
      <c r="F3980" s="8" t="n">
        <v>63.27</v>
      </c>
    </row>
    <row r="3981" customFormat="false" ht="15" hidden="false" customHeight="true" outlineLevel="0" collapsed="false">
      <c r="A3981" s="8" t="s">
        <v>222</v>
      </c>
      <c r="B3981" s="8" t="s">
        <v>1211</v>
      </c>
      <c r="C3981" s="8" t="n">
        <v>2</v>
      </c>
      <c r="D3981" s="8" t="n">
        <v>126.54</v>
      </c>
      <c r="E3981" s="8" t="n">
        <v>0</v>
      </c>
      <c r="F3981" s="8" t="n">
        <v>0</v>
      </c>
    </row>
    <row r="3982" customFormat="false" ht="15" hidden="false" customHeight="true" outlineLevel="0" collapsed="false">
      <c r="A3982" s="8" t="s">
        <v>187</v>
      </c>
      <c r="B3982" s="8" t="s">
        <v>1211</v>
      </c>
      <c r="C3982" s="8" t="n">
        <v>1</v>
      </c>
      <c r="D3982" s="8" t="n">
        <v>63.27</v>
      </c>
      <c r="E3982" s="8" t="n">
        <v>0</v>
      </c>
      <c r="F3982" s="8" t="n">
        <v>0</v>
      </c>
    </row>
    <row r="3983" customFormat="false" ht="15" hidden="false" customHeight="true" outlineLevel="0" collapsed="false">
      <c r="A3983" s="8" t="s">
        <v>270</v>
      </c>
      <c r="B3983" s="8" t="s">
        <v>1251</v>
      </c>
      <c r="C3983" s="8" t="n">
        <v>3</v>
      </c>
      <c r="D3983" s="8" t="n">
        <v>29.46</v>
      </c>
      <c r="E3983" s="8" t="n">
        <v>0</v>
      </c>
      <c r="F3983" s="8" t="n">
        <v>0</v>
      </c>
    </row>
    <row r="3984" customFormat="false" ht="15" hidden="false" customHeight="true" outlineLevel="0" collapsed="false">
      <c r="A3984" s="8" t="s">
        <v>307</v>
      </c>
      <c r="B3984" s="8" t="s">
        <v>1252</v>
      </c>
      <c r="C3984" s="8" t="n">
        <v>3</v>
      </c>
      <c r="D3984" s="8" t="n">
        <v>42.84</v>
      </c>
      <c r="E3984" s="8" t="n">
        <v>0</v>
      </c>
      <c r="F3984" s="8" t="n">
        <v>0</v>
      </c>
    </row>
    <row r="3985" customFormat="false" ht="15" hidden="false" customHeight="true" outlineLevel="0" collapsed="false">
      <c r="A3985" s="8" t="s">
        <v>186</v>
      </c>
      <c r="B3985" s="8" t="s">
        <v>1225</v>
      </c>
      <c r="C3985" s="8" t="n">
        <v>2</v>
      </c>
      <c r="D3985" s="8" t="n">
        <v>57.86</v>
      </c>
      <c r="E3985" s="8" t="n">
        <v>0</v>
      </c>
      <c r="F3985" s="8" t="n">
        <v>0</v>
      </c>
    </row>
    <row r="3986" customFormat="false" ht="15" hidden="false" customHeight="true" outlineLevel="0" collapsed="false">
      <c r="A3986" s="8" t="s">
        <v>237</v>
      </c>
      <c r="B3986" s="8" t="s">
        <v>1259</v>
      </c>
      <c r="C3986" s="8" t="n">
        <v>6</v>
      </c>
      <c r="D3986" s="8" t="n">
        <v>110.7</v>
      </c>
      <c r="E3986" s="8" t="n">
        <v>0</v>
      </c>
      <c r="F3986" s="8" t="n">
        <v>0</v>
      </c>
    </row>
    <row r="3987" customFormat="false" ht="15" hidden="false" customHeight="true" outlineLevel="0" collapsed="false">
      <c r="A3987" s="8" t="s">
        <v>202</v>
      </c>
      <c r="B3987" s="8" t="s">
        <v>1212</v>
      </c>
      <c r="C3987" s="8" t="n">
        <v>8</v>
      </c>
      <c r="D3987" s="8" t="n">
        <v>76</v>
      </c>
      <c r="E3987" s="8" t="n">
        <v>3</v>
      </c>
      <c r="F3987" s="8" t="n">
        <v>28.5</v>
      </c>
    </row>
    <row r="3988" customFormat="false" ht="15" hidden="false" customHeight="true" outlineLevel="0" collapsed="false">
      <c r="A3988" s="8" t="s">
        <v>244</v>
      </c>
      <c r="B3988" s="8" t="s">
        <v>1213</v>
      </c>
      <c r="C3988" s="8" t="n">
        <v>1</v>
      </c>
      <c r="D3988" s="8" t="n">
        <v>9.5</v>
      </c>
      <c r="E3988" s="8" t="n">
        <v>3</v>
      </c>
      <c r="F3988" s="8" t="n">
        <v>28.5</v>
      </c>
    </row>
    <row r="3989" customFormat="false" ht="15" hidden="false" customHeight="true" outlineLevel="0" collapsed="false">
      <c r="A3989" s="8" t="s">
        <v>308</v>
      </c>
      <c r="B3989" s="8" t="s">
        <v>1229</v>
      </c>
      <c r="C3989" s="8" t="n">
        <v>2</v>
      </c>
      <c r="D3989" s="8" t="n">
        <v>16.16</v>
      </c>
      <c r="E3989" s="8" t="n">
        <v>0</v>
      </c>
      <c r="F3989" s="8" t="n">
        <v>0</v>
      </c>
    </row>
    <row r="3990" customFormat="false" ht="15" hidden="false" customHeight="true" outlineLevel="0" collapsed="false">
      <c r="A3990" s="8" t="s">
        <v>172</v>
      </c>
      <c r="B3990" s="8" t="s">
        <v>1214</v>
      </c>
      <c r="C3990" s="8" t="n">
        <v>9</v>
      </c>
      <c r="D3990" s="8" t="n">
        <v>109.62</v>
      </c>
      <c r="E3990" s="8" t="n">
        <v>4</v>
      </c>
      <c r="F3990" s="8" t="n">
        <v>48.72</v>
      </c>
    </row>
    <row r="3991" customFormat="false" ht="15" hidden="false" customHeight="true" outlineLevel="0" collapsed="false">
      <c r="A3991" s="8" t="s">
        <v>269</v>
      </c>
      <c r="B3991" s="8" t="s">
        <v>1231</v>
      </c>
      <c r="C3991" s="8" t="n">
        <v>2</v>
      </c>
      <c r="D3991" s="8" t="n">
        <v>22.66</v>
      </c>
      <c r="E3991" s="8" t="n">
        <v>0</v>
      </c>
      <c r="F3991" s="8" t="n">
        <v>0</v>
      </c>
    </row>
    <row r="3992" customFormat="false" ht="15" hidden="false" customHeight="true" outlineLevel="0" collapsed="false">
      <c r="A3992" s="8" t="s">
        <v>213</v>
      </c>
      <c r="B3992" s="8" t="s">
        <v>1232</v>
      </c>
      <c r="C3992" s="8" t="n">
        <v>3</v>
      </c>
      <c r="D3992" s="8" t="n">
        <v>82.65</v>
      </c>
      <c r="E3992" s="8" t="n">
        <v>2</v>
      </c>
      <c r="F3992" s="8" t="n">
        <v>55.1</v>
      </c>
    </row>
    <row r="3993" customFormat="false" ht="15" hidden="false" customHeight="true" outlineLevel="0" collapsed="false">
      <c r="A3993" s="8" t="s">
        <v>281</v>
      </c>
      <c r="B3993" s="8" t="s">
        <v>1254</v>
      </c>
      <c r="C3993" s="8" t="n">
        <v>0</v>
      </c>
      <c r="D3993" s="8" t="n">
        <v>0</v>
      </c>
      <c r="E3993" s="8" t="n">
        <v>2</v>
      </c>
      <c r="F3993" s="8" t="n">
        <v>27.68</v>
      </c>
    </row>
    <row r="3994" customFormat="false" ht="15" hidden="false" customHeight="true" outlineLevel="0" collapsed="false">
      <c r="A3994" s="8" t="s">
        <v>215</v>
      </c>
      <c r="B3994" s="8" t="s">
        <v>1233</v>
      </c>
      <c r="C3994" s="8" t="n">
        <v>2</v>
      </c>
      <c r="D3994" s="8" t="n">
        <v>35.64</v>
      </c>
      <c r="E3994" s="8" t="n">
        <v>0</v>
      </c>
      <c r="F3994" s="8" t="n">
        <v>0</v>
      </c>
    </row>
    <row r="3995" customFormat="false" ht="15" hidden="false" customHeight="true" outlineLevel="0" collapsed="false">
      <c r="A3995" s="8" t="s">
        <v>180</v>
      </c>
      <c r="B3995" s="8" t="s">
        <v>1216</v>
      </c>
      <c r="C3995" s="8" t="n">
        <v>5</v>
      </c>
      <c r="D3995" s="8" t="n">
        <v>82.5</v>
      </c>
      <c r="E3995" s="8" t="n">
        <v>2</v>
      </c>
      <c r="F3995" s="8" t="n">
        <v>33</v>
      </c>
    </row>
    <row r="3996" customFormat="false" ht="15" hidden="false" customHeight="true" outlineLevel="0" collapsed="false">
      <c r="A3996" s="8" t="s">
        <v>189</v>
      </c>
      <c r="B3996" s="8" t="s">
        <v>1216</v>
      </c>
      <c r="C3996" s="8" t="n">
        <v>2</v>
      </c>
      <c r="D3996" s="8" t="n">
        <v>33</v>
      </c>
      <c r="E3996" s="8" t="n">
        <v>2</v>
      </c>
      <c r="F3996" s="8" t="n">
        <v>33</v>
      </c>
    </row>
    <row r="3997" customFormat="false" ht="15" hidden="false" customHeight="true" outlineLevel="0" collapsed="false">
      <c r="A3997" s="8" t="s">
        <v>267</v>
      </c>
      <c r="B3997" s="8" t="s">
        <v>1216</v>
      </c>
      <c r="C3997" s="8" t="n">
        <v>0</v>
      </c>
      <c r="D3997" s="8" t="n">
        <v>0</v>
      </c>
      <c r="E3997" s="8" t="n">
        <v>2</v>
      </c>
      <c r="F3997" s="8" t="n">
        <v>33</v>
      </c>
    </row>
    <row r="3998" customFormat="false" ht="15" hidden="false" customHeight="true" outlineLevel="0" collapsed="false">
      <c r="A3998" s="8" t="s">
        <v>199</v>
      </c>
      <c r="B3998" s="8" t="s">
        <v>1216</v>
      </c>
      <c r="C3998" s="8" t="n">
        <v>4</v>
      </c>
      <c r="D3998" s="8" t="n">
        <v>66</v>
      </c>
      <c r="E3998" s="8" t="n">
        <v>2</v>
      </c>
      <c r="F3998" s="8" t="n">
        <v>33</v>
      </c>
    </row>
    <row r="3999" customFormat="false" ht="15" hidden="false" customHeight="true" outlineLevel="0" collapsed="false">
      <c r="A3999" s="8" t="s">
        <v>198</v>
      </c>
      <c r="B3999" s="8" t="s">
        <v>1217</v>
      </c>
      <c r="C3999" s="8" t="n">
        <v>2</v>
      </c>
      <c r="D3999" s="8" t="n">
        <v>41</v>
      </c>
      <c r="E3999" s="8" t="n">
        <v>0</v>
      </c>
      <c r="F3999" s="8" t="n">
        <v>0</v>
      </c>
    </row>
    <row r="4000" customFormat="false" ht="15" hidden="false" customHeight="true" outlineLevel="0" collapsed="false">
      <c r="A4000" s="8" t="s">
        <v>193</v>
      </c>
      <c r="B4000" s="8" t="s">
        <v>1217</v>
      </c>
      <c r="C4000" s="8" t="n">
        <v>2</v>
      </c>
      <c r="D4000" s="8" t="n">
        <v>41</v>
      </c>
      <c r="E4000" s="8" t="n">
        <v>0</v>
      </c>
      <c r="F4000" s="8" t="n">
        <v>0</v>
      </c>
    </row>
    <row r="4001" customFormat="false" ht="15" hidden="false" customHeight="true" outlineLevel="0" collapsed="false">
      <c r="A4001" s="8" t="s">
        <v>205</v>
      </c>
      <c r="B4001" s="8" t="s">
        <v>1217</v>
      </c>
      <c r="C4001" s="8" t="n">
        <v>2</v>
      </c>
      <c r="D4001" s="8" t="n">
        <v>41</v>
      </c>
      <c r="E4001" s="8" t="n">
        <v>2</v>
      </c>
      <c r="F4001" s="8" t="n">
        <v>41</v>
      </c>
    </row>
    <row r="4002" customFormat="false" ht="15" hidden="false" customHeight="true" outlineLevel="0" collapsed="false">
      <c r="A4002" s="8" t="s">
        <v>277</v>
      </c>
      <c r="B4002" s="8" t="s">
        <v>1285</v>
      </c>
      <c r="C4002" s="8" t="n">
        <v>2</v>
      </c>
      <c r="D4002" s="8" t="n">
        <v>272.6</v>
      </c>
      <c r="E4002" s="8" t="n">
        <v>0</v>
      </c>
      <c r="F4002" s="8" t="n">
        <v>0</v>
      </c>
    </row>
    <row r="4003" customFormat="false" ht="15" hidden="false" customHeight="true" outlineLevel="0" collapsed="false">
      <c r="A4003" s="8" t="s">
        <v>178</v>
      </c>
      <c r="B4003" s="8" t="s">
        <v>1236</v>
      </c>
      <c r="C4003" s="8" t="n">
        <v>2</v>
      </c>
      <c r="D4003" s="8" t="n">
        <v>70</v>
      </c>
      <c r="E4003" s="8" t="n">
        <v>0</v>
      </c>
      <c r="F4003" s="8" t="n">
        <v>0</v>
      </c>
    </row>
    <row r="4004" customFormat="false" ht="15" hidden="false" customHeight="true" outlineLevel="0" collapsed="false">
      <c r="A4004" s="8" t="s">
        <v>176</v>
      </c>
      <c r="B4004" s="8" t="s">
        <v>1236</v>
      </c>
      <c r="C4004" s="8" t="n">
        <v>2</v>
      </c>
      <c r="D4004" s="8" t="n">
        <v>70</v>
      </c>
      <c r="E4004" s="8" t="n">
        <v>1</v>
      </c>
      <c r="F4004" s="8" t="n">
        <v>35</v>
      </c>
    </row>
    <row r="4005" customFormat="false" ht="15" hidden="false" customHeight="true" outlineLevel="0" collapsed="false">
      <c r="A4005" s="8" t="s">
        <v>235</v>
      </c>
      <c r="B4005" s="8" t="s">
        <v>1236</v>
      </c>
      <c r="C4005" s="8" t="n">
        <v>3</v>
      </c>
      <c r="D4005" s="8" t="n">
        <v>105</v>
      </c>
      <c r="E4005" s="8" t="n">
        <v>0</v>
      </c>
      <c r="F4005" s="8" t="n">
        <v>0</v>
      </c>
    </row>
    <row r="4006" customFormat="false" ht="15" hidden="false" customHeight="true" outlineLevel="0" collapsed="false">
      <c r="A4006" s="8" t="s">
        <v>240</v>
      </c>
      <c r="B4006" s="8" t="s">
        <v>769</v>
      </c>
      <c r="C4006" s="8" t="n">
        <v>3</v>
      </c>
      <c r="D4006" s="8" t="n">
        <v>51</v>
      </c>
      <c r="E4006" s="8" t="n">
        <v>0</v>
      </c>
      <c r="F4006" s="8" t="n">
        <v>0</v>
      </c>
    </row>
    <row r="4007" customFormat="false" ht="15" hidden="false" customHeight="true" outlineLevel="0" collapsed="false">
      <c r="A4007" s="8" t="s">
        <v>234</v>
      </c>
      <c r="B4007" s="8" t="s">
        <v>769</v>
      </c>
      <c r="C4007" s="8" t="n">
        <v>1</v>
      </c>
      <c r="D4007" s="8" t="n">
        <v>17</v>
      </c>
      <c r="E4007" s="8" t="n">
        <v>1</v>
      </c>
      <c r="F4007" s="8" t="n">
        <v>17</v>
      </c>
    </row>
    <row r="4008" customFormat="false" ht="15" hidden="false" customHeight="true" outlineLevel="0" collapsed="false">
      <c r="A4008" s="8" t="s">
        <v>247</v>
      </c>
      <c r="B4008" s="8" t="s">
        <v>769</v>
      </c>
      <c r="C4008" s="8" t="n">
        <v>0</v>
      </c>
      <c r="D4008" s="8" t="n">
        <v>0</v>
      </c>
      <c r="E4008" s="8" t="n">
        <v>2</v>
      </c>
      <c r="F4008" s="8" t="n">
        <v>34</v>
      </c>
    </row>
    <row r="4009" customFormat="false" ht="15" hidden="false" customHeight="true" outlineLevel="0" collapsed="false">
      <c r="A4009" s="8" t="s">
        <v>300</v>
      </c>
      <c r="B4009" s="8" t="s">
        <v>769</v>
      </c>
      <c r="C4009" s="8" t="n">
        <v>0</v>
      </c>
      <c r="D4009" s="8" t="n">
        <v>0</v>
      </c>
      <c r="E4009" s="8" t="n">
        <v>1</v>
      </c>
      <c r="F4009" s="8" t="n">
        <v>17</v>
      </c>
    </row>
    <row r="4010" customFormat="false" ht="15" hidden="false" customHeight="true" outlineLevel="0" collapsed="false">
      <c r="A4010" s="8" t="s">
        <v>182</v>
      </c>
      <c r="B4010" s="8" t="s">
        <v>799</v>
      </c>
      <c r="C4010" s="8" t="n">
        <v>3</v>
      </c>
      <c r="D4010" s="8" t="n">
        <v>60</v>
      </c>
      <c r="E4010" s="8" t="n">
        <v>4</v>
      </c>
      <c r="F4010" s="8" t="n">
        <v>80</v>
      </c>
    </row>
    <row r="4011" customFormat="false" ht="15" hidden="false" customHeight="true" outlineLevel="0" collapsed="false">
      <c r="A4011" s="8" t="s">
        <v>274</v>
      </c>
      <c r="B4011" s="8" t="s">
        <v>1219</v>
      </c>
      <c r="C4011" s="8" t="n">
        <v>1</v>
      </c>
      <c r="D4011" s="8" t="n">
        <v>8.73</v>
      </c>
      <c r="E4011" s="8" t="n">
        <v>0</v>
      </c>
      <c r="F4011" s="8" t="n">
        <v>0</v>
      </c>
    </row>
    <row r="4012" customFormat="false" ht="15" hidden="false" customHeight="true" outlineLevel="0" collapsed="false">
      <c r="A4012" s="8" t="s">
        <v>170</v>
      </c>
      <c r="B4012" s="8" t="s">
        <v>1220</v>
      </c>
      <c r="C4012" s="8" t="n">
        <v>6</v>
      </c>
      <c r="D4012" s="8" t="n">
        <v>88.8</v>
      </c>
      <c r="E4012" s="8" t="n">
        <v>0</v>
      </c>
      <c r="F4012" s="8" t="n">
        <v>0</v>
      </c>
    </row>
    <row r="4013" customFormat="false" ht="15" hidden="false" customHeight="true" outlineLevel="0" collapsed="false">
      <c r="A4013" s="8" t="s">
        <v>220</v>
      </c>
      <c r="B4013" s="8" t="s">
        <v>1248</v>
      </c>
      <c r="C4013" s="8" t="n">
        <v>3</v>
      </c>
      <c r="D4013" s="8" t="n">
        <v>31.2</v>
      </c>
      <c r="E4013" s="8" t="n">
        <v>3</v>
      </c>
      <c r="F4013" s="8" t="n">
        <v>31.2</v>
      </c>
    </row>
    <row r="4014" customFormat="false" ht="15" hidden="false" customHeight="true" outlineLevel="0" collapsed="false">
      <c r="A4014" s="8" t="s">
        <v>203</v>
      </c>
      <c r="B4014" s="8" t="s">
        <v>1177</v>
      </c>
      <c r="C4014" s="8" t="n">
        <v>5</v>
      </c>
      <c r="D4014" s="8" t="n">
        <v>92.5</v>
      </c>
      <c r="E4014" s="8" t="n">
        <v>2</v>
      </c>
      <c r="F4014" s="8" t="n">
        <v>37</v>
      </c>
    </row>
    <row r="4015" customFormat="false" ht="15" hidden="false" customHeight="true" outlineLevel="0" collapsed="false">
      <c r="A4015" s="8" t="s">
        <v>211</v>
      </c>
      <c r="B4015" s="8" t="s">
        <v>1250</v>
      </c>
      <c r="C4015" s="8" t="n">
        <v>2</v>
      </c>
      <c r="D4015" s="8" t="n">
        <v>50</v>
      </c>
      <c r="E4015" s="8" t="n">
        <v>4</v>
      </c>
      <c r="F4015" s="8" t="n">
        <v>100</v>
      </c>
    </row>
    <row r="4016" customFormat="false" ht="15" hidden="false" customHeight="true" outlineLevel="0" collapsed="false">
      <c r="A4016" s="8" t="s">
        <v>226</v>
      </c>
      <c r="B4016" s="8" t="s">
        <v>566</v>
      </c>
      <c r="C4016" s="8" t="n">
        <v>3</v>
      </c>
      <c r="D4016" s="8" t="n">
        <v>62.4</v>
      </c>
      <c r="E4016" s="8" t="n">
        <v>2</v>
      </c>
      <c r="F4016" s="8" t="n">
        <v>41.6</v>
      </c>
    </row>
    <row r="4017" customFormat="false" ht="15" hidden="false" customHeight="true" outlineLevel="0" collapsed="false">
      <c r="A4017" s="8" t="s">
        <v>163</v>
      </c>
      <c r="B4017" s="8" t="s">
        <v>897</v>
      </c>
      <c r="C4017" s="8" t="n">
        <v>6</v>
      </c>
      <c r="D4017" s="8" t="n">
        <v>390</v>
      </c>
      <c r="E4017" s="8" t="n">
        <v>0</v>
      </c>
      <c r="F4017" s="8" t="n">
        <v>0</v>
      </c>
    </row>
    <row r="4018" customFormat="false" ht="15" hidden="false" customHeight="true" outlineLevel="0" collapsed="false">
      <c r="A4018" s="8" t="s">
        <v>165</v>
      </c>
      <c r="B4018" s="8" t="s">
        <v>897</v>
      </c>
      <c r="C4018" s="8" t="n">
        <v>7</v>
      </c>
      <c r="D4018" s="8" t="n">
        <v>455</v>
      </c>
      <c r="E4018" s="8" t="n">
        <v>0</v>
      </c>
      <c r="F4018" s="8" t="n">
        <v>0</v>
      </c>
    </row>
    <row r="4019" customFormat="false" ht="15" hidden="false" customHeight="true" outlineLevel="0" collapsed="false">
      <c r="A4019" s="8" t="s">
        <v>173</v>
      </c>
      <c r="B4019" s="8" t="s">
        <v>1244</v>
      </c>
      <c r="C4019" s="8" t="n">
        <v>3</v>
      </c>
      <c r="D4019" s="8" t="n">
        <v>526.5</v>
      </c>
      <c r="E4019" s="8" t="n">
        <v>0</v>
      </c>
      <c r="F4019" s="8" t="n">
        <v>0</v>
      </c>
    </row>
    <row r="4020" customFormat="false" ht="15" hidden="false" customHeight="true" outlineLevel="0" collapsed="false">
      <c r="A4020" s="8" t="s">
        <v>177</v>
      </c>
      <c r="B4020" s="8" t="s">
        <v>1244</v>
      </c>
      <c r="C4020" s="8" t="n">
        <v>7</v>
      </c>
      <c r="D4020" s="8" t="n">
        <v>1228.5</v>
      </c>
      <c r="E4020" s="8" t="n">
        <v>0</v>
      </c>
      <c r="F4020" s="8" t="n">
        <v>0</v>
      </c>
    </row>
    <row r="4021" customFormat="false" ht="15" hidden="false" customHeight="true" outlineLevel="0" collapsed="false">
      <c r="A4021" s="8" t="s">
        <v>208</v>
      </c>
      <c r="B4021" s="8" t="s">
        <v>1179</v>
      </c>
      <c r="C4021" s="8" t="n">
        <v>2</v>
      </c>
      <c r="D4021" s="8" t="n">
        <v>144.68</v>
      </c>
      <c r="E4021" s="8" t="n">
        <v>0</v>
      </c>
      <c r="F4021" s="8" t="n">
        <v>0</v>
      </c>
    </row>
    <row r="4022" customFormat="false" ht="15" hidden="false" customHeight="true" outlineLevel="0" collapsed="false">
      <c r="A4022" s="8" t="s">
        <v>221</v>
      </c>
      <c r="B4022" s="8" t="s">
        <v>1179</v>
      </c>
      <c r="C4022" s="8" t="n">
        <v>4</v>
      </c>
      <c r="D4022" s="8" t="n">
        <v>289.36</v>
      </c>
      <c r="E4022" s="8" t="n">
        <v>0</v>
      </c>
      <c r="F4022" s="8" t="n">
        <v>0</v>
      </c>
    </row>
    <row r="4023" customFormat="false" ht="15" hidden="false" customHeight="true" outlineLevel="0" collapsed="false">
      <c r="A4023" s="8" t="s">
        <v>191</v>
      </c>
      <c r="B4023" s="8" t="s">
        <v>1179</v>
      </c>
      <c r="C4023" s="8" t="n">
        <v>2</v>
      </c>
      <c r="D4023" s="8" t="n">
        <v>144.68</v>
      </c>
      <c r="E4023" s="8" t="n">
        <v>0</v>
      </c>
      <c r="F4023" s="8" t="n">
        <v>0</v>
      </c>
    </row>
    <row r="4024" customFormat="false" ht="15" hidden="false" customHeight="true" outlineLevel="0" collapsed="false">
      <c r="A4024" s="8" t="s">
        <v>204</v>
      </c>
      <c r="B4024" s="8" t="s">
        <v>1179</v>
      </c>
      <c r="C4024" s="8" t="n">
        <v>3</v>
      </c>
      <c r="D4024" s="8" t="n">
        <v>217.02</v>
      </c>
      <c r="E4024" s="8" t="n">
        <v>0</v>
      </c>
      <c r="F4024" s="8" t="n">
        <v>0</v>
      </c>
    </row>
    <row r="4025" customFormat="false" ht="15" hidden="false" customHeight="true" outlineLevel="0" collapsed="false">
      <c r="A4025" s="8" t="s">
        <v>190</v>
      </c>
      <c r="B4025" s="8" t="s">
        <v>1224</v>
      </c>
      <c r="C4025" s="8" t="n">
        <v>7</v>
      </c>
      <c r="D4025" s="8" t="n">
        <v>171.01</v>
      </c>
      <c r="E4025" s="8" t="n">
        <v>0</v>
      </c>
      <c r="F4025" s="8" t="n">
        <v>0</v>
      </c>
    </row>
    <row r="4026" customFormat="false" ht="15" hidden="false" customHeight="true" outlineLevel="0" collapsed="false">
      <c r="A4026" s="8" t="s">
        <v>183</v>
      </c>
      <c r="B4026" s="8" t="s">
        <v>1224</v>
      </c>
      <c r="C4026" s="8" t="n">
        <v>7</v>
      </c>
      <c r="D4026" s="8" t="n">
        <v>171.01</v>
      </c>
      <c r="E4026" s="8" t="n">
        <v>0</v>
      </c>
      <c r="F4026" s="8" t="n">
        <v>0</v>
      </c>
    </row>
    <row r="4027" customFormat="false" ht="15" hidden="false" customHeight="true" outlineLevel="0" collapsed="false">
      <c r="A4027" s="8" t="s">
        <v>218</v>
      </c>
      <c r="B4027" s="8" t="s">
        <v>1224</v>
      </c>
      <c r="C4027" s="8" t="n">
        <v>7</v>
      </c>
      <c r="D4027" s="8" t="n">
        <v>171.01</v>
      </c>
      <c r="E4027" s="8" t="n">
        <v>0</v>
      </c>
      <c r="F4027" s="8" t="n">
        <v>0</v>
      </c>
    </row>
    <row r="4028" customFormat="false" ht="15" hidden="false" customHeight="true" outlineLevel="0" collapsed="false">
      <c r="A4028" s="8" t="s">
        <v>231</v>
      </c>
      <c r="B4028" s="8" t="s">
        <v>1224</v>
      </c>
      <c r="C4028" s="8" t="n">
        <v>7</v>
      </c>
      <c r="D4028" s="8" t="n">
        <v>171.01</v>
      </c>
      <c r="E4028" s="8" t="n">
        <v>0</v>
      </c>
      <c r="F4028" s="8" t="n">
        <v>0</v>
      </c>
    </row>
    <row r="4029" customFormat="false" ht="15" hidden="false" customHeight="true" outlineLevel="0" collapsed="false">
      <c r="A4029" s="8" t="s">
        <v>161</v>
      </c>
      <c r="B4029" s="8" t="s">
        <v>1208</v>
      </c>
      <c r="C4029" s="8" t="n">
        <v>3</v>
      </c>
      <c r="D4029" s="8" t="n">
        <v>136.5</v>
      </c>
      <c r="E4029" s="8" t="n">
        <v>0</v>
      </c>
      <c r="F4029" s="8" t="n">
        <v>0</v>
      </c>
    </row>
    <row r="4030" customFormat="false" ht="15" hidden="false" customHeight="true" outlineLevel="0" collapsed="false">
      <c r="A4030" s="8" t="s">
        <v>162</v>
      </c>
      <c r="B4030" s="8" t="s">
        <v>1209</v>
      </c>
      <c r="C4030" s="8" t="n">
        <v>16</v>
      </c>
      <c r="D4030" s="8" t="n">
        <v>1244.8</v>
      </c>
      <c r="E4030" s="8" t="n">
        <v>0</v>
      </c>
      <c r="F4030" s="8" t="n">
        <v>0</v>
      </c>
    </row>
    <row r="4031" customFormat="false" ht="15" hidden="false" customHeight="true" outlineLevel="0" collapsed="false">
      <c r="A4031" s="8" t="s">
        <v>174</v>
      </c>
      <c r="B4031" s="8" t="s">
        <v>1210</v>
      </c>
      <c r="C4031" s="8" t="n">
        <v>1</v>
      </c>
      <c r="D4031" s="8" t="n">
        <v>47.23</v>
      </c>
      <c r="E4031" s="8" t="n">
        <v>0</v>
      </c>
      <c r="F4031" s="8" t="n">
        <v>0</v>
      </c>
    </row>
    <row r="4032" customFormat="false" ht="15" hidden="false" customHeight="true" outlineLevel="0" collapsed="false">
      <c r="A4032" s="8" t="s">
        <v>166</v>
      </c>
      <c r="B4032" s="8" t="s">
        <v>1211</v>
      </c>
      <c r="C4032" s="8" t="n">
        <v>3</v>
      </c>
      <c r="D4032" s="8" t="n">
        <v>189.81</v>
      </c>
      <c r="E4032" s="8" t="n">
        <v>0</v>
      </c>
      <c r="F4032" s="8" t="n">
        <v>0</v>
      </c>
    </row>
    <row r="4033" customFormat="false" ht="15" hidden="false" customHeight="true" outlineLevel="0" collapsed="false">
      <c r="A4033" s="8" t="s">
        <v>164</v>
      </c>
      <c r="B4033" s="8" t="s">
        <v>1211</v>
      </c>
      <c r="C4033" s="8" t="n">
        <v>3</v>
      </c>
      <c r="D4033" s="8" t="n">
        <v>189.81</v>
      </c>
      <c r="E4033" s="8" t="n">
        <v>0</v>
      </c>
      <c r="F4033" s="8" t="n">
        <v>0</v>
      </c>
    </row>
    <row r="4034" customFormat="false" ht="15" hidden="false" customHeight="true" outlineLevel="0" collapsed="false">
      <c r="A4034" s="8" t="s">
        <v>187</v>
      </c>
      <c r="B4034" s="8" t="s">
        <v>1211</v>
      </c>
      <c r="C4034" s="8" t="n">
        <v>3</v>
      </c>
      <c r="D4034" s="8" t="n">
        <v>189.81</v>
      </c>
      <c r="E4034" s="8" t="n">
        <v>0</v>
      </c>
      <c r="F4034" s="8" t="n">
        <v>0</v>
      </c>
    </row>
    <row r="4035" customFormat="false" ht="15" hidden="false" customHeight="true" outlineLevel="0" collapsed="false">
      <c r="A4035" s="8" t="s">
        <v>241</v>
      </c>
      <c r="B4035" s="8" t="s">
        <v>1227</v>
      </c>
      <c r="C4035" s="8" t="n">
        <v>0</v>
      </c>
      <c r="D4035" s="8" t="n">
        <v>0</v>
      </c>
      <c r="E4035" s="8" t="n">
        <v>13</v>
      </c>
      <c r="F4035" s="8" t="n">
        <v>221</v>
      </c>
    </row>
    <row r="4036" customFormat="false" ht="15" hidden="false" customHeight="true" outlineLevel="0" collapsed="false">
      <c r="A4036" s="8" t="s">
        <v>219</v>
      </c>
      <c r="B4036" s="8" t="s">
        <v>1227</v>
      </c>
      <c r="C4036" s="8" t="n">
        <v>0</v>
      </c>
      <c r="D4036" s="8" t="n">
        <v>0</v>
      </c>
      <c r="E4036" s="8" t="n">
        <v>13</v>
      </c>
      <c r="F4036" s="8" t="n">
        <v>221</v>
      </c>
    </row>
    <row r="4037" customFormat="false" ht="15" hidden="false" customHeight="true" outlineLevel="0" collapsed="false">
      <c r="A4037" s="8" t="s">
        <v>223</v>
      </c>
      <c r="B4037" s="8" t="s">
        <v>1227</v>
      </c>
      <c r="C4037" s="8" t="n">
        <v>1</v>
      </c>
      <c r="D4037" s="8" t="n">
        <v>17</v>
      </c>
      <c r="E4037" s="8" t="n">
        <v>0</v>
      </c>
      <c r="F4037" s="8" t="n">
        <v>0</v>
      </c>
    </row>
    <row r="4038" customFormat="false" ht="15" hidden="false" customHeight="true" outlineLevel="0" collapsed="false">
      <c r="A4038" s="8" t="s">
        <v>244</v>
      </c>
      <c r="B4038" s="8" t="s">
        <v>1213</v>
      </c>
      <c r="C4038" s="8" t="n">
        <v>6</v>
      </c>
      <c r="D4038" s="8" t="n">
        <v>57</v>
      </c>
      <c r="E4038" s="8" t="n">
        <v>0</v>
      </c>
      <c r="F4038" s="8" t="n">
        <v>0</v>
      </c>
    </row>
    <row r="4039" customFormat="false" ht="15" hidden="false" customHeight="true" outlineLevel="0" collapsed="false">
      <c r="A4039" s="8" t="s">
        <v>308</v>
      </c>
      <c r="B4039" s="8" t="s">
        <v>1229</v>
      </c>
      <c r="C4039" s="8" t="n">
        <v>6</v>
      </c>
      <c r="D4039" s="8" t="n">
        <v>48.48</v>
      </c>
      <c r="E4039" s="8" t="n">
        <v>0</v>
      </c>
      <c r="F4039" s="8" t="n">
        <v>0</v>
      </c>
    </row>
    <row r="4040" customFormat="false" ht="15" hidden="false" customHeight="true" outlineLevel="0" collapsed="false">
      <c r="A4040" s="8" t="s">
        <v>172</v>
      </c>
      <c r="B4040" s="8" t="s">
        <v>1214</v>
      </c>
      <c r="C4040" s="8" t="n">
        <v>4</v>
      </c>
      <c r="D4040" s="8" t="n">
        <v>48.72</v>
      </c>
      <c r="E4040" s="8" t="n">
        <v>3</v>
      </c>
      <c r="F4040" s="8" t="n">
        <v>36.54</v>
      </c>
    </row>
    <row r="4041" customFormat="false" ht="15" hidden="false" customHeight="true" outlineLevel="0" collapsed="false">
      <c r="A4041" s="8" t="s">
        <v>232</v>
      </c>
      <c r="B4041" s="8" t="s">
        <v>1233</v>
      </c>
      <c r="C4041" s="8" t="n">
        <v>7</v>
      </c>
      <c r="D4041" s="8" t="n">
        <v>113.4</v>
      </c>
      <c r="E4041" s="8" t="n">
        <v>0</v>
      </c>
      <c r="F4041" s="8" t="n">
        <v>0</v>
      </c>
    </row>
    <row r="4042" customFormat="false" ht="15" hidden="false" customHeight="true" outlineLevel="0" collapsed="false">
      <c r="A4042" s="8" t="s">
        <v>215</v>
      </c>
      <c r="B4042" s="8" t="s">
        <v>1233</v>
      </c>
      <c r="C4042" s="8" t="n">
        <v>16</v>
      </c>
      <c r="D4042" s="8" t="n">
        <v>285.12</v>
      </c>
      <c r="E4042" s="8" t="n">
        <v>0</v>
      </c>
      <c r="F4042" s="8" t="n">
        <v>0</v>
      </c>
    </row>
    <row r="4043" customFormat="false" ht="15" hidden="false" customHeight="true" outlineLevel="0" collapsed="false">
      <c r="A4043" s="8" t="s">
        <v>180</v>
      </c>
      <c r="B4043" s="8" t="s">
        <v>1216</v>
      </c>
      <c r="C4043" s="8" t="n">
        <v>12</v>
      </c>
      <c r="D4043" s="8" t="n">
        <v>198</v>
      </c>
      <c r="E4043" s="8" t="n">
        <v>0</v>
      </c>
      <c r="F4043" s="8" t="n">
        <v>0</v>
      </c>
    </row>
    <row r="4044" customFormat="false" ht="15" hidden="false" customHeight="true" outlineLevel="0" collapsed="false">
      <c r="A4044" s="8" t="s">
        <v>189</v>
      </c>
      <c r="B4044" s="8" t="s">
        <v>1216</v>
      </c>
      <c r="C4044" s="8" t="n">
        <v>7</v>
      </c>
      <c r="D4044" s="8" t="n">
        <v>115.5</v>
      </c>
      <c r="E4044" s="8" t="n">
        <v>0</v>
      </c>
      <c r="F4044" s="8" t="n">
        <v>0</v>
      </c>
    </row>
    <row r="4045" customFormat="false" ht="15" hidden="false" customHeight="true" outlineLevel="0" collapsed="false">
      <c r="A4045" s="8" t="s">
        <v>205</v>
      </c>
      <c r="B4045" s="8" t="s">
        <v>1217</v>
      </c>
      <c r="C4045" s="8" t="n">
        <v>1</v>
      </c>
      <c r="D4045" s="8" t="n">
        <v>20.5</v>
      </c>
      <c r="E4045" s="8" t="n">
        <v>0</v>
      </c>
      <c r="F4045" s="8" t="n">
        <v>0</v>
      </c>
    </row>
    <row r="4046" customFormat="false" ht="15" hidden="false" customHeight="true" outlineLevel="0" collapsed="false">
      <c r="A4046" s="8" t="s">
        <v>178</v>
      </c>
      <c r="B4046" s="8" t="s">
        <v>1236</v>
      </c>
      <c r="C4046" s="8" t="n">
        <v>0</v>
      </c>
      <c r="D4046" s="8" t="n">
        <v>0</v>
      </c>
      <c r="E4046" s="8" t="n">
        <v>4</v>
      </c>
      <c r="F4046" s="8" t="n">
        <v>140</v>
      </c>
    </row>
    <row r="4047" customFormat="false" ht="15" hidden="false" customHeight="true" outlineLevel="0" collapsed="false">
      <c r="A4047" s="8" t="s">
        <v>240</v>
      </c>
      <c r="B4047" s="8" t="s">
        <v>769</v>
      </c>
      <c r="C4047" s="8" t="n">
        <v>0</v>
      </c>
      <c r="D4047" s="8" t="n">
        <v>0</v>
      </c>
      <c r="E4047" s="8" t="n">
        <v>5</v>
      </c>
      <c r="F4047" s="8" t="n">
        <v>85</v>
      </c>
    </row>
    <row r="4048" customFormat="false" ht="15" hidden="false" customHeight="true" outlineLevel="0" collapsed="false">
      <c r="A4048" s="8" t="s">
        <v>234</v>
      </c>
      <c r="B4048" s="8" t="s">
        <v>769</v>
      </c>
      <c r="C4048" s="8" t="n">
        <v>0</v>
      </c>
      <c r="D4048" s="8" t="n">
        <v>0</v>
      </c>
      <c r="E4048" s="8" t="n">
        <v>5</v>
      </c>
      <c r="F4048" s="8" t="n">
        <v>85</v>
      </c>
    </row>
    <row r="4049" customFormat="false" ht="15" hidden="false" customHeight="true" outlineLevel="0" collapsed="false">
      <c r="A4049" s="8" t="s">
        <v>175</v>
      </c>
      <c r="B4049" s="8" t="s">
        <v>1244</v>
      </c>
      <c r="C4049" s="8" t="n">
        <v>0</v>
      </c>
      <c r="D4049" s="8" t="n">
        <v>0</v>
      </c>
      <c r="E4049" s="8" t="n">
        <v>2</v>
      </c>
      <c r="F4049" s="8" t="n">
        <v>351</v>
      </c>
    </row>
    <row r="4050" customFormat="false" ht="15" hidden="false" customHeight="true" outlineLevel="0" collapsed="false">
      <c r="A4050" s="8" t="s">
        <v>163</v>
      </c>
      <c r="B4050" s="8" t="s">
        <v>897</v>
      </c>
      <c r="C4050" s="8" t="n">
        <v>0</v>
      </c>
      <c r="D4050" s="8" t="n">
        <v>0</v>
      </c>
      <c r="E4050" s="8" t="n">
        <v>2</v>
      </c>
      <c r="F4050" s="8" t="n">
        <v>312.36</v>
      </c>
    </row>
    <row r="4051" customFormat="false" ht="15" hidden="false" customHeight="true" outlineLevel="0" collapsed="false">
      <c r="A4051" s="8" t="s">
        <v>181</v>
      </c>
      <c r="B4051" s="8" t="s">
        <v>897</v>
      </c>
      <c r="C4051" s="8" t="n">
        <v>0</v>
      </c>
      <c r="D4051" s="8" t="n">
        <v>0</v>
      </c>
      <c r="E4051" s="8" t="n">
        <v>2</v>
      </c>
      <c r="F4051" s="8" t="n">
        <v>312.36</v>
      </c>
    </row>
    <row r="4052" customFormat="false" ht="15" hidden="false" customHeight="true" outlineLevel="0" collapsed="false">
      <c r="A4052" s="8" t="s">
        <v>290</v>
      </c>
      <c r="B4052" s="8" t="s">
        <v>897</v>
      </c>
      <c r="C4052" s="8" t="n">
        <v>0</v>
      </c>
      <c r="D4052" s="8" t="n">
        <v>0</v>
      </c>
      <c r="E4052" s="8" t="n">
        <v>2</v>
      </c>
      <c r="F4052" s="8" t="n">
        <v>312.36</v>
      </c>
    </row>
    <row r="4053" customFormat="false" ht="15" hidden="false" customHeight="true" outlineLevel="0" collapsed="false">
      <c r="A4053" s="8" t="s">
        <v>165</v>
      </c>
      <c r="B4053" s="8" t="s">
        <v>897</v>
      </c>
      <c r="C4053" s="8" t="n">
        <v>0</v>
      </c>
      <c r="D4053" s="8" t="n">
        <v>0</v>
      </c>
      <c r="E4053" s="8" t="n">
        <v>2</v>
      </c>
      <c r="F4053" s="8" t="n">
        <v>312.36</v>
      </c>
    </row>
    <row r="4054" customFormat="false" ht="15" hidden="false" customHeight="true" outlineLevel="0" collapsed="false">
      <c r="A4054" s="8" t="s">
        <v>184</v>
      </c>
      <c r="B4054" s="8" t="s">
        <v>897</v>
      </c>
      <c r="C4054" s="8" t="n">
        <v>0</v>
      </c>
      <c r="D4054" s="8" t="n">
        <v>0</v>
      </c>
      <c r="E4054" s="8" t="n">
        <v>2</v>
      </c>
      <c r="F4054" s="8" t="n">
        <v>312.36</v>
      </c>
    </row>
    <row r="4055" customFormat="false" ht="15" hidden="false" customHeight="true" outlineLevel="0" collapsed="false">
      <c r="A4055" s="8" t="s">
        <v>166</v>
      </c>
      <c r="B4055" s="8" t="s">
        <v>1211</v>
      </c>
      <c r="C4055" s="8" t="n">
        <v>0</v>
      </c>
      <c r="D4055" s="8" t="n">
        <v>0</v>
      </c>
      <c r="E4055" s="8" t="n">
        <v>2</v>
      </c>
      <c r="F4055" s="8" t="n">
        <v>246.12</v>
      </c>
    </row>
    <row r="4056" customFormat="false" ht="15" hidden="false" customHeight="true" outlineLevel="0" collapsed="false">
      <c r="A4056" s="8" t="s">
        <v>164</v>
      </c>
      <c r="B4056" s="8" t="s">
        <v>1211</v>
      </c>
      <c r="C4056" s="8" t="n">
        <v>0</v>
      </c>
      <c r="D4056" s="8" t="n">
        <v>0</v>
      </c>
      <c r="E4056" s="8" t="n">
        <v>2</v>
      </c>
      <c r="F4056" s="8" t="n">
        <v>246.12</v>
      </c>
    </row>
    <row r="4057" customFormat="false" ht="15" hidden="false" customHeight="true" outlineLevel="0" collapsed="false">
      <c r="A4057" s="8" t="s">
        <v>222</v>
      </c>
      <c r="B4057" s="8" t="s">
        <v>1211</v>
      </c>
      <c r="C4057" s="8" t="n">
        <v>0</v>
      </c>
      <c r="D4057" s="8" t="n">
        <v>0</v>
      </c>
      <c r="E4057" s="8" t="n">
        <v>2</v>
      </c>
      <c r="F4057" s="8" t="n">
        <v>246.12</v>
      </c>
    </row>
    <row r="4058" customFormat="false" ht="15" hidden="false" customHeight="true" outlineLevel="0" collapsed="false">
      <c r="A4058" s="8" t="s">
        <v>187</v>
      </c>
      <c r="B4058" s="8" t="s">
        <v>1211</v>
      </c>
      <c r="C4058" s="8" t="n">
        <v>0</v>
      </c>
      <c r="D4058" s="8" t="n">
        <v>0</v>
      </c>
      <c r="E4058" s="8" t="n">
        <v>2</v>
      </c>
      <c r="F4058" s="8" t="n">
        <v>246.12</v>
      </c>
    </row>
    <row r="4059" customFormat="false" ht="15" hidden="false" customHeight="true" outlineLevel="0" collapsed="false">
      <c r="A4059" s="8" t="s">
        <v>172</v>
      </c>
      <c r="B4059" s="8" t="s">
        <v>1214</v>
      </c>
      <c r="C4059" s="8" t="n">
        <v>0</v>
      </c>
      <c r="D4059" s="8" t="n">
        <v>0</v>
      </c>
      <c r="E4059" s="8" t="n">
        <v>3</v>
      </c>
      <c r="F4059" s="8" t="n">
        <v>74.82</v>
      </c>
    </row>
    <row r="4060" customFormat="false" ht="15" hidden="false" customHeight="true" outlineLevel="0" collapsed="false">
      <c r="A4060" s="8" t="s">
        <v>182</v>
      </c>
      <c r="B4060" s="8" t="s">
        <v>799</v>
      </c>
      <c r="C4060" s="8" t="n">
        <v>0</v>
      </c>
      <c r="D4060" s="8" t="n">
        <v>0</v>
      </c>
      <c r="E4060" s="8" t="n">
        <v>3</v>
      </c>
      <c r="F4060" s="8" t="n">
        <v>168.54</v>
      </c>
    </row>
    <row r="4061" customFormat="false" ht="15" hidden="false" customHeight="true" outlineLevel="0" collapsed="false">
      <c r="A4061" s="8" t="s">
        <v>170</v>
      </c>
      <c r="B4061" s="8" t="s">
        <v>1220</v>
      </c>
      <c r="C4061" s="8" t="n">
        <v>0</v>
      </c>
      <c r="D4061" s="8" t="n">
        <v>0</v>
      </c>
      <c r="E4061" s="8" t="n">
        <v>6</v>
      </c>
      <c r="F4061" s="8" t="n">
        <v>172.14</v>
      </c>
    </row>
    <row r="4062" customFormat="false" ht="15" hidden="false" customHeight="true" outlineLevel="0" collapsed="false">
      <c r="A4062" s="8" t="s">
        <v>258</v>
      </c>
      <c r="B4062" s="8" t="s">
        <v>562</v>
      </c>
      <c r="C4062" s="8" t="n">
        <v>0</v>
      </c>
      <c r="D4062" s="8" t="n">
        <v>0</v>
      </c>
      <c r="E4062" s="8" t="n">
        <v>2</v>
      </c>
      <c r="F4062" s="8" t="n">
        <v>162.36</v>
      </c>
    </row>
    <row r="4063" customFormat="false" ht="15" hidden="false" customHeight="true" outlineLevel="0" collapsed="false">
      <c r="A4063" s="8" t="s">
        <v>197</v>
      </c>
      <c r="B4063" s="8" t="s">
        <v>1222</v>
      </c>
      <c r="C4063" s="8" t="n">
        <v>0</v>
      </c>
      <c r="D4063" s="8" t="n">
        <v>0</v>
      </c>
      <c r="E4063" s="8" t="n">
        <v>1</v>
      </c>
      <c r="F4063" s="8" t="n">
        <v>65</v>
      </c>
    </row>
    <row r="4064" customFormat="false" ht="15" hidden="false" customHeight="true" outlineLevel="0" collapsed="false">
      <c r="A4064" s="8" t="s">
        <v>253</v>
      </c>
      <c r="B4064" s="8" t="s">
        <v>1222</v>
      </c>
      <c r="C4064" s="8" t="n">
        <v>0</v>
      </c>
      <c r="D4064" s="8" t="n">
        <v>0</v>
      </c>
      <c r="E4064" s="8" t="n">
        <v>1</v>
      </c>
      <c r="F4064" s="8" t="n">
        <v>65</v>
      </c>
    </row>
    <row r="4065" customFormat="false" ht="15" hidden="false" customHeight="true" outlineLevel="0" collapsed="false">
      <c r="A4065" s="8" t="s">
        <v>207</v>
      </c>
      <c r="B4065" s="8" t="s">
        <v>1222</v>
      </c>
      <c r="C4065" s="8" t="n">
        <v>0</v>
      </c>
      <c r="D4065" s="8" t="n">
        <v>0</v>
      </c>
      <c r="E4065" s="8" t="n">
        <v>1</v>
      </c>
      <c r="F4065" s="8" t="n">
        <v>65</v>
      </c>
    </row>
    <row r="4066" customFormat="false" ht="15" hidden="false" customHeight="true" outlineLevel="0" collapsed="false">
      <c r="A4066" s="8" t="s">
        <v>208</v>
      </c>
      <c r="B4066" s="8" t="s">
        <v>1179</v>
      </c>
      <c r="C4066" s="8" t="n">
        <v>0</v>
      </c>
      <c r="D4066" s="8" t="n">
        <v>0</v>
      </c>
      <c r="E4066" s="8" t="n">
        <v>1</v>
      </c>
      <c r="F4066" s="8" t="n">
        <v>72.34</v>
      </c>
    </row>
    <row r="4067" customFormat="false" ht="15" hidden="false" customHeight="true" outlineLevel="0" collapsed="false">
      <c r="A4067" s="8" t="s">
        <v>221</v>
      </c>
      <c r="B4067" s="8" t="s">
        <v>1179</v>
      </c>
      <c r="C4067" s="8" t="n">
        <v>0</v>
      </c>
      <c r="D4067" s="8" t="n">
        <v>0</v>
      </c>
      <c r="E4067" s="8" t="n">
        <v>1</v>
      </c>
      <c r="F4067" s="8" t="n">
        <v>72.34</v>
      </c>
    </row>
    <row r="4068" customFormat="false" ht="15" hidden="false" customHeight="true" outlineLevel="0" collapsed="false">
      <c r="A4068" s="8" t="s">
        <v>190</v>
      </c>
      <c r="B4068" s="8" t="s">
        <v>1224</v>
      </c>
      <c r="C4068" s="8" t="n">
        <v>0</v>
      </c>
      <c r="D4068" s="8" t="n">
        <v>0</v>
      </c>
      <c r="E4068" s="8" t="n">
        <v>1</v>
      </c>
      <c r="F4068" s="8" t="n">
        <v>24.43</v>
      </c>
    </row>
    <row r="4069" customFormat="false" ht="15" hidden="false" customHeight="true" outlineLevel="0" collapsed="false">
      <c r="A4069" s="8" t="s">
        <v>183</v>
      </c>
      <c r="B4069" s="8" t="s">
        <v>1224</v>
      </c>
      <c r="C4069" s="8" t="n">
        <v>0</v>
      </c>
      <c r="D4069" s="8" t="n">
        <v>0</v>
      </c>
      <c r="E4069" s="8" t="n">
        <v>2</v>
      </c>
      <c r="F4069" s="8" t="n">
        <v>48.86</v>
      </c>
    </row>
    <row r="4070" customFormat="false" ht="15" hidden="false" customHeight="true" outlineLevel="0" collapsed="false">
      <c r="A4070" s="8" t="s">
        <v>218</v>
      </c>
      <c r="B4070" s="8" t="s">
        <v>1224</v>
      </c>
      <c r="C4070" s="8" t="n">
        <v>0</v>
      </c>
      <c r="D4070" s="8" t="n">
        <v>0</v>
      </c>
      <c r="E4070" s="8" t="n">
        <v>2</v>
      </c>
      <c r="F4070" s="8" t="n">
        <v>48.86</v>
      </c>
    </row>
    <row r="4071" customFormat="false" ht="15" hidden="false" customHeight="true" outlineLevel="0" collapsed="false">
      <c r="A4071" s="8" t="s">
        <v>231</v>
      </c>
      <c r="B4071" s="8" t="s">
        <v>1224</v>
      </c>
      <c r="C4071" s="8" t="n">
        <v>0</v>
      </c>
      <c r="D4071" s="8" t="n">
        <v>0</v>
      </c>
      <c r="E4071" s="8" t="n">
        <v>2</v>
      </c>
      <c r="F4071" s="8" t="n">
        <v>48.86</v>
      </c>
    </row>
    <row r="4072" customFormat="false" ht="15" hidden="false" customHeight="true" outlineLevel="0" collapsed="false">
      <c r="A4072" s="8" t="s">
        <v>161</v>
      </c>
      <c r="B4072" s="8" t="s">
        <v>1208</v>
      </c>
      <c r="C4072" s="8" t="n">
        <v>0</v>
      </c>
      <c r="D4072" s="8" t="n">
        <v>0</v>
      </c>
      <c r="E4072" s="8" t="n">
        <v>3</v>
      </c>
      <c r="F4072" s="8" t="n">
        <v>136.5</v>
      </c>
    </row>
    <row r="4073" customFormat="false" ht="15" hidden="false" customHeight="true" outlineLevel="0" collapsed="false">
      <c r="A4073" s="8" t="s">
        <v>162</v>
      </c>
      <c r="B4073" s="8" t="s">
        <v>1209</v>
      </c>
      <c r="C4073" s="8" t="n">
        <v>0</v>
      </c>
      <c r="D4073" s="8" t="n">
        <v>0</v>
      </c>
      <c r="E4073" s="8" t="n">
        <v>3</v>
      </c>
      <c r="F4073" s="8" t="n">
        <v>233.4</v>
      </c>
    </row>
    <row r="4074" customFormat="false" ht="15" hidden="false" customHeight="true" outlineLevel="0" collapsed="false">
      <c r="A4074" s="8" t="s">
        <v>241</v>
      </c>
      <c r="B4074" s="8" t="s">
        <v>1227</v>
      </c>
      <c r="C4074" s="8" t="n">
        <v>0</v>
      </c>
      <c r="D4074" s="8" t="n">
        <v>0</v>
      </c>
      <c r="E4074" s="8" t="n">
        <v>2</v>
      </c>
      <c r="F4074" s="8" t="n">
        <v>34</v>
      </c>
    </row>
    <row r="4075" customFormat="false" ht="15" hidden="false" customHeight="true" outlineLevel="0" collapsed="false">
      <c r="A4075" s="8" t="s">
        <v>219</v>
      </c>
      <c r="B4075" s="8" t="s">
        <v>1227</v>
      </c>
      <c r="C4075" s="8" t="n">
        <v>0</v>
      </c>
      <c r="D4075" s="8" t="n">
        <v>0</v>
      </c>
      <c r="E4075" s="8" t="n">
        <v>2</v>
      </c>
      <c r="F4075" s="8" t="n">
        <v>34</v>
      </c>
    </row>
    <row r="4076" customFormat="false" ht="15" hidden="false" customHeight="true" outlineLevel="0" collapsed="false">
      <c r="A4076" s="8" t="s">
        <v>292</v>
      </c>
      <c r="B4076" s="8" t="s">
        <v>1227</v>
      </c>
      <c r="C4076" s="8" t="n">
        <v>0</v>
      </c>
      <c r="D4076" s="8" t="n">
        <v>0</v>
      </c>
      <c r="E4076" s="8" t="n">
        <v>2</v>
      </c>
      <c r="F4076" s="8" t="n">
        <v>34</v>
      </c>
    </row>
    <row r="4077" customFormat="false" ht="15" hidden="false" customHeight="true" outlineLevel="0" collapsed="false">
      <c r="A4077" s="8" t="s">
        <v>223</v>
      </c>
      <c r="B4077" s="8" t="s">
        <v>1227</v>
      </c>
      <c r="C4077" s="8" t="n">
        <v>0</v>
      </c>
      <c r="D4077" s="8" t="n">
        <v>0</v>
      </c>
      <c r="E4077" s="8" t="n">
        <v>2</v>
      </c>
      <c r="F4077" s="8" t="n">
        <v>34</v>
      </c>
    </row>
    <row r="4078" customFormat="false" ht="15" hidden="false" customHeight="true" outlineLevel="0" collapsed="false">
      <c r="A4078" s="8" t="s">
        <v>202</v>
      </c>
      <c r="B4078" s="8" t="s">
        <v>1212</v>
      </c>
      <c r="C4078" s="8" t="n">
        <v>6</v>
      </c>
      <c r="D4078" s="8" t="n">
        <v>57</v>
      </c>
      <c r="E4078" s="8" t="n">
        <v>0</v>
      </c>
      <c r="F4078" s="8" t="n">
        <v>0</v>
      </c>
    </row>
    <row r="4079" customFormat="false" ht="15" hidden="false" customHeight="true" outlineLevel="0" collapsed="false">
      <c r="A4079" s="8" t="s">
        <v>172</v>
      </c>
      <c r="B4079" s="8" t="s">
        <v>1214</v>
      </c>
      <c r="C4079" s="8" t="n">
        <v>3</v>
      </c>
      <c r="D4079" s="8" t="n">
        <v>36.54</v>
      </c>
      <c r="E4079" s="8" t="n">
        <v>2</v>
      </c>
      <c r="F4079" s="8" t="n">
        <v>24.36</v>
      </c>
    </row>
    <row r="4080" customFormat="false" ht="15" hidden="false" customHeight="true" outlineLevel="0" collapsed="false">
      <c r="A4080" s="8" t="s">
        <v>180</v>
      </c>
      <c r="B4080" s="8" t="s">
        <v>1216</v>
      </c>
      <c r="C4080" s="8" t="n">
        <v>0</v>
      </c>
      <c r="D4080" s="8" t="n">
        <v>0</v>
      </c>
      <c r="E4080" s="8" t="n">
        <v>1</v>
      </c>
      <c r="F4080" s="8" t="n">
        <v>16.5</v>
      </c>
    </row>
    <row r="4081" customFormat="false" ht="15" hidden="false" customHeight="true" outlineLevel="0" collapsed="false">
      <c r="A4081" s="8" t="s">
        <v>189</v>
      </c>
      <c r="B4081" s="8" t="s">
        <v>1216</v>
      </c>
      <c r="C4081" s="8" t="n">
        <v>0</v>
      </c>
      <c r="D4081" s="8" t="n">
        <v>0</v>
      </c>
      <c r="E4081" s="8" t="n">
        <v>2</v>
      </c>
      <c r="F4081" s="8" t="n">
        <v>33</v>
      </c>
    </row>
    <row r="4082" customFormat="false" ht="15" hidden="false" customHeight="true" outlineLevel="0" collapsed="false">
      <c r="A4082" s="8" t="s">
        <v>267</v>
      </c>
      <c r="B4082" s="8" t="s">
        <v>1216</v>
      </c>
      <c r="C4082" s="8" t="n">
        <v>0</v>
      </c>
      <c r="D4082" s="8" t="n">
        <v>0</v>
      </c>
      <c r="E4082" s="8" t="n">
        <v>2</v>
      </c>
      <c r="F4082" s="8" t="n">
        <v>33</v>
      </c>
    </row>
    <row r="4083" customFormat="false" ht="15" hidden="false" customHeight="true" outlineLevel="0" collapsed="false">
      <c r="A4083" s="8" t="s">
        <v>199</v>
      </c>
      <c r="B4083" s="8" t="s">
        <v>1216</v>
      </c>
      <c r="C4083" s="8" t="n">
        <v>0</v>
      </c>
      <c r="D4083" s="8" t="n">
        <v>0</v>
      </c>
      <c r="E4083" s="8" t="n">
        <v>2</v>
      </c>
      <c r="F4083" s="8" t="n">
        <v>33</v>
      </c>
    </row>
    <row r="4084" customFormat="false" ht="15" hidden="false" customHeight="true" outlineLevel="0" collapsed="false">
      <c r="A4084" s="8" t="s">
        <v>250</v>
      </c>
      <c r="B4084" s="8" t="s">
        <v>1216</v>
      </c>
      <c r="C4084" s="8" t="n">
        <v>0</v>
      </c>
      <c r="D4084" s="8" t="n">
        <v>0</v>
      </c>
      <c r="E4084" s="8" t="n">
        <v>2</v>
      </c>
      <c r="F4084" s="8" t="n">
        <v>33</v>
      </c>
    </row>
    <row r="4085" customFormat="false" ht="15" hidden="false" customHeight="true" outlineLevel="0" collapsed="false">
      <c r="A4085" s="8" t="s">
        <v>198</v>
      </c>
      <c r="B4085" s="8" t="s">
        <v>1217</v>
      </c>
      <c r="C4085" s="8" t="n">
        <v>0</v>
      </c>
      <c r="D4085" s="8" t="n">
        <v>0</v>
      </c>
      <c r="E4085" s="8" t="n">
        <v>2</v>
      </c>
      <c r="F4085" s="8" t="n">
        <v>41</v>
      </c>
    </row>
    <row r="4086" customFormat="false" ht="15" hidden="false" customHeight="true" outlineLevel="0" collapsed="false">
      <c r="A4086" s="8" t="s">
        <v>193</v>
      </c>
      <c r="B4086" s="8" t="s">
        <v>1217</v>
      </c>
      <c r="C4086" s="8" t="n">
        <v>0</v>
      </c>
      <c r="D4086" s="8" t="n">
        <v>0</v>
      </c>
      <c r="E4086" s="8" t="n">
        <v>2</v>
      </c>
      <c r="F4086" s="8" t="n">
        <v>41</v>
      </c>
    </row>
    <row r="4087" customFormat="false" ht="15" hidden="false" customHeight="true" outlineLevel="0" collapsed="false">
      <c r="A4087" s="8" t="s">
        <v>302</v>
      </c>
      <c r="B4087" s="8" t="s">
        <v>1217</v>
      </c>
      <c r="C4087" s="8" t="n">
        <v>0</v>
      </c>
      <c r="D4087" s="8" t="n">
        <v>0</v>
      </c>
      <c r="E4087" s="8" t="n">
        <v>2</v>
      </c>
      <c r="F4087" s="8" t="n">
        <v>41</v>
      </c>
    </row>
    <row r="4088" customFormat="false" ht="15" hidden="false" customHeight="true" outlineLevel="0" collapsed="false">
      <c r="A4088" s="8" t="s">
        <v>205</v>
      </c>
      <c r="B4088" s="8" t="s">
        <v>1217</v>
      </c>
      <c r="C4088" s="8" t="n">
        <v>0</v>
      </c>
      <c r="D4088" s="8" t="n">
        <v>0</v>
      </c>
      <c r="E4088" s="8" t="n">
        <v>2</v>
      </c>
      <c r="F4088" s="8" t="n">
        <v>41</v>
      </c>
    </row>
    <row r="4089" customFormat="false" ht="15" hidden="false" customHeight="true" outlineLevel="0" collapsed="false">
      <c r="A4089" s="8" t="s">
        <v>330</v>
      </c>
      <c r="B4089" s="8" t="s">
        <v>1295</v>
      </c>
      <c r="C4089" s="8" t="n">
        <v>2</v>
      </c>
      <c r="D4089" s="8" t="n">
        <v>259.62</v>
      </c>
      <c r="E4089" s="8" t="n">
        <v>0</v>
      </c>
      <c r="F4089" s="8" t="n">
        <v>0</v>
      </c>
    </row>
    <row r="4090" customFormat="false" ht="15" hidden="false" customHeight="true" outlineLevel="0" collapsed="false">
      <c r="A4090" s="8" t="s">
        <v>228</v>
      </c>
      <c r="B4090" s="8" t="s">
        <v>1275</v>
      </c>
      <c r="C4090" s="8" t="n">
        <v>0</v>
      </c>
      <c r="D4090" s="8" t="n">
        <v>0</v>
      </c>
      <c r="E4090" s="8" t="n">
        <v>3</v>
      </c>
      <c r="F4090" s="8" t="n">
        <v>42.75</v>
      </c>
    </row>
    <row r="4091" customFormat="false" ht="15" hidden="false" customHeight="true" outlineLevel="0" collapsed="false">
      <c r="A4091" s="8" t="s">
        <v>95</v>
      </c>
      <c r="B4091" s="8" t="s">
        <v>1247</v>
      </c>
      <c r="C4091" s="8" t="n">
        <v>0</v>
      </c>
      <c r="D4091" s="8" t="n">
        <v>0</v>
      </c>
      <c r="E4091" s="8" t="n">
        <v>2</v>
      </c>
      <c r="F4091" s="8" t="n">
        <v>50</v>
      </c>
    </row>
    <row r="4092" customFormat="false" ht="15" hidden="false" customHeight="true" outlineLevel="0" collapsed="false">
      <c r="A4092" s="8" t="s">
        <v>113</v>
      </c>
      <c r="B4092" s="8" t="s">
        <v>1247</v>
      </c>
      <c r="C4092" s="8" t="n">
        <v>0</v>
      </c>
      <c r="D4092" s="8" t="n">
        <v>0</v>
      </c>
      <c r="E4092" s="8" t="n">
        <v>2</v>
      </c>
      <c r="F4092" s="8" t="n">
        <v>50</v>
      </c>
    </row>
    <row r="4093" customFormat="false" ht="15" hidden="false" customHeight="true" outlineLevel="0" collapsed="false">
      <c r="A4093" s="8" t="s">
        <v>99</v>
      </c>
      <c r="B4093" s="8" t="s">
        <v>1247</v>
      </c>
      <c r="C4093" s="8" t="n">
        <v>0</v>
      </c>
      <c r="D4093" s="8" t="n">
        <v>0</v>
      </c>
      <c r="E4093" s="8" t="n">
        <v>2</v>
      </c>
      <c r="F4093" s="8" t="n">
        <v>50</v>
      </c>
    </row>
    <row r="4094" customFormat="false" ht="15" hidden="false" customHeight="true" outlineLevel="0" collapsed="false">
      <c r="A4094" s="8" t="s">
        <v>120</v>
      </c>
      <c r="B4094" s="8" t="s">
        <v>1247</v>
      </c>
      <c r="C4094" s="8" t="n">
        <v>0</v>
      </c>
      <c r="D4094" s="8" t="n">
        <v>0</v>
      </c>
      <c r="E4094" s="8" t="n">
        <v>2</v>
      </c>
      <c r="F4094" s="8" t="n">
        <v>50</v>
      </c>
    </row>
    <row r="4095" customFormat="false" ht="15" hidden="false" customHeight="true" outlineLevel="0" collapsed="false">
      <c r="A4095" s="8" t="s">
        <v>257</v>
      </c>
      <c r="B4095" s="8" t="s">
        <v>1284</v>
      </c>
      <c r="C4095" s="8" t="n">
        <v>0</v>
      </c>
      <c r="D4095" s="8" t="n">
        <v>0</v>
      </c>
      <c r="E4095" s="8" t="n">
        <v>3</v>
      </c>
      <c r="F4095" s="8" t="n">
        <v>97.29</v>
      </c>
    </row>
    <row r="4096" customFormat="false" ht="15" hidden="false" customHeight="true" outlineLevel="0" collapsed="false">
      <c r="A4096" s="8" t="s">
        <v>178</v>
      </c>
      <c r="B4096" s="8" t="s">
        <v>1236</v>
      </c>
      <c r="C4096" s="8" t="n">
        <v>0</v>
      </c>
      <c r="D4096" s="8" t="n">
        <v>0</v>
      </c>
      <c r="E4096" s="8" t="n">
        <v>1</v>
      </c>
      <c r="F4096" s="8" t="n">
        <v>35</v>
      </c>
    </row>
    <row r="4097" customFormat="false" ht="15" hidden="false" customHeight="true" outlineLevel="0" collapsed="false">
      <c r="A4097" s="8" t="s">
        <v>235</v>
      </c>
      <c r="B4097" s="8" t="s">
        <v>1236</v>
      </c>
      <c r="C4097" s="8" t="n">
        <v>0</v>
      </c>
      <c r="D4097" s="8" t="n">
        <v>0</v>
      </c>
      <c r="E4097" s="8" t="n">
        <v>1</v>
      </c>
      <c r="F4097" s="8" t="n">
        <v>35</v>
      </c>
    </row>
    <row r="4098" customFormat="false" ht="15" hidden="false" customHeight="true" outlineLevel="0" collapsed="false">
      <c r="A4098" s="8" t="s">
        <v>224</v>
      </c>
      <c r="B4098" s="8" t="s">
        <v>1236</v>
      </c>
      <c r="C4098" s="8" t="n">
        <v>0</v>
      </c>
      <c r="D4098" s="8" t="n">
        <v>0</v>
      </c>
      <c r="E4098" s="8" t="n">
        <v>1</v>
      </c>
      <c r="F4098" s="8" t="n">
        <v>35</v>
      </c>
    </row>
    <row r="4099" customFormat="false" ht="15" hidden="false" customHeight="true" outlineLevel="0" collapsed="false">
      <c r="A4099" s="8" t="s">
        <v>240</v>
      </c>
      <c r="B4099" s="8" t="s">
        <v>769</v>
      </c>
      <c r="C4099" s="8" t="n">
        <v>0</v>
      </c>
      <c r="D4099" s="8" t="n">
        <v>0</v>
      </c>
      <c r="E4099" s="8" t="n">
        <v>2</v>
      </c>
      <c r="F4099" s="8" t="n">
        <v>34</v>
      </c>
    </row>
    <row r="4100" customFormat="false" ht="15" hidden="false" customHeight="true" outlineLevel="0" collapsed="false">
      <c r="A4100" s="8" t="s">
        <v>300</v>
      </c>
      <c r="B4100" s="8" t="s">
        <v>769</v>
      </c>
      <c r="C4100" s="8" t="n">
        <v>0</v>
      </c>
      <c r="D4100" s="8" t="n">
        <v>0</v>
      </c>
      <c r="E4100" s="8" t="n">
        <v>2</v>
      </c>
      <c r="F4100" s="8" t="n">
        <v>34</v>
      </c>
    </row>
    <row r="4101" customFormat="false" ht="15" hidden="false" customHeight="true" outlineLevel="0" collapsed="false">
      <c r="A4101" s="8" t="s">
        <v>182</v>
      </c>
      <c r="B4101" s="8" t="s">
        <v>799</v>
      </c>
      <c r="C4101" s="8" t="n">
        <v>0</v>
      </c>
      <c r="D4101" s="8" t="n">
        <v>0</v>
      </c>
      <c r="E4101" s="8" t="n">
        <v>2</v>
      </c>
      <c r="F4101" s="8" t="n">
        <v>40</v>
      </c>
    </row>
    <row r="4102" customFormat="false" ht="15" hidden="false" customHeight="true" outlineLevel="0" collapsed="false">
      <c r="A4102" s="8" t="s">
        <v>274</v>
      </c>
      <c r="B4102" s="8" t="s">
        <v>1219</v>
      </c>
      <c r="C4102" s="8" t="n">
        <v>0</v>
      </c>
      <c r="D4102" s="8" t="n">
        <v>0</v>
      </c>
      <c r="E4102" s="8" t="n">
        <v>3</v>
      </c>
      <c r="F4102" s="8" t="n">
        <v>26.19</v>
      </c>
    </row>
    <row r="4103" customFormat="false" ht="15" hidden="false" customHeight="true" outlineLevel="0" collapsed="false">
      <c r="A4103" s="8" t="s">
        <v>170</v>
      </c>
      <c r="B4103" s="8" t="s">
        <v>1220</v>
      </c>
      <c r="C4103" s="8" t="n">
        <v>0</v>
      </c>
      <c r="D4103" s="8" t="n">
        <v>0</v>
      </c>
      <c r="E4103" s="8" t="n">
        <v>6</v>
      </c>
      <c r="F4103" s="8" t="n">
        <v>88.8</v>
      </c>
    </row>
    <row r="4104" customFormat="false" ht="15" hidden="false" customHeight="true" outlineLevel="0" collapsed="false">
      <c r="A4104" s="8" t="s">
        <v>220</v>
      </c>
      <c r="B4104" s="8" t="s">
        <v>1248</v>
      </c>
      <c r="C4104" s="8" t="n">
        <v>48</v>
      </c>
      <c r="D4104" s="8" t="n">
        <v>499.2</v>
      </c>
      <c r="E4104" s="8" t="n">
        <v>0</v>
      </c>
      <c r="F4104" s="8" t="n">
        <v>0</v>
      </c>
    </row>
    <row r="4105" customFormat="false" ht="15" hidden="false" customHeight="true" outlineLevel="0" collapsed="false">
      <c r="A4105" s="8" t="s">
        <v>233</v>
      </c>
      <c r="B4105" s="8" t="s">
        <v>1249</v>
      </c>
      <c r="C4105" s="8" t="n">
        <v>11</v>
      </c>
      <c r="D4105" s="8" t="n">
        <v>197.45</v>
      </c>
      <c r="E4105" s="8" t="n">
        <v>0</v>
      </c>
      <c r="F4105" s="8" t="n">
        <v>0</v>
      </c>
    </row>
    <row r="4106" customFormat="false" ht="15" hidden="false" customHeight="true" outlineLevel="0" collapsed="false">
      <c r="A4106" s="8" t="s">
        <v>264</v>
      </c>
      <c r="B4106" s="8" t="s">
        <v>1221</v>
      </c>
      <c r="C4106" s="8" t="n">
        <v>3</v>
      </c>
      <c r="D4106" s="8" t="n">
        <v>17.43</v>
      </c>
      <c r="E4106" s="8" t="n">
        <v>2</v>
      </c>
      <c r="F4106" s="8" t="n">
        <v>11.62</v>
      </c>
    </row>
    <row r="4107" customFormat="false" ht="15" hidden="false" customHeight="true" outlineLevel="0" collapsed="false">
      <c r="A4107" s="8" t="s">
        <v>252</v>
      </c>
      <c r="B4107" s="8" t="s">
        <v>1177</v>
      </c>
      <c r="C4107" s="8" t="n">
        <v>0</v>
      </c>
      <c r="D4107" s="8" t="n">
        <v>0</v>
      </c>
      <c r="E4107" s="8" t="n">
        <v>5</v>
      </c>
      <c r="F4107" s="8" t="n">
        <v>83</v>
      </c>
    </row>
    <row r="4108" customFormat="false" ht="15" hidden="false" customHeight="true" outlineLevel="0" collapsed="false">
      <c r="A4108" s="8" t="s">
        <v>203</v>
      </c>
      <c r="B4108" s="8" t="s">
        <v>1177</v>
      </c>
      <c r="C4108" s="8" t="n">
        <v>0</v>
      </c>
      <c r="D4108" s="8" t="n">
        <v>0</v>
      </c>
      <c r="E4108" s="8" t="n">
        <v>6</v>
      </c>
      <c r="F4108" s="8" t="n">
        <v>111</v>
      </c>
    </row>
    <row r="4109" customFormat="false" ht="15" hidden="false" customHeight="true" outlineLevel="0" collapsed="false">
      <c r="A4109" s="8" t="s">
        <v>196</v>
      </c>
      <c r="B4109" s="8" t="s">
        <v>1243</v>
      </c>
      <c r="C4109" s="8" t="n">
        <v>0</v>
      </c>
      <c r="D4109" s="8" t="n">
        <v>0</v>
      </c>
      <c r="E4109" s="8" t="n">
        <v>1</v>
      </c>
      <c r="F4109" s="8" t="n">
        <v>53.5</v>
      </c>
    </row>
    <row r="4110" customFormat="false" ht="15" hidden="false" customHeight="true" outlineLevel="0" collapsed="false">
      <c r="A4110" s="8" t="s">
        <v>197</v>
      </c>
      <c r="B4110" s="8" t="s">
        <v>1222</v>
      </c>
      <c r="C4110" s="8" t="n">
        <v>13</v>
      </c>
      <c r="D4110" s="8" t="n">
        <v>845</v>
      </c>
      <c r="E4110" s="8" t="n">
        <v>0</v>
      </c>
      <c r="F4110" s="8" t="n">
        <v>0</v>
      </c>
    </row>
    <row r="4111" customFormat="false" ht="15" hidden="false" customHeight="true" outlineLevel="0" collapsed="false">
      <c r="A4111" s="8" t="s">
        <v>253</v>
      </c>
      <c r="B4111" s="8" t="s">
        <v>1222</v>
      </c>
      <c r="C4111" s="8" t="n">
        <v>3</v>
      </c>
      <c r="D4111" s="8" t="n">
        <v>195</v>
      </c>
      <c r="E4111" s="8" t="n">
        <v>0</v>
      </c>
      <c r="F4111" s="8" t="n">
        <v>0</v>
      </c>
    </row>
    <row r="4112" customFormat="false" ht="15" hidden="false" customHeight="true" outlineLevel="0" collapsed="false">
      <c r="A4112" s="8" t="s">
        <v>207</v>
      </c>
      <c r="B4112" s="8" t="s">
        <v>1222</v>
      </c>
      <c r="C4112" s="8" t="n">
        <v>14</v>
      </c>
      <c r="D4112" s="8" t="n">
        <v>910</v>
      </c>
      <c r="E4112" s="8" t="n">
        <v>0</v>
      </c>
      <c r="F4112" s="8" t="n">
        <v>0</v>
      </c>
    </row>
    <row r="4113" customFormat="false" ht="15" hidden="false" customHeight="true" outlineLevel="0" collapsed="false">
      <c r="A4113" s="8" t="s">
        <v>357</v>
      </c>
      <c r="B4113" s="8" t="s">
        <v>1280</v>
      </c>
      <c r="C4113" s="8" t="n">
        <v>1</v>
      </c>
      <c r="D4113" s="8" t="n">
        <v>65</v>
      </c>
      <c r="E4113" s="8" t="n">
        <v>0</v>
      </c>
      <c r="F4113" s="8" t="n">
        <v>0</v>
      </c>
    </row>
    <row r="4114" customFormat="false" ht="15" hidden="false" customHeight="true" outlineLevel="0" collapsed="false">
      <c r="A4114" s="8" t="s">
        <v>371</v>
      </c>
      <c r="B4114" s="8" t="s">
        <v>1280</v>
      </c>
      <c r="C4114" s="8" t="n">
        <v>0</v>
      </c>
      <c r="D4114" s="8" t="n">
        <v>0</v>
      </c>
      <c r="E4114" s="8" t="n">
        <v>1</v>
      </c>
      <c r="F4114" s="8" t="n">
        <v>65</v>
      </c>
    </row>
    <row r="4115" customFormat="false" ht="15" hidden="false" customHeight="true" outlineLevel="0" collapsed="false">
      <c r="A4115" s="8" t="s">
        <v>163</v>
      </c>
      <c r="B4115" s="8" t="s">
        <v>897</v>
      </c>
      <c r="C4115" s="8" t="n">
        <v>23</v>
      </c>
      <c r="D4115" s="8" t="n">
        <v>1495</v>
      </c>
      <c r="E4115" s="8" t="n">
        <v>4</v>
      </c>
      <c r="F4115" s="8" t="n">
        <v>260</v>
      </c>
    </row>
    <row r="4116" customFormat="false" ht="15" hidden="false" customHeight="true" outlineLevel="0" collapsed="false">
      <c r="A4116" s="8" t="s">
        <v>181</v>
      </c>
      <c r="B4116" s="8" t="s">
        <v>897</v>
      </c>
      <c r="C4116" s="8" t="n">
        <v>4</v>
      </c>
      <c r="D4116" s="8" t="n">
        <v>260</v>
      </c>
      <c r="E4116" s="8" t="n">
        <v>-1</v>
      </c>
      <c r="F4116" s="8" t="n">
        <v>-65</v>
      </c>
    </row>
    <row r="4117" customFormat="false" ht="15" hidden="false" customHeight="true" outlineLevel="0" collapsed="false">
      <c r="A4117" s="8" t="s">
        <v>290</v>
      </c>
      <c r="B4117" s="8" t="s">
        <v>897</v>
      </c>
      <c r="C4117" s="8" t="n">
        <v>1</v>
      </c>
      <c r="D4117" s="8" t="n">
        <v>65</v>
      </c>
      <c r="E4117" s="8" t="n">
        <v>0</v>
      </c>
      <c r="F4117" s="8" t="n">
        <v>0</v>
      </c>
    </row>
    <row r="4118" customFormat="false" ht="15" hidden="false" customHeight="true" outlineLevel="0" collapsed="false">
      <c r="A4118" s="8" t="s">
        <v>165</v>
      </c>
      <c r="B4118" s="8" t="s">
        <v>897</v>
      </c>
      <c r="C4118" s="8" t="n">
        <v>18</v>
      </c>
      <c r="D4118" s="8" t="n">
        <v>1170</v>
      </c>
      <c r="E4118" s="8" t="n">
        <v>4</v>
      </c>
      <c r="F4118" s="8" t="n">
        <v>260</v>
      </c>
    </row>
    <row r="4119" customFormat="false" ht="15" hidden="false" customHeight="true" outlineLevel="0" collapsed="false">
      <c r="A4119" s="8" t="s">
        <v>184</v>
      </c>
      <c r="B4119" s="8" t="s">
        <v>897</v>
      </c>
      <c r="C4119" s="8" t="n">
        <v>7</v>
      </c>
      <c r="D4119" s="8" t="n">
        <v>455</v>
      </c>
      <c r="E4119" s="8" t="n">
        <v>1</v>
      </c>
      <c r="F4119" s="8" t="n">
        <v>65</v>
      </c>
    </row>
    <row r="4120" customFormat="false" ht="15" hidden="false" customHeight="true" outlineLevel="0" collapsed="false">
      <c r="A4120" s="8" t="s">
        <v>230</v>
      </c>
      <c r="B4120" s="8" t="s">
        <v>1244</v>
      </c>
      <c r="C4120" s="8" t="n">
        <v>2</v>
      </c>
      <c r="D4120" s="8" t="n">
        <v>351</v>
      </c>
      <c r="E4120" s="8" t="n">
        <v>0</v>
      </c>
      <c r="F4120" s="8" t="n">
        <v>0</v>
      </c>
    </row>
    <row r="4121" customFormat="false" ht="15" hidden="false" customHeight="true" outlineLevel="0" collapsed="false">
      <c r="A4121" s="8" t="s">
        <v>173</v>
      </c>
      <c r="B4121" s="8" t="s">
        <v>1244</v>
      </c>
      <c r="C4121" s="8" t="n">
        <v>0</v>
      </c>
      <c r="D4121" s="8" t="n">
        <v>0</v>
      </c>
      <c r="E4121" s="8" t="n">
        <v>1</v>
      </c>
      <c r="F4121" s="8" t="n">
        <v>175.5</v>
      </c>
    </row>
    <row r="4122" customFormat="false" ht="15" hidden="false" customHeight="true" outlineLevel="0" collapsed="false">
      <c r="A4122" s="8" t="s">
        <v>177</v>
      </c>
      <c r="B4122" s="8" t="s">
        <v>1244</v>
      </c>
      <c r="C4122" s="8" t="n">
        <v>0</v>
      </c>
      <c r="D4122" s="8" t="n">
        <v>0</v>
      </c>
      <c r="E4122" s="8" t="n">
        <v>-1</v>
      </c>
      <c r="F4122" s="8" t="n">
        <v>-175.5</v>
      </c>
    </row>
    <row r="4123" customFormat="false" ht="15" hidden="false" customHeight="true" outlineLevel="0" collapsed="false">
      <c r="A4123" s="8" t="s">
        <v>208</v>
      </c>
      <c r="B4123" s="8" t="s">
        <v>1179</v>
      </c>
      <c r="C4123" s="8" t="n">
        <v>12</v>
      </c>
      <c r="D4123" s="8" t="n">
        <v>868.08</v>
      </c>
      <c r="E4123" s="8" t="n">
        <v>-2</v>
      </c>
      <c r="F4123" s="8" t="n">
        <v>-144.68</v>
      </c>
    </row>
    <row r="4124" customFormat="false" ht="15" hidden="false" customHeight="true" outlineLevel="0" collapsed="false">
      <c r="A4124" s="8" t="s">
        <v>221</v>
      </c>
      <c r="B4124" s="8" t="s">
        <v>1179</v>
      </c>
      <c r="C4124" s="8" t="n">
        <v>3</v>
      </c>
      <c r="D4124" s="8" t="n">
        <v>217.02</v>
      </c>
      <c r="E4124" s="8" t="n">
        <v>-1</v>
      </c>
      <c r="F4124" s="8" t="n">
        <v>-72.34</v>
      </c>
    </row>
    <row r="4125" customFormat="false" ht="15" hidden="false" customHeight="true" outlineLevel="0" collapsed="false">
      <c r="A4125" s="8" t="s">
        <v>245</v>
      </c>
      <c r="B4125" s="8" t="s">
        <v>1179</v>
      </c>
      <c r="C4125" s="8" t="n">
        <v>0</v>
      </c>
      <c r="D4125" s="8" t="n">
        <v>0</v>
      </c>
      <c r="E4125" s="8" t="n">
        <v>-1</v>
      </c>
      <c r="F4125" s="8" t="n">
        <v>-72.34</v>
      </c>
    </row>
    <row r="4126" customFormat="false" ht="15" hidden="false" customHeight="true" outlineLevel="0" collapsed="false">
      <c r="A4126" s="8" t="s">
        <v>191</v>
      </c>
      <c r="B4126" s="8" t="s">
        <v>1179</v>
      </c>
      <c r="C4126" s="8" t="n">
        <v>7</v>
      </c>
      <c r="D4126" s="8" t="n">
        <v>506.38</v>
      </c>
      <c r="E4126" s="8" t="n">
        <v>0</v>
      </c>
      <c r="F4126" s="8" t="n">
        <v>0</v>
      </c>
    </row>
    <row r="4127" customFormat="false" ht="15" hidden="false" customHeight="true" outlineLevel="0" collapsed="false">
      <c r="A4127" s="8" t="s">
        <v>204</v>
      </c>
      <c r="B4127" s="8" t="s">
        <v>1179</v>
      </c>
      <c r="C4127" s="8" t="n">
        <v>3</v>
      </c>
      <c r="D4127" s="8" t="n">
        <v>217.02</v>
      </c>
      <c r="E4127" s="8" t="n">
        <v>0</v>
      </c>
      <c r="F4127" s="8" t="n">
        <v>0</v>
      </c>
    </row>
    <row r="4128" customFormat="false" ht="15" hidden="false" customHeight="true" outlineLevel="0" collapsed="false">
      <c r="A4128" s="8" t="s">
        <v>305</v>
      </c>
      <c r="B4128" s="8" t="s">
        <v>1268</v>
      </c>
      <c r="C4128" s="8" t="n">
        <v>4</v>
      </c>
      <c r="D4128" s="8" t="n">
        <v>454.32</v>
      </c>
      <c r="E4128" s="8" t="n">
        <v>-1</v>
      </c>
      <c r="F4128" s="8" t="n">
        <v>-113.58</v>
      </c>
    </row>
    <row r="4129" customFormat="false" ht="15" hidden="false" customHeight="true" outlineLevel="0" collapsed="false">
      <c r="A4129" s="8" t="s">
        <v>190</v>
      </c>
      <c r="B4129" s="8" t="s">
        <v>1224</v>
      </c>
      <c r="C4129" s="8" t="n">
        <v>18</v>
      </c>
      <c r="D4129" s="8" t="n">
        <v>439.74</v>
      </c>
      <c r="E4129" s="8" t="n">
        <v>0</v>
      </c>
      <c r="F4129" s="8" t="n">
        <v>0</v>
      </c>
    </row>
    <row r="4130" customFormat="false" ht="15" hidden="false" customHeight="true" outlineLevel="0" collapsed="false">
      <c r="A4130" s="8" t="s">
        <v>183</v>
      </c>
      <c r="B4130" s="8" t="s">
        <v>1224</v>
      </c>
      <c r="C4130" s="8" t="n">
        <v>21</v>
      </c>
      <c r="D4130" s="8" t="n">
        <v>513.03</v>
      </c>
      <c r="E4130" s="8" t="n">
        <v>4</v>
      </c>
      <c r="F4130" s="8" t="n">
        <v>97.72</v>
      </c>
    </row>
    <row r="4131" customFormat="false" ht="15" hidden="false" customHeight="true" outlineLevel="0" collapsed="false">
      <c r="A4131" s="8" t="s">
        <v>218</v>
      </c>
      <c r="B4131" s="8" t="s">
        <v>1224</v>
      </c>
      <c r="C4131" s="8" t="n">
        <v>8</v>
      </c>
      <c r="D4131" s="8" t="n">
        <v>195.44</v>
      </c>
      <c r="E4131" s="8" t="n">
        <v>5</v>
      </c>
      <c r="F4131" s="8" t="n">
        <v>122.15</v>
      </c>
    </row>
    <row r="4132" customFormat="false" ht="15" hidden="false" customHeight="true" outlineLevel="0" collapsed="false">
      <c r="A4132" s="8" t="s">
        <v>231</v>
      </c>
      <c r="B4132" s="8" t="s">
        <v>1224</v>
      </c>
      <c r="C4132" s="8" t="n">
        <v>11</v>
      </c>
      <c r="D4132" s="8" t="n">
        <v>268.73</v>
      </c>
      <c r="E4132" s="8" t="n">
        <v>2</v>
      </c>
      <c r="F4132" s="8" t="n">
        <v>48.86</v>
      </c>
    </row>
    <row r="4133" customFormat="false" ht="15" hidden="false" customHeight="true" outlineLevel="0" collapsed="false">
      <c r="A4133" s="8" t="s">
        <v>286</v>
      </c>
      <c r="B4133" s="8" t="s">
        <v>1269</v>
      </c>
      <c r="C4133" s="8" t="n">
        <v>6</v>
      </c>
      <c r="D4133" s="8" t="n">
        <v>66</v>
      </c>
      <c r="E4133" s="8" t="n">
        <v>-3</v>
      </c>
      <c r="F4133" s="8" t="n">
        <v>-33</v>
      </c>
    </row>
    <row r="4134" customFormat="false" ht="15" hidden="false" customHeight="true" outlineLevel="0" collapsed="false">
      <c r="A4134" s="8" t="s">
        <v>324</v>
      </c>
      <c r="B4134" s="8" t="s">
        <v>1271</v>
      </c>
      <c r="C4134" s="8" t="n">
        <v>6</v>
      </c>
      <c r="D4134" s="8" t="n">
        <v>66</v>
      </c>
      <c r="E4134" s="8" t="n">
        <v>-3</v>
      </c>
      <c r="F4134" s="8" t="n">
        <v>-33</v>
      </c>
    </row>
    <row r="4135" customFormat="false" ht="15" hidden="false" customHeight="true" outlineLevel="0" collapsed="false">
      <c r="A4135" s="8" t="s">
        <v>337</v>
      </c>
      <c r="B4135" s="8" t="s">
        <v>1272</v>
      </c>
      <c r="C4135" s="8" t="n">
        <v>6</v>
      </c>
      <c r="D4135" s="8" t="n">
        <v>66</v>
      </c>
      <c r="E4135" s="8" t="n">
        <v>-3</v>
      </c>
      <c r="F4135" s="8" t="n">
        <v>-33</v>
      </c>
    </row>
    <row r="4136" customFormat="false" ht="15" hidden="false" customHeight="true" outlineLevel="0" collapsed="false">
      <c r="A4136" s="8" t="s">
        <v>161</v>
      </c>
      <c r="B4136" s="8" t="s">
        <v>1208</v>
      </c>
      <c r="C4136" s="8" t="n">
        <v>97</v>
      </c>
      <c r="D4136" s="8" t="n">
        <v>4413.5</v>
      </c>
      <c r="E4136" s="8" t="n">
        <v>30</v>
      </c>
      <c r="F4136" s="8" t="n">
        <v>1365</v>
      </c>
    </row>
    <row r="4137" customFormat="false" ht="15" hidden="false" customHeight="true" outlineLevel="0" collapsed="false">
      <c r="A4137" s="8" t="s">
        <v>162</v>
      </c>
      <c r="B4137" s="8" t="s">
        <v>1209</v>
      </c>
      <c r="C4137" s="8" t="n">
        <v>27</v>
      </c>
      <c r="D4137" s="8" t="n">
        <v>2100.6</v>
      </c>
      <c r="E4137" s="8" t="n">
        <v>7</v>
      </c>
      <c r="F4137" s="8" t="n">
        <v>544.6</v>
      </c>
    </row>
    <row r="4138" customFormat="false" ht="15" hidden="false" customHeight="true" outlineLevel="0" collapsed="false">
      <c r="A4138" s="8" t="s">
        <v>171</v>
      </c>
      <c r="B4138" s="8" t="s">
        <v>1210</v>
      </c>
      <c r="C4138" s="8" t="n">
        <v>22</v>
      </c>
      <c r="D4138" s="8" t="n">
        <v>1039.06</v>
      </c>
      <c r="E4138" s="8" t="n">
        <v>8</v>
      </c>
      <c r="F4138" s="8" t="n">
        <v>377.84</v>
      </c>
    </row>
    <row r="4139" customFormat="false" ht="15" hidden="false" customHeight="true" outlineLevel="0" collapsed="false">
      <c r="A4139" s="8" t="s">
        <v>174</v>
      </c>
      <c r="B4139" s="8" t="s">
        <v>1210</v>
      </c>
      <c r="C4139" s="8" t="n">
        <v>25</v>
      </c>
      <c r="D4139" s="8" t="n">
        <v>1180.75</v>
      </c>
      <c r="E4139" s="8" t="n">
        <v>9</v>
      </c>
      <c r="F4139" s="8" t="n">
        <v>425.07</v>
      </c>
    </row>
    <row r="4140" customFormat="false" ht="15" hidden="false" customHeight="true" outlineLevel="0" collapsed="false">
      <c r="A4140" s="8" t="s">
        <v>166</v>
      </c>
      <c r="B4140" s="8" t="s">
        <v>1211</v>
      </c>
      <c r="C4140" s="8" t="n">
        <v>8</v>
      </c>
      <c r="D4140" s="8" t="n">
        <v>506.16</v>
      </c>
      <c r="E4140" s="8" t="n">
        <v>5</v>
      </c>
      <c r="F4140" s="8" t="n">
        <v>316.35</v>
      </c>
    </row>
    <row r="4141" customFormat="false" ht="15" hidden="false" customHeight="true" outlineLevel="0" collapsed="false">
      <c r="A4141" s="8" t="s">
        <v>164</v>
      </c>
      <c r="B4141" s="8" t="s">
        <v>1211</v>
      </c>
      <c r="C4141" s="8" t="n">
        <v>8</v>
      </c>
      <c r="D4141" s="8" t="n">
        <v>506.16</v>
      </c>
      <c r="E4141" s="8" t="n">
        <v>3</v>
      </c>
      <c r="F4141" s="8" t="n">
        <v>189.81</v>
      </c>
    </row>
    <row r="4142" customFormat="false" ht="15" hidden="false" customHeight="true" outlineLevel="0" collapsed="false">
      <c r="A4142" s="8" t="s">
        <v>222</v>
      </c>
      <c r="B4142" s="8" t="s">
        <v>1211</v>
      </c>
      <c r="C4142" s="8" t="n">
        <v>1</v>
      </c>
      <c r="D4142" s="8" t="n">
        <v>63.27</v>
      </c>
      <c r="E4142" s="8" t="n">
        <v>0</v>
      </c>
      <c r="F4142" s="8" t="n">
        <v>0</v>
      </c>
    </row>
    <row r="4143" customFormat="false" ht="15" hidden="false" customHeight="true" outlineLevel="0" collapsed="false">
      <c r="A4143" s="8" t="s">
        <v>187</v>
      </c>
      <c r="B4143" s="8" t="s">
        <v>1211</v>
      </c>
      <c r="C4143" s="8" t="n">
        <v>6</v>
      </c>
      <c r="D4143" s="8" t="n">
        <v>379.62</v>
      </c>
      <c r="E4143" s="8" t="n">
        <v>2</v>
      </c>
      <c r="F4143" s="8" t="n">
        <v>126.54</v>
      </c>
    </row>
    <row r="4144" customFormat="false" ht="15" hidden="false" customHeight="true" outlineLevel="0" collapsed="false">
      <c r="A4144" s="8" t="s">
        <v>270</v>
      </c>
      <c r="B4144" s="8" t="s">
        <v>1251</v>
      </c>
      <c r="C4144" s="8" t="n">
        <v>17</v>
      </c>
      <c r="D4144" s="8" t="n">
        <v>166.94</v>
      </c>
      <c r="E4144" s="8" t="n">
        <v>0</v>
      </c>
      <c r="F4144" s="8" t="n">
        <v>0</v>
      </c>
    </row>
    <row r="4145" customFormat="false" ht="15" hidden="false" customHeight="true" outlineLevel="0" collapsed="false">
      <c r="A4145" s="8" t="s">
        <v>307</v>
      </c>
      <c r="B4145" s="8" t="s">
        <v>1252</v>
      </c>
      <c r="C4145" s="8" t="n">
        <v>8</v>
      </c>
      <c r="D4145" s="8" t="n">
        <v>114.24</v>
      </c>
      <c r="E4145" s="8" t="n">
        <v>2</v>
      </c>
      <c r="F4145" s="8" t="n">
        <v>28.56</v>
      </c>
    </row>
    <row r="4146" customFormat="false" ht="15" hidden="false" customHeight="true" outlineLevel="0" collapsed="false">
      <c r="A4146" s="8" t="s">
        <v>263</v>
      </c>
      <c r="B4146" s="8" t="s">
        <v>407</v>
      </c>
      <c r="C4146" s="8" t="n">
        <v>8</v>
      </c>
      <c r="D4146" s="8" t="n">
        <v>102.56</v>
      </c>
      <c r="E4146" s="8" t="n">
        <v>3</v>
      </c>
      <c r="F4146" s="8" t="n">
        <v>38.46</v>
      </c>
    </row>
    <row r="4147" customFormat="false" ht="15" hidden="false" customHeight="true" outlineLevel="0" collapsed="false">
      <c r="A4147" s="8" t="s">
        <v>206</v>
      </c>
      <c r="B4147" s="8" t="s">
        <v>1288</v>
      </c>
      <c r="C4147" s="8" t="n">
        <v>5</v>
      </c>
      <c r="D4147" s="8" t="n">
        <v>486.75</v>
      </c>
      <c r="E4147" s="8" t="n">
        <v>0</v>
      </c>
      <c r="F4147" s="8" t="n">
        <v>0</v>
      </c>
    </row>
    <row r="4148" customFormat="false" ht="15" hidden="false" customHeight="true" outlineLevel="0" collapsed="false">
      <c r="A4148" s="8" t="s">
        <v>188</v>
      </c>
      <c r="B4148" s="8" t="s">
        <v>1225</v>
      </c>
      <c r="C4148" s="8" t="n">
        <v>13</v>
      </c>
      <c r="D4148" s="8" t="n">
        <v>376.09</v>
      </c>
      <c r="E4148" s="8" t="n">
        <v>2</v>
      </c>
      <c r="F4148" s="8" t="n">
        <v>57.86</v>
      </c>
    </row>
    <row r="4149" customFormat="false" ht="15" hidden="false" customHeight="true" outlineLevel="0" collapsed="false">
      <c r="A4149" s="8" t="s">
        <v>186</v>
      </c>
      <c r="B4149" s="8" t="s">
        <v>1225</v>
      </c>
      <c r="C4149" s="8" t="n">
        <v>6</v>
      </c>
      <c r="D4149" s="8" t="n">
        <v>173.58</v>
      </c>
      <c r="E4149" s="8" t="n">
        <v>2</v>
      </c>
      <c r="F4149" s="8" t="n">
        <v>57.86</v>
      </c>
    </row>
    <row r="4150" customFormat="false" ht="15" hidden="false" customHeight="true" outlineLevel="0" collapsed="false">
      <c r="A4150" s="8" t="s">
        <v>239</v>
      </c>
      <c r="B4150" s="8" t="s">
        <v>1225</v>
      </c>
      <c r="C4150" s="8" t="n">
        <v>2</v>
      </c>
      <c r="D4150" s="8" t="n">
        <v>57.86</v>
      </c>
      <c r="E4150" s="8" t="n">
        <v>2</v>
      </c>
      <c r="F4150" s="8" t="n">
        <v>57.86</v>
      </c>
    </row>
    <row r="4151" customFormat="false" ht="15" hidden="false" customHeight="true" outlineLevel="0" collapsed="false">
      <c r="A4151" s="8" t="s">
        <v>210</v>
      </c>
      <c r="B4151" s="8" t="s">
        <v>1225</v>
      </c>
      <c r="C4151" s="8" t="n">
        <v>15</v>
      </c>
      <c r="D4151" s="8" t="n">
        <v>433.95</v>
      </c>
      <c r="E4151" s="8" t="n">
        <v>4</v>
      </c>
      <c r="F4151" s="8" t="n">
        <v>115.72</v>
      </c>
    </row>
    <row r="4152" customFormat="false" ht="15" hidden="false" customHeight="true" outlineLevel="0" collapsed="false">
      <c r="A4152" s="8" t="s">
        <v>238</v>
      </c>
      <c r="B4152" s="8" t="s">
        <v>1226</v>
      </c>
      <c r="C4152" s="8" t="n">
        <v>6</v>
      </c>
      <c r="D4152" s="8" t="n">
        <v>253.02</v>
      </c>
      <c r="E4152" s="8" t="n">
        <v>0</v>
      </c>
      <c r="F4152" s="8" t="n">
        <v>0</v>
      </c>
    </row>
    <row r="4153" customFormat="false" ht="15" hidden="false" customHeight="true" outlineLevel="0" collapsed="false">
      <c r="A4153" s="8" t="s">
        <v>201</v>
      </c>
      <c r="B4153" s="8" t="s">
        <v>1226</v>
      </c>
      <c r="C4153" s="8" t="n">
        <v>4</v>
      </c>
      <c r="D4153" s="8" t="n">
        <v>168.68</v>
      </c>
      <c r="E4153" s="8" t="n">
        <v>0</v>
      </c>
      <c r="F4153" s="8" t="n">
        <v>0</v>
      </c>
    </row>
    <row r="4154" customFormat="false" ht="15" hidden="false" customHeight="true" outlineLevel="0" collapsed="false">
      <c r="A4154" s="8" t="s">
        <v>214</v>
      </c>
      <c r="B4154" s="8" t="s">
        <v>1226</v>
      </c>
      <c r="C4154" s="8" t="n">
        <v>7</v>
      </c>
      <c r="D4154" s="8" t="n">
        <v>295.19</v>
      </c>
      <c r="E4154" s="8" t="n">
        <v>0</v>
      </c>
      <c r="F4154" s="8" t="n">
        <v>0</v>
      </c>
    </row>
    <row r="4155" customFormat="false" ht="15" hidden="false" customHeight="true" outlineLevel="0" collapsed="false">
      <c r="A4155" s="8" t="s">
        <v>241</v>
      </c>
      <c r="B4155" s="8" t="s">
        <v>1227</v>
      </c>
      <c r="C4155" s="8" t="n">
        <v>10</v>
      </c>
      <c r="D4155" s="8" t="n">
        <v>170</v>
      </c>
      <c r="E4155" s="8" t="n">
        <v>3</v>
      </c>
      <c r="F4155" s="8" t="n">
        <v>51</v>
      </c>
    </row>
    <row r="4156" customFormat="false" ht="15" hidden="false" customHeight="true" outlineLevel="0" collapsed="false">
      <c r="A4156" s="8" t="s">
        <v>219</v>
      </c>
      <c r="B4156" s="8" t="s">
        <v>1227</v>
      </c>
      <c r="C4156" s="8" t="n">
        <v>11</v>
      </c>
      <c r="D4156" s="8" t="n">
        <v>187</v>
      </c>
      <c r="E4156" s="8" t="n">
        <v>4</v>
      </c>
      <c r="F4156" s="8" t="n">
        <v>68</v>
      </c>
    </row>
    <row r="4157" customFormat="false" ht="15" hidden="false" customHeight="true" outlineLevel="0" collapsed="false">
      <c r="A4157" s="8" t="s">
        <v>292</v>
      </c>
      <c r="B4157" s="8" t="s">
        <v>1227</v>
      </c>
      <c r="C4157" s="8" t="n">
        <v>5</v>
      </c>
      <c r="D4157" s="8" t="n">
        <v>85</v>
      </c>
      <c r="E4157" s="8" t="n">
        <v>0</v>
      </c>
      <c r="F4157" s="8" t="n">
        <v>0</v>
      </c>
    </row>
    <row r="4158" customFormat="false" ht="15" hidden="false" customHeight="true" outlineLevel="0" collapsed="false">
      <c r="A4158" s="8" t="s">
        <v>223</v>
      </c>
      <c r="B4158" s="8" t="s">
        <v>1227</v>
      </c>
      <c r="C4158" s="8" t="n">
        <v>10</v>
      </c>
      <c r="D4158" s="8" t="n">
        <v>170</v>
      </c>
      <c r="E4158" s="8" t="n">
        <v>3</v>
      </c>
      <c r="F4158" s="8" t="n">
        <v>51</v>
      </c>
    </row>
    <row r="4159" customFormat="false" ht="15" hidden="false" customHeight="true" outlineLevel="0" collapsed="false">
      <c r="A4159" s="8" t="s">
        <v>368</v>
      </c>
      <c r="B4159" s="8" t="s">
        <v>1227</v>
      </c>
      <c r="C4159" s="8" t="n">
        <v>1</v>
      </c>
      <c r="D4159" s="8" t="n">
        <v>17</v>
      </c>
      <c r="E4159" s="8" t="n">
        <v>0</v>
      </c>
      <c r="F4159" s="8" t="n">
        <v>0</v>
      </c>
    </row>
    <row r="4160" customFormat="false" ht="15" hidden="false" customHeight="true" outlineLevel="0" collapsed="false">
      <c r="A4160" s="8" t="s">
        <v>287</v>
      </c>
      <c r="B4160" s="8" t="s">
        <v>1227</v>
      </c>
      <c r="C4160" s="8" t="n">
        <v>2</v>
      </c>
      <c r="D4160" s="8" t="n">
        <v>34</v>
      </c>
      <c r="E4160" s="8" t="n">
        <v>2</v>
      </c>
      <c r="F4160" s="8" t="n">
        <v>34</v>
      </c>
    </row>
    <row r="4161" customFormat="false" ht="15" hidden="false" customHeight="true" outlineLevel="0" collapsed="false">
      <c r="A4161" s="8" t="s">
        <v>229</v>
      </c>
      <c r="B4161" s="8" t="s">
        <v>881</v>
      </c>
      <c r="C4161" s="8" t="n">
        <v>15</v>
      </c>
      <c r="D4161" s="8" t="n">
        <v>618</v>
      </c>
      <c r="E4161" s="8" t="n">
        <v>3</v>
      </c>
      <c r="F4161" s="8" t="n">
        <v>123.6</v>
      </c>
    </row>
    <row r="4162" customFormat="false" ht="15" hidden="false" customHeight="true" outlineLevel="0" collapsed="false">
      <c r="A4162" s="8" t="s">
        <v>237</v>
      </c>
      <c r="B4162" s="8" t="s">
        <v>1259</v>
      </c>
      <c r="C4162" s="8" t="n">
        <v>14</v>
      </c>
      <c r="D4162" s="8" t="n">
        <v>258.3</v>
      </c>
      <c r="E4162" s="8" t="n">
        <v>4</v>
      </c>
      <c r="F4162" s="8" t="n">
        <v>73.8</v>
      </c>
    </row>
    <row r="4163" customFormat="false" ht="15" hidden="false" customHeight="true" outlineLevel="0" collapsed="false">
      <c r="A4163" s="8" t="s">
        <v>271</v>
      </c>
      <c r="B4163" s="8" t="s">
        <v>1260</v>
      </c>
      <c r="C4163" s="8" t="n">
        <v>4</v>
      </c>
      <c r="D4163" s="8" t="n">
        <v>93.6</v>
      </c>
      <c r="E4163" s="8" t="n">
        <v>0</v>
      </c>
      <c r="F4163" s="8" t="n">
        <v>0</v>
      </c>
    </row>
    <row r="4164" customFormat="false" ht="15" hidden="false" customHeight="true" outlineLevel="0" collapsed="false">
      <c r="A4164" s="8" t="s">
        <v>266</v>
      </c>
      <c r="B4164" s="8" t="s">
        <v>1228</v>
      </c>
      <c r="C4164" s="8" t="n">
        <v>6</v>
      </c>
      <c r="D4164" s="8" t="n">
        <v>119.52</v>
      </c>
      <c r="E4164" s="8" t="n">
        <v>0</v>
      </c>
      <c r="F4164" s="8" t="n">
        <v>0</v>
      </c>
    </row>
    <row r="4165" customFormat="false" ht="15" hidden="false" customHeight="true" outlineLevel="0" collapsed="false">
      <c r="A4165" s="8" t="s">
        <v>246</v>
      </c>
      <c r="B4165" s="8" t="s">
        <v>1261</v>
      </c>
      <c r="C4165" s="8" t="n">
        <v>6</v>
      </c>
      <c r="D4165" s="8" t="n">
        <v>104.1</v>
      </c>
      <c r="E4165" s="8" t="n">
        <v>3</v>
      </c>
      <c r="F4165" s="8" t="n">
        <v>52.05</v>
      </c>
    </row>
    <row r="4166" customFormat="false" ht="15" hidden="false" customHeight="true" outlineLevel="0" collapsed="false">
      <c r="A4166" s="8" t="s">
        <v>202</v>
      </c>
      <c r="B4166" s="8" t="s">
        <v>1212</v>
      </c>
      <c r="C4166" s="8" t="n">
        <v>35</v>
      </c>
      <c r="D4166" s="8" t="n">
        <v>332.5</v>
      </c>
      <c r="E4166" s="8" t="n">
        <v>5</v>
      </c>
      <c r="F4166" s="8" t="n">
        <v>47.5</v>
      </c>
    </row>
    <row r="4167" customFormat="false" ht="15" hidden="false" customHeight="true" outlineLevel="0" collapsed="false">
      <c r="A4167" s="8" t="s">
        <v>244</v>
      </c>
      <c r="B4167" s="8" t="s">
        <v>1213</v>
      </c>
      <c r="C4167" s="8" t="n">
        <v>19</v>
      </c>
      <c r="D4167" s="8" t="n">
        <v>180.5</v>
      </c>
      <c r="E4167" s="8" t="n">
        <v>5</v>
      </c>
      <c r="F4167" s="8" t="n">
        <v>47.5</v>
      </c>
    </row>
    <row r="4168" customFormat="false" ht="15" hidden="false" customHeight="true" outlineLevel="0" collapsed="false">
      <c r="A4168" s="8" t="s">
        <v>243</v>
      </c>
      <c r="B4168" s="8" t="s">
        <v>1253</v>
      </c>
      <c r="C4168" s="8" t="n">
        <v>3</v>
      </c>
      <c r="D4168" s="8" t="n">
        <v>38.85</v>
      </c>
      <c r="E4168" s="8" t="n">
        <v>0</v>
      </c>
      <c r="F4168" s="8" t="n">
        <v>0</v>
      </c>
    </row>
    <row r="4169" customFormat="false" ht="15" hidden="false" customHeight="true" outlineLevel="0" collapsed="false">
      <c r="A4169" s="8" t="s">
        <v>251</v>
      </c>
      <c r="B4169" s="8" t="s">
        <v>1262</v>
      </c>
      <c r="C4169" s="8" t="n">
        <v>29</v>
      </c>
      <c r="D4169" s="8" t="n">
        <v>281.59</v>
      </c>
      <c r="E4169" s="8" t="n">
        <v>5</v>
      </c>
      <c r="F4169" s="8" t="n">
        <v>48.55</v>
      </c>
    </row>
    <row r="4170" customFormat="false" ht="15" hidden="false" customHeight="true" outlineLevel="0" collapsed="false">
      <c r="A4170" s="8" t="s">
        <v>308</v>
      </c>
      <c r="B4170" s="8" t="s">
        <v>1229</v>
      </c>
      <c r="C4170" s="8" t="n">
        <v>12</v>
      </c>
      <c r="D4170" s="8" t="n">
        <v>96.96</v>
      </c>
      <c r="E4170" s="8" t="n">
        <v>5</v>
      </c>
      <c r="F4170" s="8" t="n">
        <v>40.4</v>
      </c>
    </row>
    <row r="4171" customFormat="false" ht="15" hidden="false" customHeight="true" outlineLevel="0" collapsed="false">
      <c r="A4171" s="8" t="s">
        <v>172</v>
      </c>
      <c r="B4171" s="8" t="s">
        <v>1214</v>
      </c>
      <c r="C4171" s="8" t="n">
        <v>122</v>
      </c>
      <c r="D4171" s="8" t="n">
        <v>1485.96</v>
      </c>
      <c r="E4171" s="8" t="n">
        <v>5</v>
      </c>
      <c r="F4171" s="8" t="n">
        <v>60.9</v>
      </c>
    </row>
    <row r="4172" customFormat="false" ht="15" hidden="false" customHeight="true" outlineLevel="0" collapsed="false">
      <c r="A4172" s="8" t="s">
        <v>242</v>
      </c>
      <c r="B4172" s="8" t="s">
        <v>1230</v>
      </c>
      <c r="C4172" s="8" t="n">
        <v>2</v>
      </c>
      <c r="D4172" s="8" t="n">
        <v>77.4</v>
      </c>
      <c r="E4172" s="8" t="n">
        <v>1</v>
      </c>
      <c r="F4172" s="8" t="n">
        <v>38.7</v>
      </c>
    </row>
    <row r="4173" customFormat="false" ht="15" hidden="false" customHeight="true" outlineLevel="0" collapsed="false">
      <c r="A4173" s="8" t="s">
        <v>261</v>
      </c>
      <c r="B4173" s="8" t="s">
        <v>1215</v>
      </c>
      <c r="C4173" s="8" t="n">
        <v>20</v>
      </c>
      <c r="D4173" s="8" t="n">
        <v>424.2</v>
      </c>
      <c r="E4173" s="8" t="n">
        <v>4</v>
      </c>
      <c r="F4173" s="8" t="n">
        <v>84.84</v>
      </c>
    </row>
    <row r="4174" customFormat="false" ht="15" hidden="false" customHeight="true" outlineLevel="0" collapsed="false">
      <c r="A4174" s="8" t="s">
        <v>269</v>
      </c>
      <c r="B4174" s="8" t="s">
        <v>1231</v>
      </c>
      <c r="C4174" s="8" t="n">
        <v>6</v>
      </c>
      <c r="D4174" s="8" t="n">
        <v>67.98</v>
      </c>
      <c r="E4174" s="8" t="n">
        <v>0</v>
      </c>
      <c r="F4174" s="8" t="n">
        <v>0</v>
      </c>
    </row>
    <row r="4175" customFormat="false" ht="15" hidden="false" customHeight="true" outlineLevel="0" collapsed="false">
      <c r="A4175" s="8" t="s">
        <v>213</v>
      </c>
      <c r="B4175" s="8" t="s">
        <v>1232</v>
      </c>
      <c r="C4175" s="8" t="n">
        <v>25</v>
      </c>
      <c r="D4175" s="8" t="n">
        <v>688.75</v>
      </c>
      <c r="E4175" s="8" t="n">
        <v>3</v>
      </c>
      <c r="F4175" s="8" t="n">
        <v>82.65</v>
      </c>
    </row>
    <row r="4176" customFormat="false" ht="15" hidden="false" customHeight="true" outlineLevel="0" collapsed="false">
      <c r="A4176" s="8" t="s">
        <v>288</v>
      </c>
      <c r="B4176" s="8" t="s">
        <v>939</v>
      </c>
      <c r="C4176" s="8" t="n">
        <v>3</v>
      </c>
      <c r="D4176" s="8" t="n">
        <v>60.72</v>
      </c>
      <c r="E4176" s="8" t="n">
        <v>0</v>
      </c>
      <c r="F4176" s="8" t="n">
        <v>0</v>
      </c>
    </row>
    <row r="4177" customFormat="false" ht="15" hidden="false" customHeight="true" outlineLevel="0" collapsed="false">
      <c r="A4177" s="8" t="s">
        <v>281</v>
      </c>
      <c r="B4177" s="8" t="s">
        <v>1254</v>
      </c>
      <c r="C4177" s="8" t="n">
        <v>13</v>
      </c>
      <c r="D4177" s="8" t="n">
        <v>179.92</v>
      </c>
      <c r="E4177" s="8" t="n">
        <v>4</v>
      </c>
      <c r="F4177" s="8" t="n">
        <v>55.36</v>
      </c>
    </row>
    <row r="4178" customFormat="false" ht="15" hidden="false" customHeight="true" outlineLevel="0" collapsed="false">
      <c r="A4178" s="8" t="s">
        <v>232</v>
      </c>
      <c r="B4178" s="8" t="s">
        <v>1233</v>
      </c>
      <c r="C4178" s="8" t="n">
        <v>16</v>
      </c>
      <c r="D4178" s="8" t="n">
        <v>259.2</v>
      </c>
      <c r="E4178" s="8" t="n">
        <v>8</v>
      </c>
      <c r="F4178" s="8" t="n">
        <v>129.6</v>
      </c>
    </row>
    <row r="4179" customFormat="false" ht="15" hidden="false" customHeight="true" outlineLevel="0" collapsed="false">
      <c r="A4179" s="8" t="s">
        <v>215</v>
      </c>
      <c r="B4179" s="8" t="s">
        <v>1233</v>
      </c>
      <c r="C4179" s="8" t="n">
        <v>23</v>
      </c>
      <c r="D4179" s="8" t="n">
        <v>409.86</v>
      </c>
      <c r="E4179" s="8" t="n">
        <v>0</v>
      </c>
      <c r="F4179" s="8" t="n">
        <v>0</v>
      </c>
    </row>
    <row r="4180" customFormat="false" ht="15" hidden="false" customHeight="true" outlineLevel="0" collapsed="false">
      <c r="A4180" s="8" t="s">
        <v>255</v>
      </c>
      <c r="B4180" s="8" t="s">
        <v>1273</v>
      </c>
      <c r="C4180" s="8" t="n">
        <v>29</v>
      </c>
      <c r="D4180" s="8" t="n">
        <v>237.8</v>
      </c>
      <c r="E4180" s="8" t="n">
        <v>10</v>
      </c>
      <c r="F4180" s="8" t="n">
        <v>82</v>
      </c>
    </row>
    <row r="4181" customFormat="false" ht="15" hidden="false" customHeight="true" outlineLevel="0" collapsed="false">
      <c r="A4181" s="8" t="s">
        <v>194</v>
      </c>
      <c r="B4181" s="8" t="s">
        <v>1239</v>
      </c>
      <c r="C4181" s="8" t="n">
        <v>35</v>
      </c>
      <c r="D4181" s="8" t="n">
        <v>343.7</v>
      </c>
      <c r="E4181" s="8" t="n">
        <v>10</v>
      </c>
      <c r="F4181" s="8" t="n">
        <v>98.2</v>
      </c>
    </row>
    <row r="4182" customFormat="false" ht="15" hidden="false" customHeight="true" outlineLevel="0" collapsed="false">
      <c r="A4182" s="8" t="s">
        <v>279</v>
      </c>
      <c r="B4182" s="8" t="s">
        <v>1274</v>
      </c>
      <c r="C4182" s="8" t="n">
        <v>22</v>
      </c>
      <c r="D4182" s="8" t="n">
        <v>216.04</v>
      </c>
      <c r="E4182" s="8" t="n">
        <v>15</v>
      </c>
      <c r="F4182" s="8" t="n">
        <v>147.3</v>
      </c>
    </row>
    <row r="4183" customFormat="false" ht="15" hidden="false" customHeight="true" outlineLevel="0" collapsed="false">
      <c r="A4183" s="8" t="s">
        <v>299</v>
      </c>
      <c r="B4183" s="8" t="s">
        <v>1263</v>
      </c>
      <c r="C4183" s="8" t="n">
        <v>1</v>
      </c>
      <c r="D4183" s="8" t="n">
        <v>53.53</v>
      </c>
      <c r="E4183" s="8" t="n">
        <v>0</v>
      </c>
      <c r="F4183" s="8" t="n">
        <v>0</v>
      </c>
    </row>
    <row r="4184" customFormat="false" ht="15" hidden="false" customHeight="true" outlineLevel="0" collapsed="false">
      <c r="A4184" s="8" t="s">
        <v>265</v>
      </c>
      <c r="B4184" s="8" t="s">
        <v>621</v>
      </c>
      <c r="C4184" s="8" t="n">
        <v>1</v>
      </c>
      <c r="D4184" s="8" t="n">
        <v>42</v>
      </c>
      <c r="E4184" s="8" t="n">
        <v>0</v>
      </c>
      <c r="F4184" s="8" t="n">
        <v>0</v>
      </c>
    </row>
    <row r="4185" customFormat="false" ht="15" hidden="false" customHeight="true" outlineLevel="0" collapsed="false">
      <c r="A4185" s="8" t="s">
        <v>276</v>
      </c>
      <c r="B4185" s="8" t="s">
        <v>621</v>
      </c>
      <c r="C4185" s="8" t="n">
        <v>1</v>
      </c>
      <c r="D4185" s="8" t="n">
        <v>42</v>
      </c>
      <c r="E4185" s="8" t="n">
        <v>0</v>
      </c>
      <c r="F4185" s="8" t="n">
        <v>0</v>
      </c>
    </row>
    <row r="4186" customFormat="false" ht="15" hidden="false" customHeight="true" outlineLevel="0" collapsed="false">
      <c r="A4186" s="8" t="s">
        <v>326</v>
      </c>
      <c r="B4186" s="8" t="s">
        <v>1281</v>
      </c>
      <c r="C4186" s="8" t="n">
        <v>2</v>
      </c>
      <c r="D4186" s="8" t="n">
        <v>47.2</v>
      </c>
      <c r="E4186" s="8" t="n">
        <v>0</v>
      </c>
      <c r="F4186" s="8" t="n">
        <v>0</v>
      </c>
    </row>
    <row r="4187" customFormat="false" ht="15" hidden="false" customHeight="true" outlineLevel="0" collapsed="false">
      <c r="A4187" s="8" t="s">
        <v>331</v>
      </c>
      <c r="B4187" s="8" t="s">
        <v>1255</v>
      </c>
      <c r="C4187" s="8" t="n">
        <v>2</v>
      </c>
      <c r="D4187" s="8" t="n">
        <v>47.2</v>
      </c>
      <c r="E4187" s="8" t="n">
        <v>0</v>
      </c>
      <c r="F4187" s="8" t="n">
        <v>0</v>
      </c>
    </row>
    <row r="4188" customFormat="false" ht="15" hidden="false" customHeight="true" outlineLevel="0" collapsed="false">
      <c r="A4188" s="8" t="s">
        <v>374</v>
      </c>
      <c r="B4188" s="8" t="s">
        <v>1256</v>
      </c>
      <c r="C4188" s="8" t="n">
        <v>3</v>
      </c>
      <c r="D4188" s="8" t="n">
        <v>70.8</v>
      </c>
      <c r="E4188" s="8" t="n">
        <v>0</v>
      </c>
      <c r="F4188" s="8" t="n">
        <v>0</v>
      </c>
    </row>
    <row r="4189" customFormat="false" ht="15" hidden="false" customHeight="true" outlineLevel="0" collapsed="false">
      <c r="A4189" s="8" t="s">
        <v>318</v>
      </c>
      <c r="B4189" s="8" t="s">
        <v>1256</v>
      </c>
      <c r="C4189" s="8" t="n">
        <v>2</v>
      </c>
      <c r="D4189" s="8" t="n">
        <v>47.2</v>
      </c>
      <c r="E4189" s="8" t="n">
        <v>0</v>
      </c>
      <c r="F4189" s="8" t="n">
        <v>0</v>
      </c>
    </row>
    <row r="4190" customFormat="false" ht="15" hidden="false" customHeight="true" outlineLevel="0" collapsed="false">
      <c r="A4190" s="8" t="s">
        <v>285</v>
      </c>
      <c r="B4190" s="8" t="s">
        <v>1237</v>
      </c>
      <c r="C4190" s="8" t="n">
        <v>9</v>
      </c>
      <c r="D4190" s="8" t="n">
        <v>165.6</v>
      </c>
      <c r="E4190" s="8" t="n">
        <v>0</v>
      </c>
      <c r="F4190" s="8" t="n">
        <v>0</v>
      </c>
    </row>
    <row r="4191" customFormat="false" ht="15" hidden="false" customHeight="true" outlineLevel="0" collapsed="false">
      <c r="A4191" s="8" t="s">
        <v>225</v>
      </c>
      <c r="B4191" s="8" t="s">
        <v>1237</v>
      </c>
      <c r="C4191" s="8" t="n">
        <v>33</v>
      </c>
      <c r="D4191" s="8" t="n">
        <v>607.2</v>
      </c>
      <c r="E4191" s="8" t="n">
        <v>0</v>
      </c>
      <c r="F4191" s="8" t="n">
        <v>0</v>
      </c>
    </row>
    <row r="4192" customFormat="false" ht="15" hidden="false" customHeight="true" outlineLevel="0" collapsed="false">
      <c r="A4192" s="8" t="s">
        <v>217</v>
      </c>
      <c r="B4192" s="8" t="s">
        <v>1237</v>
      </c>
      <c r="C4192" s="8" t="n">
        <v>32</v>
      </c>
      <c r="D4192" s="8" t="n">
        <v>588.8</v>
      </c>
      <c r="E4192" s="8" t="n">
        <v>0</v>
      </c>
      <c r="F4192" s="8" t="n">
        <v>0</v>
      </c>
    </row>
    <row r="4193" customFormat="false" ht="15" hidden="false" customHeight="true" outlineLevel="0" collapsed="false">
      <c r="A4193" s="8" t="s">
        <v>313</v>
      </c>
      <c r="B4193" s="8" t="s">
        <v>1294</v>
      </c>
      <c r="C4193" s="8" t="n">
        <v>5</v>
      </c>
      <c r="D4193" s="8" t="n">
        <v>92</v>
      </c>
      <c r="E4193" s="8" t="n">
        <v>0</v>
      </c>
      <c r="F4193" s="8" t="n">
        <v>0</v>
      </c>
    </row>
    <row r="4194" customFormat="false" ht="15" hidden="false" customHeight="true" outlineLevel="0" collapsed="false">
      <c r="A4194" s="8" t="s">
        <v>316</v>
      </c>
      <c r="B4194" s="8" t="s">
        <v>1294</v>
      </c>
      <c r="C4194" s="8" t="n">
        <v>4</v>
      </c>
      <c r="D4194" s="8" t="n">
        <v>73.6</v>
      </c>
      <c r="E4194" s="8" t="n">
        <v>0</v>
      </c>
      <c r="F4194" s="8" t="n">
        <v>0</v>
      </c>
    </row>
    <row r="4195" customFormat="false" ht="15" hidden="false" customHeight="true" outlineLevel="0" collapsed="false">
      <c r="A4195" s="8" t="s">
        <v>335</v>
      </c>
      <c r="B4195" s="8" t="s">
        <v>1294</v>
      </c>
      <c r="C4195" s="8" t="n">
        <v>6</v>
      </c>
      <c r="D4195" s="8" t="n">
        <v>110.4</v>
      </c>
      <c r="E4195" s="8" t="n">
        <v>0</v>
      </c>
      <c r="F4195" s="8" t="n">
        <v>0</v>
      </c>
    </row>
    <row r="4196" customFormat="false" ht="15" hidden="false" customHeight="true" outlineLevel="0" collapsed="false">
      <c r="A4196" s="8" t="s">
        <v>322</v>
      </c>
      <c r="B4196" s="8" t="s">
        <v>1264</v>
      </c>
      <c r="C4196" s="8" t="n">
        <v>8</v>
      </c>
      <c r="D4196" s="8" t="n">
        <v>147.2</v>
      </c>
      <c r="E4196" s="8" t="n">
        <v>0</v>
      </c>
      <c r="F4196" s="8" t="n">
        <v>0</v>
      </c>
    </row>
    <row r="4197" customFormat="false" ht="15" hidden="false" customHeight="true" outlineLevel="0" collapsed="false">
      <c r="A4197" s="8" t="s">
        <v>364</v>
      </c>
      <c r="B4197" s="8" t="s">
        <v>1264</v>
      </c>
      <c r="C4197" s="8" t="n">
        <v>10</v>
      </c>
      <c r="D4197" s="8" t="n">
        <v>184</v>
      </c>
      <c r="E4197" s="8" t="n">
        <v>0</v>
      </c>
      <c r="F4197" s="8" t="n">
        <v>0</v>
      </c>
    </row>
    <row r="4198" customFormat="false" ht="15" hidden="false" customHeight="true" outlineLevel="0" collapsed="false">
      <c r="A4198" s="8" t="s">
        <v>325</v>
      </c>
      <c r="B4198" s="8" t="s">
        <v>1264</v>
      </c>
      <c r="C4198" s="8" t="n">
        <v>5</v>
      </c>
      <c r="D4198" s="8" t="n">
        <v>92</v>
      </c>
      <c r="E4198" s="8" t="n">
        <v>0</v>
      </c>
      <c r="F4198" s="8" t="n">
        <v>0</v>
      </c>
    </row>
    <row r="4199" customFormat="false" ht="15" hidden="false" customHeight="true" outlineLevel="0" collapsed="false">
      <c r="A4199" s="8" t="s">
        <v>192</v>
      </c>
      <c r="B4199" s="8" t="s">
        <v>1240</v>
      </c>
      <c r="C4199" s="8" t="n">
        <v>7</v>
      </c>
      <c r="D4199" s="8" t="n">
        <v>292.67</v>
      </c>
      <c r="E4199" s="8" t="n">
        <v>0</v>
      </c>
      <c r="F4199" s="8" t="n">
        <v>0</v>
      </c>
    </row>
    <row r="4200" customFormat="false" ht="15" hidden="false" customHeight="true" outlineLevel="0" collapsed="false">
      <c r="A4200" s="8" t="s">
        <v>168</v>
      </c>
      <c r="B4200" s="8" t="s">
        <v>1240</v>
      </c>
      <c r="C4200" s="8" t="n">
        <v>13</v>
      </c>
      <c r="D4200" s="8" t="n">
        <v>543.53</v>
      </c>
      <c r="E4200" s="8" t="n">
        <v>0</v>
      </c>
      <c r="F4200" s="8" t="n">
        <v>0</v>
      </c>
    </row>
    <row r="4201" customFormat="false" ht="15" hidden="false" customHeight="true" outlineLevel="0" collapsed="false">
      <c r="A4201" s="8" t="s">
        <v>169</v>
      </c>
      <c r="B4201" s="8" t="s">
        <v>1240</v>
      </c>
      <c r="C4201" s="8" t="n">
        <v>8</v>
      </c>
      <c r="D4201" s="8" t="n">
        <v>334.48</v>
      </c>
      <c r="E4201" s="8" t="n">
        <v>0</v>
      </c>
      <c r="F4201" s="8" t="n">
        <v>0</v>
      </c>
    </row>
    <row r="4202" customFormat="false" ht="15" hidden="false" customHeight="true" outlineLevel="0" collapsed="false">
      <c r="A4202" s="8" t="s">
        <v>268</v>
      </c>
      <c r="B4202" s="8" t="s">
        <v>1234</v>
      </c>
      <c r="C4202" s="8" t="n">
        <v>16</v>
      </c>
      <c r="D4202" s="8" t="n">
        <v>570.72</v>
      </c>
      <c r="E4202" s="8" t="n">
        <v>0</v>
      </c>
      <c r="F4202" s="8" t="n">
        <v>0</v>
      </c>
    </row>
    <row r="4203" customFormat="false" ht="15" hidden="false" customHeight="true" outlineLevel="0" collapsed="false">
      <c r="A4203" s="8" t="s">
        <v>209</v>
      </c>
      <c r="B4203" s="8" t="s">
        <v>1245</v>
      </c>
      <c r="C4203" s="8" t="n">
        <v>5</v>
      </c>
      <c r="D4203" s="8" t="n">
        <v>324.45</v>
      </c>
      <c r="E4203" s="8" t="n">
        <v>0</v>
      </c>
      <c r="F4203" s="8" t="n">
        <v>0</v>
      </c>
    </row>
    <row r="4204" customFormat="false" ht="15" hidden="false" customHeight="true" outlineLevel="0" collapsed="false">
      <c r="A4204" s="8" t="s">
        <v>180</v>
      </c>
      <c r="B4204" s="8" t="s">
        <v>1216</v>
      </c>
      <c r="C4204" s="8" t="n">
        <v>42</v>
      </c>
      <c r="D4204" s="8" t="n">
        <v>693</v>
      </c>
      <c r="E4204" s="8" t="n">
        <v>4</v>
      </c>
      <c r="F4204" s="8" t="n">
        <v>66</v>
      </c>
    </row>
    <row r="4205" customFormat="false" ht="15" hidden="false" customHeight="true" outlineLevel="0" collapsed="false">
      <c r="A4205" s="8" t="s">
        <v>189</v>
      </c>
      <c r="B4205" s="8" t="s">
        <v>1216</v>
      </c>
      <c r="C4205" s="8" t="n">
        <v>38</v>
      </c>
      <c r="D4205" s="8" t="n">
        <v>627</v>
      </c>
      <c r="E4205" s="8" t="n">
        <v>8</v>
      </c>
      <c r="F4205" s="8" t="n">
        <v>132</v>
      </c>
    </row>
    <row r="4206" customFormat="false" ht="15" hidden="false" customHeight="true" outlineLevel="0" collapsed="false">
      <c r="A4206" s="8" t="s">
        <v>267</v>
      </c>
      <c r="B4206" s="8" t="s">
        <v>1216</v>
      </c>
      <c r="C4206" s="8" t="n">
        <v>6</v>
      </c>
      <c r="D4206" s="8" t="n">
        <v>99</v>
      </c>
      <c r="E4206" s="8" t="n">
        <v>4</v>
      </c>
      <c r="F4206" s="8" t="n">
        <v>66</v>
      </c>
    </row>
    <row r="4207" customFormat="false" ht="15" hidden="false" customHeight="true" outlineLevel="0" collapsed="false">
      <c r="A4207" s="8" t="s">
        <v>199</v>
      </c>
      <c r="B4207" s="8" t="s">
        <v>1216</v>
      </c>
      <c r="C4207" s="8" t="n">
        <v>30</v>
      </c>
      <c r="D4207" s="8" t="n">
        <v>495</v>
      </c>
      <c r="E4207" s="8" t="n">
        <v>8</v>
      </c>
      <c r="F4207" s="8" t="n">
        <v>132</v>
      </c>
    </row>
    <row r="4208" customFormat="false" ht="15" hidden="false" customHeight="true" outlineLevel="0" collapsed="false">
      <c r="A4208" s="8" t="s">
        <v>250</v>
      </c>
      <c r="B4208" s="8" t="s">
        <v>1216</v>
      </c>
      <c r="C4208" s="8" t="n">
        <v>8</v>
      </c>
      <c r="D4208" s="8" t="n">
        <v>132</v>
      </c>
      <c r="E4208" s="8" t="n">
        <v>6</v>
      </c>
      <c r="F4208" s="8" t="n">
        <v>99</v>
      </c>
    </row>
    <row r="4209" customFormat="false" ht="15" hidden="false" customHeight="true" outlineLevel="0" collapsed="false">
      <c r="A4209" s="8" t="s">
        <v>198</v>
      </c>
      <c r="B4209" s="8" t="s">
        <v>1217</v>
      </c>
      <c r="C4209" s="8" t="n">
        <v>33</v>
      </c>
      <c r="D4209" s="8" t="n">
        <v>676.5</v>
      </c>
      <c r="E4209" s="8" t="n">
        <v>3</v>
      </c>
      <c r="F4209" s="8" t="n">
        <v>61.5</v>
      </c>
    </row>
    <row r="4210" customFormat="false" ht="15" hidden="false" customHeight="true" outlineLevel="0" collapsed="false">
      <c r="A4210" s="8" t="s">
        <v>193</v>
      </c>
      <c r="B4210" s="8" t="s">
        <v>1217</v>
      </c>
      <c r="C4210" s="8" t="n">
        <v>29</v>
      </c>
      <c r="D4210" s="8" t="n">
        <v>594.5</v>
      </c>
      <c r="E4210" s="8" t="n">
        <v>4</v>
      </c>
      <c r="F4210" s="8" t="n">
        <v>82</v>
      </c>
    </row>
    <row r="4211" customFormat="false" ht="15" hidden="false" customHeight="true" outlineLevel="0" collapsed="false">
      <c r="A4211" s="8" t="s">
        <v>302</v>
      </c>
      <c r="B4211" s="8" t="s">
        <v>1217</v>
      </c>
      <c r="C4211" s="8" t="n">
        <v>2</v>
      </c>
      <c r="D4211" s="8" t="n">
        <v>41</v>
      </c>
      <c r="E4211" s="8" t="n">
        <v>0</v>
      </c>
      <c r="F4211" s="8" t="n">
        <v>0</v>
      </c>
    </row>
    <row r="4212" customFormat="false" ht="15" hidden="false" customHeight="true" outlineLevel="0" collapsed="false">
      <c r="A4212" s="8" t="s">
        <v>205</v>
      </c>
      <c r="B4212" s="8" t="s">
        <v>1217</v>
      </c>
      <c r="C4212" s="8" t="n">
        <v>25</v>
      </c>
      <c r="D4212" s="8" t="n">
        <v>512.5</v>
      </c>
      <c r="E4212" s="8" t="n">
        <v>4</v>
      </c>
      <c r="F4212" s="8" t="n">
        <v>82</v>
      </c>
    </row>
    <row r="4213" customFormat="false" ht="15" hidden="false" customHeight="true" outlineLevel="0" collapsed="false">
      <c r="A4213" s="8" t="s">
        <v>256</v>
      </c>
      <c r="B4213" s="8" t="s">
        <v>1217</v>
      </c>
      <c r="C4213" s="8" t="n">
        <v>18</v>
      </c>
      <c r="D4213" s="8" t="n">
        <v>369</v>
      </c>
      <c r="E4213" s="8" t="n">
        <v>6</v>
      </c>
      <c r="F4213" s="8" t="n">
        <v>123</v>
      </c>
    </row>
    <row r="4214" customFormat="false" ht="15" hidden="false" customHeight="true" outlineLevel="0" collapsed="false">
      <c r="A4214" s="8" t="s">
        <v>282</v>
      </c>
      <c r="B4214" s="8" t="s">
        <v>1283</v>
      </c>
      <c r="C4214" s="8" t="n">
        <v>0</v>
      </c>
      <c r="D4214" s="8" t="n">
        <v>0</v>
      </c>
      <c r="E4214" s="8" t="n">
        <v>-1</v>
      </c>
      <c r="F4214" s="8" t="n">
        <v>-195.73</v>
      </c>
    </row>
    <row r="4215" customFormat="false" ht="15" hidden="false" customHeight="true" outlineLevel="0" collapsed="false">
      <c r="A4215" s="8" t="s">
        <v>306</v>
      </c>
      <c r="B4215" s="8" t="s">
        <v>1283</v>
      </c>
      <c r="C4215" s="8" t="n">
        <v>0</v>
      </c>
      <c r="D4215" s="8" t="n">
        <v>0</v>
      </c>
      <c r="E4215" s="8" t="n">
        <v>-1</v>
      </c>
      <c r="F4215" s="8" t="n">
        <v>-195.73</v>
      </c>
    </row>
    <row r="4216" customFormat="false" ht="15" hidden="false" customHeight="true" outlineLevel="0" collapsed="false">
      <c r="A4216" s="8" t="s">
        <v>332</v>
      </c>
      <c r="B4216" s="8" t="s">
        <v>1246</v>
      </c>
      <c r="C4216" s="8" t="n">
        <v>1</v>
      </c>
      <c r="D4216" s="8" t="n">
        <v>126.57</v>
      </c>
      <c r="E4216" s="8" t="n">
        <v>0</v>
      </c>
      <c r="F4216" s="8" t="n">
        <v>0</v>
      </c>
    </row>
    <row r="4217" customFormat="false" ht="15" hidden="false" customHeight="true" outlineLevel="0" collapsed="false">
      <c r="A4217" s="8" t="s">
        <v>272</v>
      </c>
      <c r="B4217" s="8" t="s">
        <v>1246</v>
      </c>
      <c r="C4217" s="8" t="n">
        <v>1</v>
      </c>
      <c r="D4217" s="8" t="n">
        <v>126.57</v>
      </c>
      <c r="E4217" s="8" t="n">
        <v>0</v>
      </c>
      <c r="F4217" s="8" t="n">
        <v>0</v>
      </c>
    </row>
    <row r="4218" customFormat="false" ht="15" hidden="false" customHeight="true" outlineLevel="0" collapsed="false">
      <c r="A4218" s="8" t="s">
        <v>382</v>
      </c>
      <c r="B4218" s="8" t="s">
        <v>1246</v>
      </c>
      <c r="C4218" s="8" t="n">
        <v>0</v>
      </c>
      <c r="D4218" s="8" t="n">
        <v>0</v>
      </c>
      <c r="E4218" s="8" t="n">
        <v>1</v>
      </c>
      <c r="F4218" s="8" t="n">
        <v>126.57</v>
      </c>
    </row>
    <row r="4219" customFormat="false" ht="15" hidden="false" customHeight="true" outlineLevel="0" collapsed="false">
      <c r="A4219" s="8" t="s">
        <v>380</v>
      </c>
      <c r="B4219" s="8" t="s">
        <v>1246</v>
      </c>
      <c r="C4219" s="8" t="n">
        <v>0</v>
      </c>
      <c r="D4219" s="8" t="n">
        <v>0</v>
      </c>
      <c r="E4219" s="8" t="n">
        <v>1</v>
      </c>
      <c r="F4219" s="8" t="n">
        <v>126.57</v>
      </c>
    </row>
    <row r="4220" customFormat="false" ht="15" hidden="false" customHeight="true" outlineLevel="0" collapsed="false">
      <c r="A4220" s="8" t="s">
        <v>254</v>
      </c>
      <c r="B4220" s="8" t="s">
        <v>1265</v>
      </c>
      <c r="C4220" s="8" t="n">
        <v>1</v>
      </c>
      <c r="D4220" s="8" t="n">
        <v>126.57</v>
      </c>
      <c r="E4220" s="8" t="n">
        <v>0</v>
      </c>
      <c r="F4220" s="8" t="n">
        <v>0</v>
      </c>
    </row>
    <row r="4221" customFormat="false" ht="15" hidden="false" customHeight="true" outlineLevel="0" collapsed="false">
      <c r="A4221" s="8" t="s">
        <v>341</v>
      </c>
      <c r="B4221" s="8" t="s">
        <v>1265</v>
      </c>
      <c r="C4221" s="8" t="n">
        <v>2</v>
      </c>
      <c r="D4221" s="8" t="n">
        <v>253.14</v>
      </c>
      <c r="E4221" s="8" t="n">
        <v>-1</v>
      </c>
      <c r="F4221" s="8" t="n">
        <v>-126.57</v>
      </c>
    </row>
    <row r="4222" customFormat="false" ht="15" hidden="false" customHeight="true" outlineLevel="0" collapsed="false">
      <c r="A4222" s="8" t="s">
        <v>228</v>
      </c>
      <c r="B4222" s="8" t="s">
        <v>1275</v>
      </c>
      <c r="C4222" s="8" t="n">
        <v>15</v>
      </c>
      <c r="D4222" s="8" t="n">
        <v>213.75</v>
      </c>
      <c r="E4222" s="8" t="n">
        <v>4</v>
      </c>
      <c r="F4222" s="8" t="n">
        <v>57</v>
      </c>
    </row>
    <row r="4223" customFormat="false" ht="15" hidden="false" customHeight="true" outlineLevel="0" collapsed="false">
      <c r="A4223" s="8" t="s">
        <v>95</v>
      </c>
      <c r="B4223" s="8" t="s">
        <v>1247</v>
      </c>
      <c r="C4223" s="8" t="n">
        <v>8</v>
      </c>
      <c r="D4223" s="8" t="n">
        <v>200</v>
      </c>
      <c r="E4223" s="8" t="n">
        <v>4</v>
      </c>
      <c r="F4223" s="8" t="n">
        <v>100</v>
      </c>
    </row>
    <row r="4224" customFormat="false" ht="15" hidden="false" customHeight="true" outlineLevel="0" collapsed="false">
      <c r="A4224" s="8" t="s">
        <v>113</v>
      </c>
      <c r="B4224" s="8" t="s">
        <v>1247</v>
      </c>
      <c r="C4224" s="8" t="n">
        <v>7</v>
      </c>
      <c r="D4224" s="8" t="n">
        <v>175</v>
      </c>
      <c r="E4224" s="8" t="n">
        <v>0</v>
      </c>
      <c r="F4224" s="8" t="n">
        <v>0</v>
      </c>
    </row>
    <row r="4225" customFormat="false" ht="15" hidden="false" customHeight="true" outlineLevel="0" collapsed="false">
      <c r="A4225" s="8" t="s">
        <v>99</v>
      </c>
      <c r="B4225" s="8" t="s">
        <v>1247</v>
      </c>
      <c r="C4225" s="8" t="n">
        <v>14</v>
      </c>
      <c r="D4225" s="8" t="n">
        <v>350</v>
      </c>
      <c r="E4225" s="8" t="n">
        <v>0</v>
      </c>
      <c r="F4225" s="8" t="n">
        <v>0</v>
      </c>
    </row>
    <row r="4226" customFormat="false" ht="15" hidden="false" customHeight="true" outlineLevel="0" collapsed="false">
      <c r="A4226" s="8" t="s">
        <v>120</v>
      </c>
      <c r="B4226" s="8" t="s">
        <v>1247</v>
      </c>
      <c r="C4226" s="8" t="n">
        <v>9</v>
      </c>
      <c r="D4226" s="8" t="n">
        <v>225</v>
      </c>
      <c r="E4226" s="8" t="n">
        <v>0</v>
      </c>
      <c r="F4226" s="8" t="n">
        <v>0</v>
      </c>
    </row>
    <row r="4227" customFormat="false" ht="15" hidden="false" customHeight="true" outlineLevel="0" collapsed="false">
      <c r="A4227" s="8" t="s">
        <v>303</v>
      </c>
      <c r="B4227" s="8" t="s">
        <v>1247</v>
      </c>
      <c r="C4227" s="8" t="n">
        <v>2</v>
      </c>
      <c r="D4227" s="8" t="n">
        <v>125.94</v>
      </c>
      <c r="E4227" s="8" t="n">
        <v>0</v>
      </c>
      <c r="F4227" s="8" t="n">
        <v>0</v>
      </c>
    </row>
    <row r="4228" customFormat="false" ht="15" hidden="false" customHeight="true" outlineLevel="0" collapsed="false">
      <c r="A4228" s="8" t="s">
        <v>361</v>
      </c>
      <c r="B4228" s="8" t="s">
        <v>1247</v>
      </c>
      <c r="C4228" s="8" t="n">
        <v>4</v>
      </c>
      <c r="D4228" s="8" t="n">
        <v>251.88</v>
      </c>
      <c r="E4228" s="8" t="n">
        <v>0</v>
      </c>
      <c r="F4228" s="8" t="n">
        <v>0</v>
      </c>
    </row>
    <row r="4229" customFormat="false" ht="15" hidden="false" customHeight="true" outlineLevel="0" collapsed="false">
      <c r="A4229" s="8" t="s">
        <v>257</v>
      </c>
      <c r="B4229" s="8" t="s">
        <v>1284</v>
      </c>
      <c r="C4229" s="8" t="n">
        <v>1</v>
      </c>
      <c r="D4229" s="8" t="n">
        <v>32.43</v>
      </c>
      <c r="E4229" s="8" t="n">
        <v>0</v>
      </c>
      <c r="F4229" s="8" t="n">
        <v>0</v>
      </c>
    </row>
    <row r="4230" customFormat="false" ht="15" hidden="false" customHeight="true" outlineLevel="0" collapsed="false">
      <c r="A4230" s="8" t="s">
        <v>178</v>
      </c>
      <c r="B4230" s="8" t="s">
        <v>1236</v>
      </c>
      <c r="C4230" s="8" t="n">
        <v>33</v>
      </c>
      <c r="D4230" s="8" t="n">
        <v>1155</v>
      </c>
      <c r="E4230" s="8" t="n">
        <v>4</v>
      </c>
      <c r="F4230" s="8" t="n">
        <v>140</v>
      </c>
    </row>
    <row r="4231" customFormat="false" ht="15" hidden="false" customHeight="true" outlineLevel="0" collapsed="false">
      <c r="A4231" s="8" t="s">
        <v>176</v>
      </c>
      <c r="B4231" s="8" t="s">
        <v>1236</v>
      </c>
      <c r="C4231" s="8" t="n">
        <v>26</v>
      </c>
      <c r="D4231" s="8" t="n">
        <v>910</v>
      </c>
      <c r="E4231" s="8" t="n">
        <v>5</v>
      </c>
      <c r="F4231" s="8" t="n">
        <v>175</v>
      </c>
    </row>
    <row r="4232" customFormat="false" ht="15" hidden="false" customHeight="true" outlineLevel="0" collapsed="false">
      <c r="A4232" s="8" t="s">
        <v>235</v>
      </c>
      <c r="B4232" s="8" t="s">
        <v>1236</v>
      </c>
      <c r="C4232" s="8" t="n">
        <v>10</v>
      </c>
      <c r="D4232" s="8" t="n">
        <v>350</v>
      </c>
      <c r="E4232" s="8" t="n">
        <v>0</v>
      </c>
      <c r="F4232" s="8" t="n">
        <v>0</v>
      </c>
    </row>
    <row r="4233" customFormat="false" ht="15" hidden="false" customHeight="true" outlineLevel="0" collapsed="false">
      <c r="A4233" s="8" t="s">
        <v>224</v>
      </c>
      <c r="B4233" s="8" t="s">
        <v>1236</v>
      </c>
      <c r="C4233" s="8" t="n">
        <v>18</v>
      </c>
      <c r="D4233" s="8" t="n">
        <v>630</v>
      </c>
      <c r="E4233" s="8" t="n">
        <v>5</v>
      </c>
      <c r="F4233" s="8" t="n">
        <v>175</v>
      </c>
    </row>
    <row r="4234" customFormat="false" ht="15" hidden="false" customHeight="true" outlineLevel="0" collapsed="false">
      <c r="A4234" s="8" t="s">
        <v>179</v>
      </c>
      <c r="B4234" s="8" t="s">
        <v>1218</v>
      </c>
      <c r="C4234" s="8" t="n">
        <v>2</v>
      </c>
      <c r="D4234" s="8" t="n">
        <v>253</v>
      </c>
      <c r="E4234" s="8" t="n">
        <v>0</v>
      </c>
      <c r="F4234" s="8" t="n">
        <v>0</v>
      </c>
    </row>
    <row r="4235" customFormat="false" ht="15" hidden="false" customHeight="true" outlineLevel="0" collapsed="false">
      <c r="A4235" s="8" t="s">
        <v>185</v>
      </c>
      <c r="B4235" s="8" t="s">
        <v>1218</v>
      </c>
      <c r="C4235" s="8" t="n">
        <v>2</v>
      </c>
      <c r="D4235" s="8" t="n">
        <v>253</v>
      </c>
      <c r="E4235" s="8" t="n">
        <v>0</v>
      </c>
      <c r="F4235" s="8" t="n">
        <v>0</v>
      </c>
    </row>
    <row r="4236" customFormat="false" ht="15" hidden="false" customHeight="true" outlineLevel="0" collapsed="false">
      <c r="A4236" s="8" t="s">
        <v>195</v>
      </c>
      <c r="B4236" s="8" t="s">
        <v>1218</v>
      </c>
      <c r="C4236" s="8" t="n">
        <v>2</v>
      </c>
      <c r="D4236" s="8" t="n">
        <v>253</v>
      </c>
      <c r="E4236" s="8" t="n">
        <v>0</v>
      </c>
      <c r="F4236" s="8" t="n">
        <v>0</v>
      </c>
    </row>
    <row r="4237" customFormat="false" ht="15" hidden="false" customHeight="true" outlineLevel="0" collapsed="false">
      <c r="A4237" s="8" t="s">
        <v>273</v>
      </c>
      <c r="B4237" s="8" t="s">
        <v>1218</v>
      </c>
      <c r="C4237" s="8" t="n">
        <v>2</v>
      </c>
      <c r="D4237" s="8" t="n">
        <v>253</v>
      </c>
      <c r="E4237" s="8" t="n">
        <v>0</v>
      </c>
      <c r="F4237" s="8" t="n">
        <v>0</v>
      </c>
    </row>
    <row r="4238" customFormat="false" ht="15" hidden="false" customHeight="true" outlineLevel="0" collapsed="false">
      <c r="A4238" s="8" t="s">
        <v>240</v>
      </c>
      <c r="B4238" s="8" t="s">
        <v>769</v>
      </c>
      <c r="C4238" s="8" t="n">
        <v>11</v>
      </c>
      <c r="D4238" s="8" t="n">
        <v>187</v>
      </c>
      <c r="E4238" s="8" t="n">
        <v>2</v>
      </c>
      <c r="F4238" s="8" t="n">
        <v>34</v>
      </c>
    </row>
    <row r="4239" customFormat="false" ht="15" hidden="false" customHeight="true" outlineLevel="0" collapsed="false">
      <c r="A4239" s="8" t="s">
        <v>234</v>
      </c>
      <c r="B4239" s="8" t="s">
        <v>769</v>
      </c>
      <c r="C4239" s="8" t="n">
        <v>12</v>
      </c>
      <c r="D4239" s="8" t="n">
        <v>204</v>
      </c>
      <c r="E4239" s="8" t="n">
        <v>2</v>
      </c>
      <c r="F4239" s="8" t="n">
        <v>34</v>
      </c>
    </row>
    <row r="4240" customFormat="false" ht="15" hidden="false" customHeight="true" outlineLevel="0" collapsed="false">
      <c r="A4240" s="8" t="s">
        <v>247</v>
      </c>
      <c r="B4240" s="8" t="s">
        <v>769</v>
      </c>
      <c r="C4240" s="8" t="n">
        <v>13</v>
      </c>
      <c r="D4240" s="8" t="n">
        <v>221</v>
      </c>
      <c r="E4240" s="8" t="n">
        <v>0</v>
      </c>
      <c r="F4240" s="8" t="n">
        <v>0</v>
      </c>
    </row>
    <row r="4241" customFormat="false" ht="15" hidden="false" customHeight="true" outlineLevel="0" collapsed="false">
      <c r="A4241" s="8" t="s">
        <v>300</v>
      </c>
      <c r="B4241" s="8" t="s">
        <v>769</v>
      </c>
      <c r="C4241" s="8" t="n">
        <v>5</v>
      </c>
      <c r="D4241" s="8" t="n">
        <v>85</v>
      </c>
      <c r="E4241" s="8" t="n">
        <v>0</v>
      </c>
      <c r="F4241" s="8" t="n">
        <v>0</v>
      </c>
    </row>
    <row r="4242" customFormat="false" ht="15" hidden="false" customHeight="true" outlineLevel="0" collapsed="false">
      <c r="A4242" s="8" t="s">
        <v>328</v>
      </c>
      <c r="B4242" s="8" t="s">
        <v>769</v>
      </c>
      <c r="C4242" s="8" t="n">
        <v>4</v>
      </c>
      <c r="D4242" s="8" t="n">
        <v>68</v>
      </c>
      <c r="E4242" s="8" t="n">
        <v>0</v>
      </c>
      <c r="F4242" s="8" t="n">
        <v>0</v>
      </c>
    </row>
    <row r="4243" customFormat="false" ht="15" hidden="false" customHeight="true" outlineLevel="0" collapsed="false">
      <c r="A4243" s="8" t="s">
        <v>367</v>
      </c>
      <c r="B4243" s="8" t="s">
        <v>769</v>
      </c>
      <c r="C4243" s="8" t="n">
        <v>3</v>
      </c>
      <c r="D4243" s="8" t="n">
        <v>51</v>
      </c>
      <c r="E4243" s="8" t="n">
        <v>0</v>
      </c>
      <c r="F4243" s="8" t="n">
        <v>0</v>
      </c>
    </row>
    <row r="4244" customFormat="false" ht="15" hidden="false" customHeight="true" outlineLevel="0" collapsed="false">
      <c r="A4244" s="8" t="s">
        <v>182</v>
      </c>
      <c r="B4244" s="8" t="s">
        <v>799</v>
      </c>
      <c r="C4244" s="8" t="n">
        <v>24</v>
      </c>
      <c r="D4244" s="8" t="n">
        <v>480</v>
      </c>
      <c r="E4244" s="8" t="n">
        <v>4</v>
      </c>
      <c r="F4244" s="8" t="n">
        <v>80</v>
      </c>
    </row>
    <row r="4245" customFormat="false" ht="15" hidden="false" customHeight="true" outlineLevel="0" collapsed="false">
      <c r="A4245" s="8" t="s">
        <v>274</v>
      </c>
      <c r="B4245" s="8" t="s">
        <v>1219</v>
      </c>
      <c r="C4245" s="8" t="n">
        <v>14</v>
      </c>
      <c r="D4245" s="8" t="n">
        <v>122.22</v>
      </c>
      <c r="E4245" s="8" t="n">
        <v>5</v>
      </c>
      <c r="F4245" s="8" t="n">
        <v>43.65</v>
      </c>
    </row>
    <row r="4246" customFormat="false" ht="15" hidden="false" customHeight="true" outlineLevel="0" collapsed="false">
      <c r="A4246" s="8" t="s">
        <v>170</v>
      </c>
      <c r="B4246" s="8" t="s">
        <v>1220</v>
      </c>
      <c r="C4246" s="8" t="n">
        <v>42</v>
      </c>
      <c r="D4246" s="8" t="n">
        <v>621.6</v>
      </c>
      <c r="E4246" s="8" t="n">
        <v>12</v>
      </c>
      <c r="F4246" s="8" t="n">
        <v>177.6</v>
      </c>
    </row>
    <row r="4247" customFormat="false" ht="15" hidden="false" customHeight="true" outlineLevel="0" collapsed="false">
      <c r="A4247" s="8" t="s">
        <v>167</v>
      </c>
      <c r="B4247" s="8" t="s">
        <v>1238</v>
      </c>
      <c r="C4247" s="8" t="n">
        <v>43</v>
      </c>
      <c r="D4247" s="8" t="n">
        <v>576.2</v>
      </c>
      <c r="E4247" s="8" t="n">
        <v>0</v>
      </c>
      <c r="F4247" s="8" t="n">
        <v>0</v>
      </c>
    </row>
    <row r="4248" customFormat="false" ht="15" hidden="false" customHeight="true" outlineLevel="0" collapsed="false">
      <c r="A4248" s="8" t="s">
        <v>334</v>
      </c>
      <c r="B4248" s="8" t="s">
        <v>1276</v>
      </c>
      <c r="C4248" s="8" t="n">
        <v>10</v>
      </c>
      <c r="D4248" s="8" t="n">
        <v>162</v>
      </c>
      <c r="E4248" s="8" t="n">
        <v>0</v>
      </c>
      <c r="F4248" s="8" t="n">
        <v>0</v>
      </c>
    </row>
    <row r="4249" customFormat="false" ht="15" hidden="false" customHeight="true" outlineLevel="0" collapsed="false">
      <c r="A4249" s="8" t="s">
        <v>323</v>
      </c>
      <c r="B4249" s="8" t="s">
        <v>875</v>
      </c>
      <c r="C4249" s="8" t="n">
        <v>4</v>
      </c>
      <c r="D4249" s="8" t="n">
        <v>63.64</v>
      </c>
      <c r="E4249" s="8" t="n">
        <v>0</v>
      </c>
      <c r="F4249" s="8" t="n">
        <v>0</v>
      </c>
    </row>
    <row r="4250" customFormat="false" ht="15" hidden="false" customHeight="true" outlineLevel="0" collapsed="false">
      <c r="A4250" s="8" t="s">
        <v>377</v>
      </c>
      <c r="B4250" s="8" t="s">
        <v>877</v>
      </c>
      <c r="C4250" s="8" t="n">
        <v>2</v>
      </c>
      <c r="D4250" s="8" t="n">
        <v>31.82</v>
      </c>
      <c r="E4250" s="8" t="n">
        <v>0</v>
      </c>
      <c r="F4250" s="8" t="n">
        <v>0</v>
      </c>
    </row>
    <row r="4251" customFormat="false" ht="15" hidden="false" customHeight="true" outlineLevel="0" collapsed="false">
      <c r="A4251" s="8" t="s">
        <v>294</v>
      </c>
      <c r="B4251" s="8" t="s">
        <v>1289</v>
      </c>
      <c r="C4251" s="8" t="n">
        <v>4</v>
      </c>
      <c r="D4251" s="8" t="n">
        <v>57.8</v>
      </c>
      <c r="E4251" s="8" t="n">
        <v>0</v>
      </c>
      <c r="F4251" s="8" t="n">
        <v>0</v>
      </c>
    </row>
    <row r="4252" customFormat="false" ht="15" hidden="false" customHeight="true" outlineLevel="0" collapsed="false">
      <c r="A4252" s="8" t="s">
        <v>315</v>
      </c>
      <c r="B4252" s="8" t="s">
        <v>1266</v>
      </c>
      <c r="C4252" s="8" t="n">
        <v>9</v>
      </c>
      <c r="D4252" s="8" t="n">
        <v>143.19</v>
      </c>
      <c r="E4252" s="8" t="n">
        <v>0</v>
      </c>
      <c r="F4252" s="8" t="n">
        <v>0</v>
      </c>
    </row>
    <row r="4253" customFormat="false" ht="15" hidden="false" customHeight="true" outlineLevel="0" collapsed="false">
      <c r="A4253" s="8" t="s">
        <v>220</v>
      </c>
      <c r="B4253" s="8" t="s">
        <v>1248</v>
      </c>
      <c r="C4253" s="8" t="n">
        <v>17</v>
      </c>
      <c r="D4253" s="8" t="n">
        <v>176.8</v>
      </c>
      <c r="E4253" s="8" t="n">
        <v>17</v>
      </c>
      <c r="F4253" s="8" t="n">
        <v>176.8</v>
      </c>
    </row>
    <row r="4254" customFormat="false" ht="15" hidden="false" customHeight="true" outlineLevel="0" collapsed="false">
      <c r="A4254" s="8" t="s">
        <v>275</v>
      </c>
      <c r="B4254" s="8" t="s">
        <v>1257</v>
      </c>
      <c r="C4254" s="8" t="n">
        <v>3</v>
      </c>
      <c r="D4254" s="8" t="n">
        <v>64.8</v>
      </c>
      <c r="E4254" s="8" t="n">
        <v>10</v>
      </c>
      <c r="F4254" s="8" t="n">
        <v>216</v>
      </c>
    </row>
    <row r="4255" customFormat="false" ht="15" hidden="false" customHeight="true" outlineLevel="0" collapsed="false">
      <c r="A4255" s="8" t="s">
        <v>233</v>
      </c>
      <c r="B4255" s="8" t="s">
        <v>1249</v>
      </c>
      <c r="C4255" s="8" t="n">
        <v>3</v>
      </c>
      <c r="D4255" s="8" t="n">
        <v>53.85</v>
      </c>
      <c r="E4255" s="8" t="n">
        <v>10</v>
      </c>
      <c r="F4255" s="8" t="n">
        <v>179.5</v>
      </c>
    </row>
    <row r="4256" customFormat="false" ht="15" hidden="false" customHeight="true" outlineLevel="0" collapsed="false">
      <c r="A4256" s="8" t="s">
        <v>264</v>
      </c>
      <c r="B4256" s="8" t="s">
        <v>1221</v>
      </c>
      <c r="C4256" s="8" t="n">
        <v>4</v>
      </c>
      <c r="D4256" s="8" t="n">
        <v>23.24</v>
      </c>
      <c r="E4256" s="8" t="n">
        <v>10</v>
      </c>
      <c r="F4256" s="8" t="n">
        <v>58.1</v>
      </c>
    </row>
    <row r="4257" customFormat="false" ht="15" hidden="false" customHeight="true" outlineLevel="0" collapsed="false">
      <c r="A4257" s="8" t="s">
        <v>348</v>
      </c>
      <c r="B4257" s="8" t="s">
        <v>1277</v>
      </c>
      <c r="C4257" s="8" t="n">
        <v>0</v>
      </c>
      <c r="D4257" s="8" t="n">
        <v>0</v>
      </c>
      <c r="E4257" s="8" t="n">
        <v>6</v>
      </c>
      <c r="F4257" s="8" t="n">
        <v>40.8</v>
      </c>
    </row>
    <row r="4258" customFormat="false" ht="15" hidden="false" customHeight="true" outlineLevel="0" collapsed="false">
      <c r="A4258" s="8" t="s">
        <v>258</v>
      </c>
      <c r="B4258" s="8" t="s">
        <v>562</v>
      </c>
      <c r="C4258" s="8" t="n">
        <v>14</v>
      </c>
      <c r="D4258" s="8" t="n">
        <v>504</v>
      </c>
      <c r="E4258" s="8" t="n">
        <v>0</v>
      </c>
      <c r="F4258" s="8" t="n">
        <v>0</v>
      </c>
    </row>
    <row r="4259" customFormat="false" ht="15" hidden="false" customHeight="true" outlineLevel="0" collapsed="false">
      <c r="A4259" s="8" t="s">
        <v>252</v>
      </c>
      <c r="B4259" s="8" t="s">
        <v>1177</v>
      </c>
      <c r="C4259" s="8" t="n">
        <v>16</v>
      </c>
      <c r="D4259" s="8" t="n">
        <v>265.6</v>
      </c>
      <c r="E4259" s="8" t="n">
        <v>5</v>
      </c>
      <c r="F4259" s="8" t="n">
        <v>83</v>
      </c>
    </row>
    <row r="4260" customFormat="false" ht="15" hidden="false" customHeight="true" outlineLevel="0" collapsed="false">
      <c r="A4260" s="8" t="s">
        <v>203</v>
      </c>
      <c r="B4260" s="8" t="s">
        <v>1177</v>
      </c>
      <c r="C4260" s="8" t="n">
        <v>29</v>
      </c>
      <c r="D4260" s="8" t="n">
        <v>536.5</v>
      </c>
      <c r="E4260" s="8" t="n">
        <v>18</v>
      </c>
      <c r="F4260" s="8" t="n">
        <v>333</v>
      </c>
    </row>
    <row r="4261" customFormat="false" ht="15" hidden="false" customHeight="true" outlineLevel="0" collapsed="false">
      <c r="A4261" s="8" t="s">
        <v>211</v>
      </c>
      <c r="B4261" s="8" t="s">
        <v>1250</v>
      </c>
      <c r="C4261" s="8" t="n">
        <v>6</v>
      </c>
      <c r="D4261" s="8" t="n">
        <v>150</v>
      </c>
      <c r="E4261" s="8" t="n">
        <v>10</v>
      </c>
      <c r="F4261" s="8" t="n">
        <v>250</v>
      </c>
    </row>
    <row r="4262" customFormat="false" ht="15" hidden="false" customHeight="true" outlineLevel="0" collapsed="false">
      <c r="A4262" s="8" t="s">
        <v>248</v>
      </c>
      <c r="B4262" s="8" t="s">
        <v>1242</v>
      </c>
      <c r="C4262" s="8" t="n">
        <v>12</v>
      </c>
      <c r="D4262" s="8" t="n">
        <v>252</v>
      </c>
      <c r="E4262" s="8" t="n">
        <v>5</v>
      </c>
      <c r="F4262" s="8" t="n">
        <v>105</v>
      </c>
    </row>
    <row r="4263" customFormat="false" ht="15" hidden="false" customHeight="true" outlineLevel="0" collapsed="false">
      <c r="A4263" s="8" t="s">
        <v>196</v>
      </c>
      <c r="B4263" s="8" t="s">
        <v>1243</v>
      </c>
      <c r="C4263" s="8" t="n">
        <v>9</v>
      </c>
      <c r="D4263" s="8" t="n">
        <v>481.5</v>
      </c>
      <c r="E4263" s="8" t="n">
        <v>0</v>
      </c>
      <c r="F4263" s="8" t="n">
        <v>0</v>
      </c>
    </row>
    <row r="4264" customFormat="false" ht="15" hidden="false" customHeight="true" outlineLevel="0" collapsed="false">
      <c r="A4264" s="8" t="s">
        <v>212</v>
      </c>
      <c r="B4264" s="8" t="s">
        <v>1278</v>
      </c>
      <c r="C4264" s="8" t="n">
        <v>1</v>
      </c>
      <c r="D4264" s="8" t="n">
        <v>93.5</v>
      </c>
      <c r="E4264" s="8" t="n">
        <v>0</v>
      </c>
      <c r="F4264" s="8" t="n">
        <v>0</v>
      </c>
    </row>
    <row r="4265" customFormat="false" ht="15" hidden="false" customHeight="true" outlineLevel="0" collapsed="false">
      <c r="A4265" s="8" t="s">
        <v>312</v>
      </c>
      <c r="B4265" s="8" t="s">
        <v>767</v>
      </c>
      <c r="C4265" s="8" t="n">
        <v>3</v>
      </c>
      <c r="D4265" s="8" t="n">
        <v>61.5</v>
      </c>
      <c r="E4265" s="8" t="n">
        <v>0</v>
      </c>
      <c r="F4265" s="8" t="n">
        <v>0</v>
      </c>
    </row>
    <row r="4266" customFormat="false" ht="15" hidden="false" customHeight="true" outlineLevel="0" collapsed="false">
      <c r="A4266" s="8" t="s">
        <v>226</v>
      </c>
      <c r="B4266" s="8" t="s">
        <v>566</v>
      </c>
      <c r="C4266" s="8" t="n">
        <v>16</v>
      </c>
      <c r="D4266" s="8" t="n">
        <v>332.8</v>
      </c>
      <c r="E4266" s="8" t="n">
        <v>1</v>
      </c>
      <c r="F4266" s="8" t="n">
        <v>20.8</v>
      </c>
    </row>
    <row r="4267" customFormat="false" ht="15" hidden="false" customHeight="true" outlineLevel="0" collapsed="false">
      <c r="A4267" s="8" t="s">
        <v>200</v>
      </c>
      <c r="B4267" s="8" t="s">
        <v>1279</v>
      </c>
      <c r="C4267" s="8" t="n">
        <v>1</v>
      </c>
      <c r="D4267" s="8" t="n">
        <v>77.24</v>
      </c>
      <c r="E4267" s="8" t="n">
        <v>0</v>
      </c>
      <c r="F4267" s="8" t="n">
        <v>0</v>
      </c>
    </row>
    <row r="4268" customFormat="false" ht="15" hidden="false" customHeight="true" outlineLevel="0" collapsed="false">
      <c r="A4268" s="8" t="s">
        <v>197</v>
      </c>
      <c r="B4268" s="8" t="s">
        <v>1222</v>
      </c>
      <c r="C4268" s="8" t="n">
        <v>2</v>
      </c>
      <c r="D4268" s="8" t="n">
        <v>130</v>
      </c>
      <c r="E4268" s="8" t="n">
        <v>2</v>
      </c>
      <c r="F4268" s="8" t="n">
        <v>130</v>
      </c>
    </row>
    <row r="4269" customFormat="false" ht="15" hidden="false" customHeight="true" outlineLevel="0" collapsed="false">
      <c r="A4269" s="8" t="s">
        <v>207</v>
      </c>
      <c r="B4269" s="8" t="s">
        <v>1222</v>
      </c>
      <c r="C4269" s="8" t="n">
        <v>6</v>
      </c>
      <c r="D4269" s="8" t="n">
        <v>390</v>
      </c>
      <c r="E4269" s="8" t="n">
        <v>4</v>
      </c>
      <c r="F4269" s="8" t="n">
        <v>260</v>
      </c>
    </row>
    <row r="4270" customFormat="false" ht="15" hidden="false" customHeight="true" outlineLevel="0" collapsed="false">
      <c r="A4270" s="8" t="s">
        <v>163</v>
      </c>
      <c r="B4270" s="8" t="s">
        <v>897</v>
      </c>
      <c r="C4270" s="8" t="n">
        <v>4</v>
      </c>
      <c r="D4270" s="8" t="n">
        <v>260</v>
      </c>
      <c r="E4270" s="8" t="n">
        <v>6</v>
      </c>
      <c r="F4270" s="8" t="n">
        <v>390</v>
      </c>
    </row>
    <row r="4271" customFormat="false" ht="15" hidden="false" customHeight="true" outlineLevel="0" collapsed="false">
      <c r="A4271" s="8" t="s">
        <v>181</v>
      </c>
      <c r="B4271" s="8" t="s">
        <v>897</v>
      </c>
      <c r="C4271" s="8" t="n">
        <v>4</v>
      </c>
      <c r="D4271" s="8" t="n">
        <v>260</v>
      </c>
      <c r="E4271" s="8" t="n">
        <v>0</v>
      </c>
      <c r="F4271" s="8" t="n">
        <v>0</v>
      </c>
    </row>
    <row r="4272" customFormat="false" ht="15" hidden="false" customHeight="true" outlineLevel="0" collapsed="false">
      <c r="A4272" s="8" t="s">
        <v>165</v>
      </c>
      <c r="B4272" s="8" t="s">
        <v>897</v>
      </c>
      <c r="C4272" s="8" t="n">
        <v>2</v>
      </c>
      <c r="D4272" s="8" t="n">
        <v>130</v>
      </c>
      <c r="E4272" s="8" t="n">
        <v>1</v>
      </c>
      <c r="F4272" s="8" t="n">
        <v>65</v>
      </c>
    </row>
    <row r="4273" customFormat="false" ht="15" hidden="false" customHeight="true" outlineLevel="0" collapsed="false">
      <c r="A4273" s="8" t="s">
        <v>184</v>
      </c>
      <c r="B4273" s="8" t="s">
        <v>897</v>
      </c>
      <c r="C4273" s="8" t="n">
        <v>1</v>
      </c>
      <c r="D4273" s="8" t="n">
        <v>65</v>
      </c>
      <c r="E4273" s="8" t="n">
        <v>2</v>
      </c>
      <c r="F4273" s="8" t="n">
        <v>130</v>
      </c>
    </row>
    <row r="4274" customFormat="false" ht="15" hidden="false" customHeight="true" outlineLevel="0" collapsed="false">
      <c r="A4274" s="8" t="s">
        <v>175</v>
      </c>
      <c r="B4274" s="8" t="s">
        <v>1244</v>
      </c>
      <c r="C4274" s="8" t="n">
        <v>4</v>
      </c>
      <c r="D4274" s="8" t="n">
        <v>702</v>
      </c>
      <c r="E4274" s="8" t="n">
        <v>0</v>
      </c>
      <c r="F4274" s="8" t="n">
        <v>0</v>
      </c>
    </row>
    <row r="4275" customFormat="false" ht="15" hidden="false" customHeight="true" outlineLevel="0" collapsed="false">
      <c r="A4275" s="8" t="s">
        <v>230</v>
      </c>
      <c r="B4275" s="8" t="s">
        <v>1244</v>
      </c>
      <c r="C4275" s="8" t="n">
        <v>1</v>
      </c>
      <c r="D4275" s="8" t="n">
        <v>175.5</v>
      </c>
      <c r="E4275" s="8" t="n">
        <v>0</v>
      </c>
      <c r="F4275" s="8" t="n">
        <v>0</v>
      </c>
    </row>
    <row r="4276" customFormat="false" ht="15" hidden="false" customHeight="true" outlineLevel="0" collapsed="false">
      <c r="A4276" s="8" t="s">
        <v>329</v>
      </c>
      <c r="B4276" s="8" t="s">
        <v>1244</v>
      </c>
      <c r="C4276" s="8" t="n">
        <v>1</v>
      </c>
      <c r="D4276" s="8" t="n">
        <v>175.5</v>
      </c>
      <c r="E4276" s="8" t="n">
        <v>0</v>
      </c>
      <c r="F4276" s="8" t="n">
        <v>0</v>
      </c>
    </row>
    <row r="4277" customFormat="false" ht="15" hidden="false" customHeight="true" outlineLevel="0" collapsed="false">
      <c r="A4277" s="8" t="s">
        <v>191</v>
      </c>
      <c r="B4277" s="8" t="s">
        <v>1179</v>
      </c>
      <c r="C4277" s="8" t="n">
        <v>6</v>
      </c>
      <c r="D4277" s="8" t="n">
        <v>434.04</v>
      </c>
      <c r="E4277" s="8" t="n">
        <v>4</v>
      </c>
      <c r="F4277" s="8" t="n">
        <v>289.36</v>
      </c>
    </row>
    <row r="4278" customFormat="false" ht="15" hidden="false" customHeight="true" outlineLevel="0" collapsed="false">
      <c r="A4278" s="8" t="s">
        <v>319</v>
      </c>
      <c r="B4278" s="8" t="s">
        <v>1268</v>
      </c>
      <c r="C4278" s="8" t="n">
        <v>2</v>
      </c>
      <c r="D4278" s="8" t="n">
        <v>227.16</v>
      </c>
      <c r="E4278" s="8" t="n">
        <v>0</v>
      </c>
      <c r="F4278" s="8" t="n">
        <v>0</v>
      </c>
    </row>
    <row r="4279" customFormat="false" ht="15" hidden="false" customHeight="true" outlineLevel="0" collapsed="false">
      <c r="A4279" s="8" t="s">
        <v>333</v>
      </c>
      <c r="B4279" s="8" t="s">
        <v>1268</v>
      </c>
      <c r="C4279" s="8" t="n">
        <v>1</v>
      </c>
      <c r="D4279" s="8" t="n">
        <v>113.58</v>
      </c>
      <c r="E4279" s="8" t="n">
        <v>0</v>
      </c>
      <c r="F4279" s="8" t="n">
        <v>0</v>
      </c>
    </row>
    <row r="4280" customFormat="false" ht="15" hidden="false" customHeight="true" outlineLevel="0" collapsed="false">
      <c r="A4280" s="8" t="s">
        <v>311</v>
      </c>
      <c r="B4280" s="8" t="s">
        <v>1282</v>
      </c>
      <c r="C4280" s="8" t="n">
        <v>2</v>
      </c>
      <c r="D4280" s="8" t="n">
        <v>214.18</v>
      </c>
      <c r="E4280" s="8" t="n">
        <v>2</v>
      </c>
      <c r="F4280" s="8" t="n">
        <v>214.18</v>
      </c>
    </row>
    <row r="4281" customFormat="false" ht="15" hidden="false" customHeight="true" outlineLevel="0" collapsed="false">
      <c r="A4281" s="8" t="s">
        <v>327</v>
      </c>
      <c r="B4281" s="8" t="s">
        <v>1282</v>
      </c>
      <c r="C4281" s="8" t="n">
        <v>1</v>
      </c>
      <c r="D4281" s="8" t="n">
        <v>107.09</v>
      </c>
      <c r="E4281" s="8" t="n">
        <v>3</v>
      </c>
      <c r="F4281" s="8" t="n">
        <v>321.27</v>
      </c>
    </row>
    <row r="4282" customFormat="false" ht="15" hidden="false" customHeight="true" outlineLevel="0" collapsed="false">
      <c r="A4282" s="8" t="s">
        <v>283</v>
      </c>
      <c r="B4282" s="8" t="s">
        <v>1223</v>
      </c>
      <c r="C4282" s="8" t="n">
        <v>1</v>
      </c>
      <c r="D4282" s="8" t="n">
        <v>77.8</v>
      </c>
      <c r="E4282" s="8" t="n">
        <v>0</v>
      </c>
      <c r="F4282" s="8" t="n">
        <v>0</v>
      </c>
    </row>
    <row r="4283" customFormat="false" ht="15" hidden="false" customHeight="true" outlineLevel="0" collapsed="false">
      <c r="A4283" s="8" t="s">
        <v>216</v>
      </c>
      <c r="B4283" s="8" t="s">
        <v>1223</v>
      </c>
      <c r="C4283" s="8" t="n">
        <v>4</v>
      </c>
      <c r="D4283" s="8" t="n">
        <v>311.2</v>
      </c>
      <c r="E4283" s="8" t="n">
        <v>0</v>
      </c>
      <c r="F4283" s="8" t="n">
        <v>0</v>
      </c>
    </row>
    <row r="4284" customFormat="false" ht="15" hidden="false" customHeight="true" outlineLevel="0" collapsed="false">
      <c r="A4284" s="8" t="s">
        <v>236</v>
      </c>
      <c r="B4284" s="8" t="s">
        <v>1223</v>
      </c>
      <c r="C4284" s="8" t="n">
        <v>1</v>
      </c>
      <c r="D4284" s="8" t="n">
        <v>77.8</v>
      </c>
      <c r="E4284" s="8" t="n">
        <v>0</v>
      </c>
      <c r="F4284" s="8" t="n">
        <v>0</v>
      </c>
    </row>
    <row r="4285" customFormat="false" ht="15" hidden="false" customHeight="true" outlineLevel="0" collapsed="false">
      <c r="A4285" s="8" t="s">
        <v>190</v>
      </c>
      <c r="B4285" s="8" t="s">
        <v>1224</v>
      </c>
      <c r="C4285" s="8" t="n">
        <v>8</v>
      </c>
      <c r="D4285" s="8" t="n">
        <v>195.44</v>
      </c>
      <c r="E4285" s="8" t="n">
        <v>2</v>
      </c>
      <c r="F4285" s="8" t="n">
        <v>48.86</v>
      </c>
    </row>
    <row r="4286" customFormat="false" ht="15" hidden="false" customHeight="true" outlineLevel="0" collapsed="false">
      <c r="A4286" s="8" t="s">
        <v>183</v>
      </c>
      <c r="B4286" s="8" t="s">
        <v>1224</v>
      </c>
      <c r="C4286" s="8" t="n">
        <v>15</v>
      </c>
      <c r="D4286" s="8" t="n">
        <v>366.45</v>
      </c>
      <c r="E4286" s="8" t="n">
        <v>0</v>
      </c>
      <c r="F4286" s="8" t="n">
        <v>0</v>
      </c>
    </row>
    <row r="4287" customFormat="false" ht="15" hidden="false" customHeight="true" outlineLevel="0" collapsed="false">
      <c r="A4287" s="8" t="s">
        <v>218</v>
      </c>
      <c r="B4287" s="8" t="s">
        <v>1224</v>
      </c>
      <c r="C4287" s="8" t="n">
        <v>6</v>
      </c>
      <c r="D4287" s="8" t="n">
        <v>146.58</v>
      </c>
      <c r="E4287" s="8" t="n">
        <v>0</v>
      </c>
      <c r="F4287" s="8" t="n">
        <v>0</v>
      </c>
    </row>
    <row r="4288" customFormat="false" ht="15" hidden="false" customHeight="true" outlineLevel="0" collapsed="false">
      <c r="A4288" s="8" t="s">
        <v>231</v>
      </c>
      <c r="B4288" s="8" t="s">
        <v>1224</v>
      </c>
      <c r="C4288" s="8" t="n">
        <v>2</v>
      </c>
      <c r="D4288" s="8" t="n">
        <v>48.86</v>
      </c>
      <c r="E4288" s="8" t="n">
        <v>0</v>
      </c>
      <c r="F4288" s="8" t="n">
        <v>0</v>
      </c>
    </row>
    <row r="4289" customFormat="false" ht="15" hidden="false" customHeight="true" outlineLevel="0" collapsed="false">
      <c r="A4289" s="8" t="s">
        <v>161</v>
      </c>
      <c r="B4289" s="8" t="s">
        <v>1208</v>
      </c>
      <c r="C4289" s="8" t="n">
        <v>28</v>
      </c>
      <c r="D4289" s="8" t="n">
        <v>1274</v>
      </c>
      <c r="E4289" s="8" t="n">
        <v>9</v>
      </c>
      <c r="F4289" s="8" t="n">
        <v>409.5</v>
      </c>
    </row>
    <row r="4290" customFormat="false" ht="15" hidden="false" customHeight="true" outlineLevel="0" collapsed="false">
      <c r="A4290" s="8" t="s">
        <v>162</v>
      </c>
      <c r="B4290" s="8" t="s">
        <v>1209</v>
      </c>
      <c r="C4290" s="8" t="n">
        <v>9</v>
      </c>
      <c r="D4290" s="8" t="n">
        <v>700.2</v>
      </c>
      <c r="E4290" s="8" t="n">
        <v>6</v>
      </c>
      <c r="F4290" s="8" t="n">
        <v>466.8</v>
      </c>
    </row>
    <row r="4291" customFormat="false" ht="15" hidden="false" customHeight="true" outlineLevel="0" collapsed="false">
      <c r="A4291" s="8" t="s">
        <v>171</v>
      </c>
      <c r="B4291" s="8" t="s">
        <v>1210</v>
      </c>
      <c r="C4291" s="8" t="n">
        <v>14</v>
      </c>
      <c r="D4291" s="8" t="n">
        <v>661.22</v>
      </c>
      <c r="E4291" s="8" t="n">
        <v>3</v>
      </c>
      <c r="F4291" s="8" t="n">
        <v>141.69</v>
      </c>
    </row>
    <row r="4292" customFormat="false" ht="15" hidden="false" customHeight="true" outlineLevel="0" collapsed="false">
      <c r="A4292" s="8" t="s">
        <v>174</v>
      </c>
      <c r="B4292" s="8" t="s">
        <v>1210</v>
      </c>
      <c r="C4292" s="8" t="n">
        <v>0</v>
      </c>
      <c r="D4292" s="8" t="n">
        <v>0</v>
      </c>
      <c r="E4292" s="8" t="n">
        <v>2</v>
      </c>
      <c r="F4292" s="8" t="n">
        <v>94.46</v>
      </c>
    </row>
    <row r="4293" customFormat="false" ht="15" hidden="false" customHeight="true" outlineLevel="0" collapsed="false">
      <c r="A4293" s="8" t="s">
        <v>166</v>
      </c>
      <c r="B4293" s="8" t="s">
        <v>1211</v>
      </c>
      <c r="C4293" s="8" t="n">
        <v>8</v>
      </c>
      <c r="D4293" s="8" t="n">
        <v>506.16</v>
      </c>
      <c r="E4293" s="8" t="n">
        <v>1</v>
      </c>
      <c r="F4293" s="8" t="n">
        <v>63.27</v>
      </c>
    </row>
    <row r="4294" customFormat="false" ht="15" hidden="false" customHeight="true" outlineLevel="0" collapsed="false">
      <c r="A4294" s="8" t="s">
        <v>164</v>
      </c>
      <c r="B4294" s="8" t="s">
        <v>1211</v>
      </c>
      <c r="C4294" s="8" t="n">
        <v>2</v>
      </c>
      <c r="D4294" s="8" t="n">
        <v>126.54</v>
      </c>
      <c r="E4294" s="8" t="n">
        <v>2</v>
      </c>
      <c r="F4294" s="8" t="n">
        <v>126.54</v>
      </c>
    </row>
    <row r="4295" customFormat="false" ht="15" hidden="false" customHeight="true" outlineLevel="0" collapsed="false">
      <c r="A4295" s="8" t="s">
        <v>222</v>
      </c>
      <c r="B4295" s="8" t="s">
        <v>1211</v>
      </c>
      <c r="C4295" s="8" t="n">
        <v>2</v>
      </c>
      <c r="D4295" s="8" t="n">
        <v>126.54</v>
      </c>
      <c r="E4295" s="8" t="n">
        <v>0</v>
      </c>
      <c r="F4295" s="8" t="n">
        <v>0</v>
      </c>
    </row>
    <row r="4296" customFormat="false" ht="15" hidden="false" customHeight="true" outlineLevel="0" collapsed="false">
      <c r="A4296" s="8" t="s">
        <v>187</v>
      </c>
      <c r="B4296" s="8" t="s">
        <v>1211</v>
      </c>
      <c r="C4296" s="8" t="n">
        <v>0</v>
      </c>
      <c r="D4296" s="8" t="n">
        <v>0</v>
      </c>
      <c r="E4296" s="8" t="n">
        <v>2</v>
      </c>
      <c r="F4296" s="8" t="n">
        <v>126.54</v>
      </c>
    </row>
    <row r="4297" customFormat="false" ht="15" hidden="false" customHeight="true" outlineLevel="0" collapsed="false">
      <c r="A4297" s="8" t="s">
        <v>270</v>
      </c>
      <c r="B4297" s="8" t="s">
        <v>1251</v>
      </c>
      <c r="C4297" s="8" t="n">
        <v>0</v>
      </c>
      <c r="D4297" s="8" t="n">
        <v>0</v>
      </c>
      <c r="E4297" s="8" t="n">
        <v>3</v>
      </c>
      <c r="F4297" s="8" t="n">
        <v>29.46</v>
      </c>
    </row>
    <row r="4298" customFormat="false" ht="15" hidden="false" customHeight="true" outlineLevel="0" collapsed="false">
      <c r="A4298" s="8" t="s">
        <v>263</v>
      </c>
      <c r="B4298" s="8" t="s">
        <v>407</v>
      </c>
      <c r="C4298" s="8" t="n">
        <v>4</v>
      </c>
      <c r="D4298" s="8" t="n">
        <v>51.28</v>
      </c>
      <c r="E4298" s="8" t="n">
        <v>1</v>
      </c>
      <c r="F4298" s="8" t="n">
        <v>12.82</v>
      </c>
    </row>
    <row r="4299" customFormat="false" ht="15" hidden="false" customHeight="true" outlineLevel="0" collapsed="false">
      <c r="A4299" s="8" t="s">
        <v>188</v>
      </c>
      <c r="B4299" s="8" t="s">
        <v>1225</v>
      </c>
      <c r="C4299" s="8" t="n">
        <v>9</v>
      </c>
      <c r="D4299" s="8" t="n">
        <v>260.37</v>
      </c>
      <c r="E4299" s="8" t="n">
        <v>2</v>
      </c>
      <c r="F4299" s="8" t="n">
        <v>57.86</v>
      </c>
    </row>
    <row r="4300" customFormat="false" ht="15" hidden="false" customHeight="true" outlineLevel="0" collapsed="false">
      <c r="A4300" s="8" t="s">
        <v>186</v>
      </c>
      <c r="B4300" s="8" t="s">
        <v>1225</v>
      </c>
      <c r="C4300" s="8" t="n">
        <v>8</v>
      </c>
      <c r="D4300" s="8" t="n">
        <v>231.44</v>
      </c>
      <c r="E4300" s="8" t="n">
        <v>2</v>
      </c>
      <c r="F4300" s="8" t="n">
        <v>57.86</v>
      </c>
    </row>
    <row r="4301" customFormat="false" ht="15" hidden="false" customHeight="true" outlineLevel="0" collapsed="false">
      <c r="A4301" s="8" t="s">
        <v>210</v>
      </c>
      <c r="B4301" s="8" t="s">
        <v>1225</v>
      </c>
      <c r="C4301" s="8" t="n">
        <v>4</v>
      </c>
      <c r="D4301" s="8" t="n">
        <v>115.72</v>
      </c>
      <c r="E4301" s="8" t="n">
        <v>-1</v>
      </c>
      <c r="F4301" s="8" t="n">
        <v>-28.93</v>
      </c>
    </row>
    <row r="4302" customFormat="false" ht="15" hidden="false" customHeight="true" outlineLevel="0" collapsed="false">
      <c r="A4302" s="8" t="s">
        <v>278</v>
      </c>
      <c r="B4302" s="8" t="s">
        <v>1225</v>
      </c>
      <c r="C4302" s="8" t="n">
        <v>2</v>
      </c>
      <c r="D4302" s="8" t="n">
        <v>57.86</v>
      </c>
      <c r="E4302" s="8" t="n">
        <v>2</v>
      </c>
      <c r="F4302" s="8" t="n">
        <v>57.86</v>
      </c>
    </row>
    <row r="4303" customFormat="false" ht="15" hidden="false" customHeight="true" outlineLevel="0" collapsed="false">
      <c r="A4303" s="8" t="s">
        <v>238</v>
      </c>
      <c r="B4303" s="8" t="s">
        <v>1226</v>
      </c>
      <c r="C4303" s="8" t="n">
        <v>4</v>
      </c>
      <c r="D4303" s="8" t="n">
        <v>168.68</v>
      </c>
      <c r="E4303" s="8" t="n">
        <v>1</v>
      </c>
      <c r="F4303" s="8" t="n">
        <v>42.17</v>
      </c>
    </row>
    <row r="4304" customFormat="false" ht="15" hidden="false" customHeight="true" outlineLevel="0" collapsed="false">
      <c r="A4304" s="8" t="s">
        <v>201</v>
      </c>
      <c r="B4304" s="8" t="s">
        <v>1226</v>
      </c>
      <c r="C4304" s="8" t="n">
        <v>0</v>
      </c>
      <c r="D4304" s="8" t="n">
        <v>0</v>
      </c>
      <c r="E4304" s="8" t="n">
        <v>2</v>
      </c>
      <c r="F4304" s="8" t="n">
        <v>84.34</v>
      </c>
    </row>
    <row r="4305" customFormat="false" ht="15" hidden="false" customHeight="true" outlineLevel="0" collapsed="false">
      <c r="A4305" s="8" t="s">
        <v>214</v>
      </c>
      <c r="B4305" s="8" t="s">
        <v>1226</v>
      </c>
      <c r="C4305" s="8" t="n">
        <v>3</v>
      </c>
      <c r="D4305" s="8" t="n">
        <v>126.51</v>
      </c>
      <c r="E4305" s="8" t="n">
        <v>0</v>
      </c>
      <c r="F4305" s="8" t="n">
        <v>0</v>
      </c>
    </row>
    <row r="4306" customFormat="false" ht="15" hidden="false" customHeight="true" outlineLevel="0" collapsed="false">
      <c r="A4306" s="8" t="s">
        <v>241</v>
      </c>
      <c r="B4306" s="8" t="s">
        <v>1227</v>
      </c>
      <c r="C4306" s="8" t="n">
        <v>4</v>
      </c>
      <c r="D4306" s="8" t="n">
        <v>68</v>
      </c>
      <c r="E4306" s="8" t="n">
        <v>5</v>
      </c>
      <c r="F4306" s="8" t="n">
        <v>85</v>
      </c>
    </row>
    <row r="4307" customFormat="false" ht="15" hidden="false" customHeight="true" outlineLevel="0" collapsed="false">
      <c r="A4307" s="8" t="s">
        <v>219</v>
      </c>
      <c r="B4307" s="8" t="s">
        <v>1227</v>
      </c>
      <c r="C4307" s="8" t="n">
        <v>3</v>
      </c>
      <c r="D4307" s="8" t="n">
        <v>51</v>
      </c>
      <c r="E4307" s="8" t="n">
        <v>4</v>
      </c>
      <c r="F4307" s="8" t="n">
        <v>68</v>
      </c>
    </row>
    <row r="4308" customFormat="false" ht="15" hidden="false" customHeight="true" outlineLevel="0" collapsed="false">
      <c r="A4308" s="8" t="s">
        <v>223</v>
      </c>
      <c r="B4308" s="8" t="s">
        <v>1227</v>
      </c>
      <c r="C4308" s="8" t="n">
        <v>9</v>
      </c>
      <c r="D4308" s="8" t="n">
        <v>153</v>
      </c>
      <c r="E4308" s="8" t="n">
        <v>0</v>
      </c>
      <c r="F4308" s="8" t="n">
        <v>0</v>
      </c>
    </row>
    <row r="4309" customFormat="false" ht="15" hidden="false" customHeight="true" outlineLevel="0" collapsed="false">
      <c r="A4309" s="8" t="s">
        <v>287</v>
      </c>
      <c r="B4309" s="8" t="s">
        <v>1227</v>
      </c>
      <c r="C4309" s="8" t="n">
        <v>2</v>
      </c>
      <c r="D4309" s="8" t="n">
        <v>34</v>
      </c>
      <c r="E4309" s="8" t="n">
        <v>1</v>
      </c>
      <c r="F4309" s="8" t="n">
        <v>17</v>
      </c>
    </row>
    <row r="4310" customFormat="false" ht="15" hidden="false" customHeight="true" outlineLevel="0" collapsed="false">
      <c r="A4310" s="8" t="s">
        <v>237</v>
      </c>
      <c r="B4310" s="8" t="s">
        <v>1259</v>
      </c>
      <c r="C4310" s="8" t="n">
        <v>0</v>
      </c>
      <c r="D4310" s="8" t="n">
        <v>0</v>
      </c>
      <c r="E4310" s="8" t="n">
        <v>9</v>
      </c>
      <c r="F4310" s="8" t="n">
        <v>166.05</v>
      </c>
    </row>
    <row r="4311" customFormat="false" ht="15" hidden="false" customHeight="true" outlineLevel="0" collapsed="false">
      <c r="A4311" s="8" t="s">
        <v>266</v>
      </c>
      <c r="B4311" s="8" t="s">
        <v>1228</v>
      </c>
      <c r="C4311" s="8" t="n">
        <v>0</v>
      </c>
      <c r="D4311" s="8" t="n">
        <v>0</v>
      </c>
      <c r="E4311" s="8" t="n">
        <v>1</v>
      </c>
      <c r="F4311" s="8" t="n">
        <v>19.92</v>
      </c>
    </row>
    <row r="4312" customFormat="false" ht="15" hidden="false" customHeight="true" outlineLevel="0" collapsed="false">
      <c r="A4312" s="8" t="s">
        <v>202</v>
      </c>
      <c r="B4312" s="8" t="s">
        <v>1212</v>
      </c>
      <c r="C4312" s="8" t="n">
        <v>0</v>
      </c>
      <c r="D4312" s="8" t="n">
        <v>0</v>
      </c>
      <c r="E4312" s="8" t="n">
        <v>1</v>
      </c>
      <c r="F4312" s="8" t="n">
        <v>9.5</v>
      </c>
    </row>
    <row r="4313" customFormat="false" ht="15" hidden="false" customHeight="true" outlineLevel="0" collapsed="false">
      <c r="A4313" s="8" t="s">
        <v>244</v>
      </c>
      <c r="B4313" s="8" t="s">
        <v>1213</v>
      </c>
      <c r="C4313" s="8" t="n">
        <v>10</v>
      </c>
      <c r="D4313" s="8" t="n">
        <v>95</v>
      </c>
      <c r="E4313" s="8" t="n">
        <v>-1</v>
      </c>
      <c r="F4313" s="8" t="n">
        <v>-9.5</v>
      </c>
    </row>
    <row r="4314" customFormat="false" ht="15" hidden="false" customHeight="true" outlineLevel="0" collapsed="false">
      <c r="A4314" s="8" t="s">
        <v>243</v>
      </c>
      <c r="B4314" s="8" t="s">
        <v>1253</v>
      </c>
      <c r="C4314" s="8" t="n">
        <v>1</v>
      </c>
      <c r="D4314" s="8" t="n">
        <v>12.95</v>
      </c>
      <c r="E4314" s="8" t="n">
        <v>0</v>
      </c>
      <c r="F4314" s="8" t="n">
        <v>0</v>
      </c>
    </row>
    <row r="4315" customFormat="false" ht="15" hidden="false" customHeight="true" outlineLevel="0" collapsed="false">
      <c r="A4315" s="8" t="s">
        <v>251</v>
      </c>
      <c r="B4315" s="8" t="s">
        <v>1262</v>
      </c>
      <c r="C4315" s="8" t="n">
        <v>17</v>
      </c>
      <c r="D4315" s="8" t="n">
        <v>165.07</v>
      </c>
      <c r="E4315" s="8" t="n">
        <v>9</v>
      </c>
      <c r="F4315" s="8" t="n">
        <v>87.39</v>
      </c>
    </row>
    <row r="4316" customFormat="false" ht="15" hidden="false" customHeight="true" outlineLevel="0" collapsed="false">
      <c r="A4316" s="8" t="s">
        <v>308</v>
      </c>
      <c r="B4316" s="8" t="s">
        <v>1229</v>
      </c>
      <c r="C4316" s="8" t="n">
        <v>4</v>
      </c>
      <c r="D4316" s="8" t="n">
        <v>32.32</v>
      </c>
      <c r="E4316" s="8" t="n">
        <v>2</v>
      </c>
      <c r="F4316" s="8" t="n">
        <v>16.16</v>
      </c>
    </row>
    <row r="4317" customFormat="false" ht="15" hidden="false" customHeight="true" outlineLevel="0" collapsed="false">
      <c r="A4317" s="8" t="s">
        <v>172</v>
      </c>
      <c r="B4317" s="8" t="s">
        <v>1214</v>
      </c>
      <c r="C4317" s="8" t="n">
        <v>24</v>
      </c>
      <c r="D4317" s="8" t="n">
        <v>292.32</v>
      </c>
      <c r="E4317" s="8" t="n">
        <v>0</v>
      </c>
      <c r="F4317" s="8" t="n">
        <v>0</v>
      </c>
    </row>
    <row r="4318" customFormat="false" ht="15" hidden="false" customHeight="true" outlineLevel="0" collapsed="false">
      <c r="A4318" s="8" t="s">
        <v>261</v>
      </c>
      <c r="B4318" s="8" t="s">
        <v>1215</v>
      </c>
      <c r="C4318" s="8" t="n">
        <v>1</v>
      </c>
      <c r="D4318" s="8" t="n">
        <v>21.21</v>
      </c>
      <c r="E4318" s="8" t="n">
        <v>2</v>
      </c>
      <c r="F4318" s="8" t="n">
        <v>42.42</v>
      </c>
    </row>
    <row r="4319" customFormat="false" ht="15" hidden="false" customHeight="true" outlineLevel="0" collapsed="false">
      <c r="A4319" s="8" t="s">
        <v>269</v>
      </c>
      <c r="B4319" s="8" t="s">
        <v>1231</v>
      </c>
      <c r="C4319" s="8" t="n">
        <v>1</v>
      </c>
      <c r="D4319" s="8" t="n">
        <v>11.33</v>
      </c>
      <c r="E4319" s="8" t="n">
        <v>0</v>
      </c>
      <c r="F4319" s="8" t="n">
        <v>0</v>
      </c>
    </row>
    <row r="4320" customFormat="false" ht="15" hidden="false" customHeight="true" outlineLevel="0" collapsed="false">
      <c r="A4320" s="8" t="s">
        <v>213</v>
      </c>
      <c r="B4320" s="8" t="s">
        <v>1232</v>
      </c>
      <c r="C4320" s="8" t="n">
        <v>3</v>
      </c>
      <c r="D4320" s="8" t="n">
        <v>82.65</v>
      </c>
      <c r="E4320" s="8" t="n">
        <v>0</v>
      </c>
      <c r="F4320" s="8" t="n">
        <v>0</v>
      </c>
    </row>
    <row r="4321" customFormat="false" ht="15" hidden="false" customHeight="true" outlineLevel="0" collapsed="false">
      <c r="A4321" s="8" t="s">
        <v>288</v>
      </c>
      <c r="B4321" s="8" t="s">
        <v>939</v>
      </c>
      <c r="C4321" s="8" t="n">
        <v>1</v>
      </c>
      <c r="D4321" s="8" t="n">
        <v>20.24</v>
      </c>
      <c r="E4321" s="8" t="n">
        <v>0</v>
      </c>
      <c r="F4321" s="8" t="n">
        <v>0</v>
      </c>
    </row>
    <row r="4322" customFormat="false" ht="15" hidden="false" customHeight="true" outlineLevel="0" collapsed="false">
      <c r="A4322" s="8" t="s">
        <v>215</v>
      </c>
      <c r="B4322" s="8" t="s">
        <v>1233</v>
      </c>
      <c r="C4322" s="8" t="n">
        <v>8</v>
      </c>
      <c r="D4322" s="8" t="n">
        <v>142.56</v>
      </c>
      <c r="E4322" s="8" t="n">
        <v>1</v>
      </c>
      <c r="F4322" s="8" t="n">
        <v>17.82</v>
      </c>
    </row>
    <row r="4323" customFormat="false" ht="15" hidden="false" customHeight="true" outlineLevel="0" collapsed="false">
      <c r="A4323" s="8" t="s">
        <v>255</v>
      </c>
      <c r="B4323" s="8" t="s">
        <v>1273</v>
      </c>
      <c r="C4323" s="8" t="n">
        <v>0</v>
      </c>
      <c r="D4323" s="8" t="n">
        <v>0</v>
      </c>
      <c r="E4323" s="8" t="n">
        <v>3</v>
      </c>
      <c r="F4323" s="8" t="n">
        <v>24.6</v>
      </c>
    </row>
    <row r="4324" customFormat="false" ht="15" hidden="false" customHeight="true" outlineLevel="0" collapsed="false">
      <c r="A4324" s="8" t="s">
        <v>194</v>
      </c>
      <c r="B4324" s="8" t="s">
        <v>1239</v>
      </c>
      <c r="C4324" s="8" t="n">
        <v>12</v>
      </c>
      <c r="D4324" s="8" t="n">
        <v>117.84</v>
      </c>
      <c r="E4324" s="8" t="n">
        <v>7</v>
      </c>
      <c r="F4324" s="8" t="n">
        <v>68.74</v>
      </c>
    </row>
    <row r="4325" customFormat="false" ht="15" hidden="false" customHeight="true" outlineLevel="0" collapsed="false">
      <c r="A4325" s="8" t="s">
        <v>279</v>
      </c>
      <c r="B4325" s="8" t="s">
        <v>1274</v>
      </c>
      <c r="C4325" s="8" t="n">
        <v>14</v>
      </c>
      <c r="D4325" s="8" t="n">
        <v>137.48</v>
      </c>
      <c r="E4325" s="8" t="n">
        <v>0</v>
      </c>
      <c r="F4325" s="8" t="n">
        <v>0</v>
      </c>
    </row>
    <row r="4326" customFormat="false" ht="15" hidden="false" customHeight="true" outlineLevel="0" collapsed="false">
      <c r="A4326" s="8" t="s">
        <v>169</v>
      </c>
      <c r="B4326" s="8" t="s">
        <v>1240</v>
      </c>
      <c r="C4326" s="8" t="n">
        <v>4</v>
      </c>
      <c r="D4326" s="8" t="n">
        <v>167.24</v>
      </c>
      <c r="E4326" s="8" t="n">
        <v>0</v>
      </c>
      <c r="F4326" s="8" t="n">
        <v>0</v>
      </c>
    </row>
    <row r="4327" customFormat="false" ht="15" hidden="false" customHeight="true" outlineLevel="0" collapsed="false">
      <c r="A4327" s="8" t="s">
        <v>209</v>
      </c>
      <c r="B4327" s="8" t="s">
        <v>1245</v>
      </c>
      <c r="C4327" s="8" t="n">
        <v>4</v>
      </c>
      <c r="D4327" s="8" t="n">
        <v>259.56</v>
      </c>
      <c r="E4327" s="8" t="n">
        <v>2</v>
      </c>
      <c r="F4327" s="8" t="n">
        <v>129.78</v>
      </c>
    </row>
    <row r="4328" customFormat="false" ht="15" hidden="false" customHeight="true" outlineLevel="0" collapsed="false">
      <c r="A4328" s="8" t="s">
        <v>180</v>
      </c>
      <c r="B4328" s="8" t="s">
        <v>1216</v>
      </c>
      <c r="C4328" s="8" t="n">
        <v>17</v>
      </c>
      <c r="D4328" s="8" t="n">
        <v>280.5</v>
      </c>
      <c r="E4328" s="8" t="n">
        <v>2</v>
      </c>
      <c r="F4328" s="8" t="n">
        <v>33</v>
      </c>
    </row>
    <row r="4329" customFormat="false" ht="15" hidden="false" customHeight="true" outlineLevel="0" collapsed="false">
      <c r="A4329" s="8" t="s">
        <v>189</v>
      </c>
      <c r="B4329" s="8" t="s">
        <v>1216</v>
      </c>
      <c r="C4329" s="8" t="n">
        <v>10</v>
      </c>
      <c r="D4329" s="8" t="n">
        <v>165</v>
      </c>
      <c r="E4329" s="8" t="n">
        <v>2</v>
      </c>
      <c r="F4329" s="8" t="n">
        <v>33</v>
      </c>
    </row>
    <row r="4330" customFormat="false" ht="15" hidden="false" customHeight="true" outlineLevel="0" collapsed="false">
      <c r="A4330" s="8" t="s">
        <v>267</v>
      </c>
      <c r="B4330" s="8" t="s">
        <v>1216</v>
      </c>
      <c r="C4330" s="8" t="n">
        <v>0</v>
      </c>
      <c r="D4330" s="8" t="n">
        <v>0</v>
      </c>
      <c r="E4330" s="8" t="n">
        <v>3</v>
      </c>
      <c r="F4330" s="8" t="n">
        <v>49.5</v>
      </c>
    </row>
    <row r="4331" customFormat="false" ht="15" hidden="false" customHeight="true" outlineLevel="0" collapsed="false">
      <c r="A4331" s="8" t="s">
        <v>199</v>
      </c>
      <c r="B4331" s="8" t="s">
        <v>1216</v>
      </c>
      <c r="C4331" s="8" t="n">
        <v>6</v>
      </c>
      <c r="D4331" s="8" t="n">
        <v>99</v>
      </c>
      <c r="E4331" s="8" t="n">
        <v>1</v>
      </c>
      <c r="F4331" s="8" t="n">
        <v>16.5</v>
      </c>
    </row>
    <row r="4332" customFormat="false" ht="15" hidden="false" customHeight="true" outlineLevel="0" collapsed="false">
      <c r="A4332" s="8" t="s">
        <v>250</v>
      </c>
      <c r="B4332" s="8" t="s">
        <v>1216</v>
      </c>
      <c r="C4332" s="8" t="n">
        <v>11</v>
      </c>
      <c r="D4332" s="8" t="n">
        <v>181.5</v>
      </c>
      <c r="E4332" s="8" t="n">
        <v>0</v>
      </c>
      <c r="F4332" s="8" t="n">
        <v>0</v>
      </c>
    </row>
    <row r="4333" customFormat="false" ht="15" hidden="false" customHeight="true" outlineLevel="0" collapsed="false">
      <c r="A4333" s="8" t="s">
        <v>198</v>
      </c>
      <c r="B4333" s="8" t="s">
        <v>1217</v>
      </c>
      <c r="C4333" s="8" t="n">
        <v>12</v>
      </c>
      <c r="D4333" s="8" t="n">
        <v>246</v>
      </c>
      <c r="E4333" s="8" t="n">
        <v>0</v>
      </c>
      <c r="F4333" s="8" t="n">
        <v>0</v>
      </c>
    </row>
    <row r="4334" customFormat="false" ht="15" hidden="false" customHeight="true" outlineLevel="0" collapsed="false">
      <c r="A4334" s="8" t="s">
        <v>193</v>
      </c>
      <c r="B4334" s="8" t="s">
        <v>1217</v>
      </c>
      <c r="C4334" s="8" t="n">
        <v>0</v>
      </c>
      <c r="D4334" s="8" t="n">
        <v>0</v>
      </c>
      <c r="E4334" s="8" t="n">
        <v>3</v>
      </c>
      <c r="F4334" s="8" t="n">
        <v>61.5</v>
      </c>
    </row>
    <row r="4335" customFormat="false" ht="15" hidden="false" customHeight="true" outlineLevel="0" collapsed="false">
      <c r="A4335" s="8" t="s">
        <v>205</v>
      </c>
      <c r="B4335" s="8" t="s">
        <v>1217</v>
      </c>
      <c r="C4335" s="8" t="n">
        <v>6</v>
      </c>
      <c r="D4335" s="8" t="n">
        <v>123</v>
      </c>
      <c r="E4335" s="8" t="n">
        <v>3</v>
      </c>
      <c r="F4335" s="8" t="n">
        <v>61.5</v>
      </c>
    </row>
    <row r="4336" customFormat="false" ht="15" hidden="false" customHeight="true" outlineLevel="0" collapsed="false">
      <c r="A4336" s="8" t="s">
        <v>378</v>
      </c>
      <c r="B4336" s="8" t="s">
        <v>767</v>
      </c>
      <c r="C4336" s="8" t="n">
        <v>0</v>
      </c>
      <c r="D4336" s="8" t="n">
        <v>0</v>
      </c>
      <c r="E4336" s="8" t="n">
        <v>5</v>
      </c>
      <c r="F4336" s="8" t="n">
        <v>105</v>
      </c>
    </row>
    <row r="4337" customFormat="false" ht="15" hidden="false" customHeight="true" outlineLevel="0" collapsed="false">
      <c r="A4337" s="8" t="s">
        <v>249</v>
      </c>
      <c r="B4337" s="8" t="s">
        <v>1285</v>
      </c>
      <c r="C4337" s="8" t="n">
        <v>0</v>
      </c>
      <c r="D4337" s="8" t="n">
        <v>0</v>
      </c>
      <c r="E4337" s="8" t="n">
        <v>1</v>
      </c>
      <c r="F4337" s="8" t="n">
        <v>136.3</v>
      </c>
    </row>
    <row r="4338" customFormat="false" ht="15" hidden="false" customHeight="true" outlineLevel="0" collapsed="false">
      <c r="A4338" s="8" t="s">
        <v>356</v>
      </c>
      <c r="B4338" s="8" t="s">
        <v>1285</v>
      </c>
      <c r="C4338" s="8" t="n">
        <v>0</v>
      </c>
      <c r="D4338" s="8" t="n">
        <v>0</v>
      </c>
      <c r="E4338" s="8" t="n">
        <v>1</v>
      </c>
      <c r="F4338" s="8" t="n">
        <v>136.3</v>
      </c>
    </row>
    <row r="4339" customFormat="false" ht="15" hidden="false" customHeight="true" outlineLevel="0" collapsed="false">
      <c r="A4339" s="8" t="s">
        <v>113</v>
      </c>
      <c r="B4339" s="8" t="s">
        <v>1247</v>
      </c>
      <c r="C4339" s="8" t="n">
        <v>4</v>
      </c>
      <c r="D4339" s="8" t="n">
        <v>100</v>
      </c>
      <c r="E4339" s="8" t="n">
        <v>8</v>
      </c>
      <c r="F4339" s="8" t="n">
        <v>200</v>
      </c>
    </row>
    <row r="4340" customFormat="false" ht="15" hidden="false" customHeight="true" outlineLevel="0" collapsed="false">
      <c r="A4340" s="8" t="s">
        <v>99</v>
      </c>
      <c r="B4340" s="8" t="s">
        <v>1247</v>
      </c>
      <c r="C4340" s="8" t="n">
        <v>8</v>
      </c>
      <c r="D4340" s="8" t="n">
        <v>200</v>
      </c>
      <c r="E4340" s="8" t="n">
        <v>3</v>
      </c>
      <c r="F4340" s="8" t="n">
        <v>75</v>
      </c>
    </row>
    <row r="4341" customFormat="false" ht="15" hidden="false" customHeight="true" outlineLevel="0" collapsed="false">
      <c r="A4341" s="8" t="s">
        <v>120</v>
      </c>
      <c r="B4341" s="8" t="s">
        <v>1247</v>
      </c>
      <c r="C4341" s="8" t="n">
        <v>5</v>
      </c>
      <c r="D4341" s="8" t="n">
        <v>125</v>
      </c>
      <c r="E4341" s="8" t="n">
        <v>0</v>
      </c>
      <c r="F4341" s="8" t="n">
        <v>0</v>
      </c>
    </row>
    <row r="4342" customFormat="false" ht="15" hidden="false" customHeight="true" outlineLevel="0" collapsed="false">
      <c r="A4342" s="8" t="s">
        <v>178</v>
      </c>
      <c r="B4342" s="8" t="s">
        <v>1236</v>
      </c>
      <c r="C4342" s="8" t="n">
        <v>11</v>
      </c>
      <c r="D4342" s="8" t="n">
        <v>385</v>
      </c>
      <c r="E4342" s="8" t="n">
        <v>2</v>
      </c>
      <c r="F4342" s="8" t="n">
        <v>70</v>
      </c>
    </row>
    <row r="4343" customFormat="false" ht="15" hidden="false" customHeight="true" outlineLevel="0" collapsed="false">
      <c r="A4343" s="8" t="s">
        <v>176</v>
      </c>
      <c r="B4343" s="8" t="s">
        <v>1236</v>
      </c>
      <c r="C4343" s="8" t="n">
        <v>9</v>
      </c>
      <c r="D4343" s="8" t="n">
        <v>315</v>
      </c>
      <c r="E4343" s="8" t="n">
        <v>3</v>
      </c>
      <c r="F4343" s="8" t="n">
        <v>105</v>
      </c>
    </row>
    <row r="4344" customFormat="false" ht="15" hidden="false" customHeight="true" outlineLevel="0" collapsed="false">
      <c r="A4344" s="8" t="s">
        <v>224</v>
      </c>
      <c r="B4344" s="8" t="s">
        <v>1236</v>
      </c>
      <c r="C4344" s="8" t="n">
        <v>6</v>
      </c>
      <c r="D4344" s="8" t="n">
        <v>210</v>
      </c>
      <c r="E4344" s="8" t="n">
        <v>0</v>
      </c>
      <c r="F4344" s="8" t="n">
        <v>0</v>
      </c>
    </row>
    <row r="4345" customFormat="false" ht="15" hidden="false" customHeight="true" outlineLevel="0" collapsed="false">
      <c r="A4345" s="8" t="s">
        <v>195</v>
      </c>
      <c r="B4345" s="8" t="s">
        <v>1218</v>
      </c>
      <c r="C4345" s="8" t="n">
        <v>2</v>
      </c>
      <c r="D4345" s="8" t="n">
        <v>253</v>
      </c>
      <c r="E4345" s="8" t="n">
        <v>0</v>
      </c>
      <c r="F4345" s="8" t="n">
        <v>0</v>
      </c>
    </row>
    <row r="4346" customFormat="false" ht="15" hidden="false" customHeight="true" outlineLevel="0" collapsed="false">
      <c r="A4346" s="8" t="s">
        <v>240</v>
      </c>
      <c r="B4346" s="8" t="s">
        <v>769</v>
      </c>
      <c r="C4346" s="8" t="n">
        <v>24</v>
      </c>
      <c r="D4346" s="8" t="n">
        <v>408</v>
      </c>
      <c r="E4346" s="8" t="n">
        <v>-3</v>
      </c>
      <c r="F4346" s="8" t="n">
        <v>-51</v>
      </c>
    </row>
    <row r="4347" customFormat="false" ht="15" hidden="false" customHeight="true" outlineLevel="0" collapsed="false">
      <c r="A4347" s="8" t="s">
        <v>234</v>
      </c>
      <c r="B4347" s="8" t="s">
        <v>769</v>
      </c>
      <c r="C4347" s="8" t="n">
        <v>0</v>
      </c>
      <c r="D4347" s="8" t="n">
        <v>0</v>
      </c>
      <c r="E4347" s="8" t="n">
        <v>2</v>
      </c>
      <c r="F4347" s="8" t="n">
        <v>34</v>
      </c>
    </row>
    <row r="4348" customFormat="false" ht="15" hidden="false" customHeight="true" outlineLevel="0" collapsed="false">
      <c r="A4348" s="8" t="s">
        <v>247</v>
      </c>
      <c r="B4348" s="8" t="s">
        <v>769</v>
      </c>
      <c r="C4348" s="8" t="n">
        <v>1</v>
      </c>
      <c r="D4348" s="8" t="n">
        <v>17</v>
      </c>
      <c r="E4348" s="8" t="n">
        <v>0</v>
      </c>
      <c r="F4348" s="8" t="n">
        <v>0</v>
      </c>
    </row>
    <row r="4349" customFormat="false" ht="15" hidden="false" customHeight="true" outlineLevel="0" collapsed="false">
      <c r="A4349" s="8" t="s">
        <v>300</v>
      </c>
      <c r="B4349" s="8" t="s">
        <v>769</v>
      </c>
      <c r="C4349" s="8" t="n">
        <v>1</v>
      </c>
      <c r="D4349" s="8" t="n">
        <v>17</v>
      </c>
      <c r="E4349" s="8" t="n">
        <v>0</v>
      </c>
      <c r="F4349" s="8" t="n">
        <v>0</v>
      </c>
    </row>
    <row r="4350" customFormat="false" ht="15" hidden="false" customHeight="true" outlineLevel="0" collapsed="false">
      <c r="A4350" s="8" t="s">
        <v>182</v>
      </c>
      <c r="B4350" s="8" t="s">
        <v>799</v>
      </c>
      <c r="C4350" s="8" t="n">
        <v>17</v>
      </c>
      <c r="D4350" s="8" t="n">
        <v>340</v>
      </c>
      <c r="E4350" s="8" t="n">
        <v>3</v>
      </c>
      <c r="F4350" s="8" t="n">
        <v>60</v>
      </c>
    </row>
    <row r="4351" customFormat="false" ht="15" hidden="false" customHeight="true" outlineLevel="0" collapsed="false">
      <c r="A4351" s="8" t="s">
        <v>170</v>
      </c>
      <c r="B4351" s="8" t="s">
        <v>1220</v>
      </c>
      <c r="C4351" s="8" t="n">
        <v>30</v>
      </c>
      <c r="D4351" s="8" t="n">
        <v>444</v>
      </c>
      <c r="E4351" s="8" t="n">
        <v>0</v>
      </c>
      <c r="F4351" s="8" t="n">
        <v>0</v>
      </c>
    </row>
    <row r="4352" customFormat="false" ht="15" hidden="false" customHeight="true" outlineLevel="0" collapsed="false">
      <c r="A4352" s="8" t="s">
        <v>167</v>
      </c>
      <c r="B4352" s="8" t="s">
        <v>1238</v>
      </c>
      <c r="C4352" s="8" t="n">
        <v>34</v>
      </c>
      <c r="D4352" s="8" t="n">
        <v>455.6</v>
      </c>
      <c r="E4352" s="8" t="n">
        <v>14</v>
      </c>
      <c r="F4352" s="8" t="n">
        <v>187.6</v>
      </c>
    </row>
    <row r="4353" customFormat="false" ht="15" hidden="false" customHeight="true" outlineLevel="0" collapsed="false">
      <c r="A4353" s="8" t="s">
        <v>323</v>
      </c>
      <c r="B4353" s="8" t="s">
        <v>875</v>
      </c>
      <c r="C4353" s="8" t="n">
        <v>1</v>
      </c>
      <c r="D4353" s="8" t="n">
        <v>15.91</v>
      </c>
      <c r="E4353" s="8" t="n">
        <v>1</v>
      </c>
      <c r="F4353" s="8" t="n">
        <v>15.91</v>
      </c>
    </row>
    <row r="4354" customFormat="false" ht="15" hidden="false" customHeight="true" outlineLevel="0" collapsed="false">
      <c r="A4354" s="8" t="s">
        <v>275</v>
      </c>
      <c r="B4354" s="8" t="s">
        <v>1257</v>
      </c>
      <c r="C4354" s="8" t="n">
        <v>5</v>
      </c>
      <c r="D4354" s="8" t="n">
        <v>108</v>
      </c>
      <c r="E4354" s="8" t="n">
        <v>0</v>
      </c>
      <c r="F4354" s="8" t="n">
        <v>0</v>
      </c>
    </row>
    <row r="4355" customFormat="false" ht="15" hidden="false" customHeight="true" outlineLevel="0" collapsed="false">
      <c r="A4355" s="8" t="s">
        <v>233</v>
      </c>
      <c r="B4355" s="8" t="s">
        <v>1249</v>
      </c>
      <c r="C4355" s="8" t="n">
        <v>10</v>
      </c>
      <c r="D4355" s="8" t="n">
        <v>179.5</v>
      </c>
      <c r="E4355" s="8" t="n">
        <v>-3</v>
      </c>
      <c r="F4355" s="8" t="n">
        <v>-53.85</v>
      </c>
    </row>
    <row r="4356" customFormat="false" ht="15" hidden="false" customHeight="true" outlineLevel="0" collapsed="false">
      <c r="A4356" s="8" t="s">
        <v>264</v>
      </c>
      <c r="B4356" s="8" t="s">
        <v>1221</v>
      </c>
      <c r="C4356" s="8" t="n">
        <v>11</v>
      </c>
      <c r="D4356" s="8" t="n">
        <v>63.91</v>
      </c>
      <c r="E4356" s="8" t="n">
        <v>0</v>
      </c>
      <c r="F4356" s="8" t="n">
        <v>0</v>
      </c>
    </row>
    <row r="4357" customFormat="false" ht="15" hidden="false" customHeight="true" outlineLevel="0" collapsed="false">
      <c r="A4357" s="8" t="s">
        <v>348</v>
      </c>
      <c r="B4357" s="8" t="s">
        <v>1277</v>
      </c>
      <c r="C4357" s="8" t="n">
        <v>0</v>
      </c>
      <c r="D4357" s="8" t="n">
        <v>0</v>
      </c>
      <c r="E4357" s="8" t="n">
        <v>4</v>
      </c>
      <c r="F4357" s="8" t="n">
        <v>27.2</v>
      </c>
    </row>
    <row r="4358" customFormat="false" ht="15" hidden="false" customHeight="true" outlineLevel="0" collapsed="false">
      <c r="A4358" s="8" t="s">
        <v>252</v>
      </c>
      <c r="B4358" s="8" t="s">
        <v>1177</v>
      </c>
      <c r="C4358" s="8" t="n">
        <v>4</v>
      </c>
      <c r="D4358" s="8" t="n">
        <v>66.4</v>
      </c>
      <c r="E4358" s="8" t="n">
        <v>2</v>
      </c>
      <c r="F4358" s="8" t="n">
        <v>33.2</v>
      </c>
    </row>
    <row r="4359" customFormat="false" ht="15" hidden="false" customHeight="true" outlineLevel="0" collapsed="false">
      <c r="A4359" s="8" t="s">
        <v>203</v>
      </c>
      <c r="B4359" s="8" t="s">
        <v>1177</v>
      </c>
      <c r="C4359" s="8" t="n">
        <v>19</v>
      </c>
      <c r="D4359" s="8" t="n">
        <v>351.5</v>
      </c>
      <c r="E4359" s="8" t="n">
        <v>9</v>
      </c>
      <c r="F4359" s="8" t="n">
        <v>166.5</v>
      </c>
    </row>
    <row r="4360" customFormat="false" ht="15" hidden="false" customHeight="true" outlineLevel="0" collapsed="false">
      <c r="A4360" s="8" t="s">
        <v>211</v>
      </c>
      <c r="B4360" s="8" t="s">
        <v>1250</v>
      </c>
      <c r="C4360" s="8" t="n">
        <v>4</v>
      </c>
      <c r="D4360" s="8" t="n">
        <v>100</v>
      </c>
      <c r="E4360" s="8" t="n">
        <v>2</v>
      </c>
      <c r="F4360" s="8" t="n">
        <v>50</v>
      </c>
    </row>
    <row r="4361" customFormat="false" ht="15" hidden="false" customHeight="true" outlineLevel="0" collapsed="false">
      <c r="A4361" s="8" t="s">
        <v>248</v>
      </c>
      <c r="B4361" s="8" t="s">
        <v>1242</v>
      </c>
      <c r="C4361" s="8" t="n">
        <v>6</v>
      </c>
      <c r="D4361" s="8" t="n">
        <v>126</v>
      </c>
      <c r="E4361" s="8" t="n">
        <v>8</v>
      </c>
      <c r="F4361" s="8" t="n">
        <v>168</v>
      </c>
    </row>
    <row r="4362" customFormat="false" ht="15" hidden="false" customHeight="true" outlineLevel="0" collapsed="false">
      <c r="A4362" s="8" t="s">
        <v>196</v>
      </c>
      <c r="B4362" s="8" t="s">
        <v>1243</v>
      </c>
      <c r="C4362" s="8" t="n">
        <v>3</v>
      </c>
      <c r="D4362" s="8" t="n">
        <v>160.5</v>
      </c>
      <c r="E4362" s="8" t="n">
        <v>6</v>
      </c>
      <c r="F4362" s="8" t="n">
        <v>321</v>
      </c>
    </row>
    <row r="4363" customFormat="false" ht="15" hidden="false" customHeight="true" outlineLevel="0" collapsed="false">
      <c r="A4363" s="8" t="s">
        <v>226</v>
      </c>
      <c r="B4363" s="8" t="s">
        <v>566</v>
      </c>
      <c r="C4363" s="8" t="n">
        <v>5</v>
      </c>
      <c r="D4363" s="8" t="n">
        <v>104</v>
      </c>
      <c r="E4363" s="8" t="n">
        <v>5</v>
      </c>
      <c r="F4363" s="8" t="n">
        <v>104</v>
      </c>
    </row>
    <row r="4364" customFormat="false" ht="15" hidden="false" customHeight="true" outlineLevel="0" collapsed="false">
      <c r="A4364" s="8" t="s">
        <v>200</v>
      </c>
      <c r="B4364" s="8" t="s">
        <v>1279</v>
      </c>
      <c r="C4364" s="8" t="n">
        <v>3</v>
      </c>
      <c r="D4364" s="8" t="n">
        <v>231.72</v>
      </c>
      <c r="E4364" s="8" t="n">
        <v>0</v>
      </c>
      <c r="F4364" s="8" t="n">
        <v>0</v>
      </c>
    </row>
    <row r="4365" customFormat="false" ht="15" hidden="false" customHeight="true" outlineLevel="0" collapsed="false">
      <c r="A4365" s="8" t="s">
        <v>190</v>
      </c>
      <c r="B4365" s="8" t="s">
        <v>1224</v>
      </c>
      <c r="C4365" s="8" t="n">
        <v>2</v>
      </c>
      <c r="D4365" s="8" t="n">
        <v>48.86</v>
      </c>
      <c r="E4365" s="8" t="n">
        <v>0</v>
      </c>
      <c r="F4365" s="8" t="n">
        <v>0</v>
      </c>
    </row>
    <row r="4366" customFormat="false" ht="15" hidden="false" customHeight="true" outlineLevel="0" collapsed="false">
      <c r="A4366" s="8" t="s">
        <v>183</v>
      </c>
      <c r="B4366" s="8" t="s">
        <v>1224</v>
      </c>
      <c r="C4366" s="8" t="n">
        <v>2</v>
      </c>
      <c r="D4366" s="8" t="n">
        <v>48.86</v>
      </c>
      <c r="E4366" s="8" t="n">
        <v>0</v>
      </c>
      <c r="F4366" s="8" t="n">
        <v>0</v>
      </c>
    </row>
    <row r="4367" customFormat="false" ht="15" hidden="false" customHeight="true" outlineLevel="0" collapsed="false">
      <c r="A4367" s="8" t="s">
        <v>218</v>
      </c>
      <c r="B4367" s="8" t="s">
        <v>1224</v>
      </c>
      <c r="C4367" s="8" t="n">
        <v>4</v>
      </c>
      <c r="D4367" s="8" t="n">
        <v>97.72</v>
      </c>
      <c r="E4367" s="8" t="n">
        <v>0</v>
      </c>
      <c r="F4367" s="8" t="n">
        <v>0</v>
      </c>
    </row>
    <row r="4368" customFormat="false" ht="15" hidden="false" customHeight="true" outlineLevel="0" collapsed="false">
      <c r="A4368" s="8" t="s">
        <v>231</v>
      </c>
      <c r="B4368" s="8" t="s">
        <v>1224</v>
      </c>
      <c r="C4368" s="8" t="n">
        <v>2</v>
      </c>
      <c r="D4368" s="8" t="n">
        <v>48.86</v>
      </c>
      <c r="E4368" s="8" t="n">
        <v>0</v>
      </c>
      <c r="F4368" s="8" t="n">
        <v>0</v>
      </c>
    </row>
    <row r="4369" customFormat="false" ht="15" hidden="false" customHeight="true" outlineLevel="0" collapsed="false">
      <c r="A4369" s="8" t="s">
        <v>161</v>
      </c>
      <c r="B4369" s="8" t="s">
        <v>1208</v>
      </c>
      <c r="C4369" s="8" t="n">
        <v>2</v>
      </c>
      <c r="D4369" s="8" t="n">
        <v>91</v>
      </c>
      <c r="E4369" s="8" t="n">
        <v>2</v>
      </c>
      <c r="F4369" s="8" t="n">
        <v>91</v>
      </c>
    </row>
    <row r="4370" customFormat="false" ht="15" hidden="false" customHeight="true" outlineLevel="0" collapsed="false">
      <c r="A4370" s="8" t="s">
        <v>162</v>
      </c>
      <c r="B4370" s="8" t="s">
        <v>1209</v>
      </c>
      <c r="C4370" s="8" t="n">
        <v>0</v>
      </c>
      <c r="D4370" s="8" t="n">
        <v>0</v>
      </c>
      <c r="E4370" s="8" t="n">
        <v>2</v>
      </c>
      <c r="F4370" s="8" t="n">
        <v>155.6</v>
      </c>
    </row>
    <row r="4371" customFormat="false" ht="15" hidden="false" customHeight="true" outlineLevel="0" collapsed="false">
      <c r="A4371" s="8" t="s">
        <v>241</v>
      </c>
      <c r="B4371" s="8" t="s">
        <v>1227</v>
      </c>
      <c r="C4371" s="8" t="n">
        <v>2</v>
      </c>
      <c r="D4371" s="8" t="n">
        <v>34</v>
      </c>
      <c r="E4371" s="8" t="n">
        <v>0</v>
      </c>
      <c r="F4371" s="8" t="n">
        <v>0</v>
      </c>
    </row>
    <row r="4372" customFormat="false" ht="15" hidden="false" customHeight="true" outlineLevel="0" collapsed="false">
      <c r="A4372" s="8" t="s">
        <v>219</v>
      </c>
      <c r="B4372" s="8" t="s">
        <v>1227</v>
      </c>
      <c r="C4372" s="8" t="n">
        <v>2</v>
      </c>
      <c r="D4372" s="8" t="n">
        <v>34</v>
      </c>
      <c r="E4372" s="8" t="n">
        <v>0</v>
      </c>
      <c r="F4372" s="8" t="n">
        <v>0</v>
      </c>
    </row>
    <row r="4373" customFormat="false" ht="15" hidden="false" customHeight="true" outlineLevel="0" collapsed="false">
      <c r="A4373" s="8" t="s">
        <v>223</v>
      </c>
      <c r="B4373" s="8" t="s">
        <v>1227</v>
      </c>
      <c r="C4373" s="8" t="n">
        <v>2</v>
      </c>
      <c r="D4373" s="8" t="n">
        <v>34</v>
      </c>
      <c r="E4373" s="8" t="n">
        <v>0</v>
      </c>
      <c r="F4373" s="8" t="n">
        <v>0</v>
      </c>
    </row>
    <row r="4374" customFormat="false" ht="15" hidden="false" customHeight="true" outlineLevel="0" collapsed="false">
      <c r="A4374" s="8" t="s">
        <v>287</v>
      </c>
      <c r="B4374" s="8" t="s">
        <v>1227</v>
      </c>
      <c r="C4374" s="8" t="n">
        <v>2</v>
      </c>
      <c r="D4374" s="8" t="n">
        <v>34</v>
      </c>
      <c r="E4374" s="8" t="n">
        <v>0</v>
      </c>
      <c r="F4374" s="8" t="n">
        <v>0</v>
      </c>
    </row>
    <row r="4375" customFormat="false" ht="15" hidden="false" customHeight="true" outlineLevel="0" collapsed="false">
      <c r="A4375" s="8" t="s">
        <v>251</v>
      </c>
      <c r="B4375" s="8" t="s">
        <v>1262</v>
      </c>
      <c r="C4375" s="8" t="n">
        <v>2</v>
      </c>
      <c r="D4375" s="8" t="n">
        <v>19.42</v>
      </c>
      <c r="E4375" s="8" t="n">
        <v>0</v>
      </c>
      <c r="F4375" s="8" t="n">
        <v>0</v>
      </c>
    </row>
    <row r="4376" customFormat="false" ht="15" hidden="false" customHeight="true" outlineLevel="0" collapsed="false">
      <c r="A4376" s="8" t="s">
        <v>172</v>
      </c>
      <c r="B4376" s="8" t="s">
        <v>1214</v>
      </c>
      <c r="C4376" s="8" t="n">
        <v>4</v>
      </c>
      <c r="D4376" s="8" t="n">
        <v>48.72</v>
      </c>
      <c r="E4376" s="8" t="n">
        <v>0</v>
      </c>
      <c r="F4376" s="8" t="n">
        <v>0</v>
      </c>
    </row>
    <row r="4377" customFormat="false" ht="15" hidden="false" customHeight="true" outlineLevel="0" collapsed="false">
      <c r="A4377" s="8" t="s">
        <v>213</v>
      </c>
      <c r="B4377" s="8" t="s">
        <v>1232</v>
      </c>
      <c r="C4377" s="8" t="n">
        <v>2</v>
      </c>
      <c r="D4377" s="8" t="n">
        <v>55.1</v>
      </c>
      <c r="E4377" s="8" t="n">
        <v>0</v>
      </c>
      <c r="F4377" s="8" t="n">
        <v>0</v>
      </c>
    </row>
    <row r="4378" customFormat="false" ht="15" hidden="false" customHeight="true" outlineLevel="0" collapsed="false">
      <c r="A4378" s="8" t="s">
        <v>215</v>
      </c>
      <c r="B4378" s="8" t="s">
        <v>1233</v>
      </c>
      <c r="C4378" s="8" t="n">
        <v>2</v>
      </c>
      <c r="D4378" s="8" t="n">
        <v>35.64</v>
      </c>
      <c r="E4378" s="8" t="n">
        <v>0</v>
      </c>
      <c r="F4378" s="8" t="n">
        <v>0</v>
      </c>
    </row>
    <row r="4379" customFormat="false" ht="15" hidden="false" customHeight="true" outlineLevel="0" collapsed="false">
      <c r="A4379" s="8" t="s">
        <v>194</v>
      </c>
      <c r="B4379" s="8" t="s">
        <v>1239</v>
      </c>
      <c r="C4379" s="8" t="n">
        <v>10</v>
      </c>
      <c r="D4379" s="8" t="n">
        <v>98.2</v>
      </c>
      <c r="E4379" s="8" t="n">
        <v>0</v>
      </c>
      <c r="F4379" s="8" t="n">
        <v>0</v>
      </c>
    </row>
    <row r="4380" customFormat="false" ht="15" hidden="false" customHeight="true" outlineLevel="0" collapsed="false">
      <c r="A4380" s="8" t="s">
        <v>285</v>
      </c>
      <c r="B4380" s="8" t="s">
        <v>1237</v>
      </c>
      <c r="C4380" s="8" t="n">
        <v>6</v>
      </c>
      <c r="D4380" s="8" t="n">
        <v>110.4</v>
      </c>
      <c r="E4380" s="8" t="n">
        <v>0</v>
      </c>
      <c r="F4380" s="8" t="n">
        <v>0</v>
      </c>
    </row>
    <row r="4381" customFormat="false" ht="15" hidden="false" customHeight="true" outlineLevel="0" collapsed="false">
      <c r="A4381" s="8" t="s">
        <v>225</v>
      </c>
      <c r="B4381" s="8" t="s">
        <v>1237</v>
      </c>
      <c r="C4381" s="8" t="n">
        <v>8</v>
      </c>
      <c r="D4381" s="8" t="n">
        <v>147.2</v>
      </c>
      <c r="E4381" s="8" t="n">
        <v>0</v>
      </c>
      <c r="F4381" s="8" t="n">
        <v>0</v>
      </c>
    </row>
    <row r="4382" customFormat="false" ht="15" hidden="false" customHeight="true" outlineLevel="0" collapsed="false">
      <c r="A4382" s="8" t="s">
        <v>313</v>
      </c>
      <c r="B4382" s="8" t="s">
        <v>1294</v>
      </c>
      <c r="C4382" s="8" t="n">
        <v>6</v>
      </c>
      <c r="D4382" s="8" t="n">
        <v>110.4</v>
      </c>
      <c r="E4382" s="8" t="n">
        <v>0</v>
      </c>
      <c r="F4382" s="8" t="n">
        <v>0</v>
      </c>
    </row>
    <row r="4383" customFormat="false" ht="15" hidden="false" customHeight="true" outlineLevel="0" collapsed="false">
      <c r="A4383" s="8" t="s">
        <v>322</v>
      </c>
      <c r="B4383" s="8" t="s">
        <v>1264</v>
      </c>
      <c r="C4383" s="8" t="n">
        <v>9</v>
      </c>
      <c r="D4383" s="8" t="n">
        <v>165.6</v>
      </c>
      <c r="E4383" s="8" t="n">
        <v>0</v>
      </c>
      <c r="F4383" s="8" t="n">
        <v>0</v>
      </c>
    </row>
    <row r="4384" customFormat="false" ht="15" hidden="false" customHeight="true" outlineLevel="0" collapsed="false">
      <c r="A4384" s="8" t="s">
        <v>192</v>
      </c>
      <c r="B4384" s="8" t="s">
        <v>1240</v>
      </c>
      <c r="C4384" s="8" t="n">
        <v>7</v>
      </c>
      <c r="D4384" s="8" t="n">
        <v>292.67</v>
      </c>
      <c r="E4384" s="8" t="n">
        <v>0</v>
      </c>
      <c r="F4384" s="8" t="n">
        <v>0</v>
      </c>
    </row>
    <row r="4385" customFormat="false" ht="15" hidden="false" customHeight="true" outlineLevel="0" collapsed="false">
      <c r="A4385" s="8" t="s">
        <v>168</v>
      </c>
      <c r="B4385" s="8" t="s">
        <v>1240</v>
      </c>
      <c r="C4385" s="8" t="n">
        <v>3</v>
      </c>
      <c r="D4385" s="8" t="n">
        <v>125.43</v>
      </c>
      <c r="E4385" s="8" t="n">
        <v>0</v>
      </c>
      <c r="F4385" s="8" t="n">
        <v>0</v>
      </c>
    </row>
    <row r="4386" customFormat="false" ht="15" hidden="false" customHeight="true" outlineLevel="0" collapsed="false">
      <c r="A4386" s="8" t="s">
        <v>180</v>
      </c>
      <c r="B4386" s="8" t="s">
        <v>1216</v>
      </c>
      <c r="C4386" s="8" t="n">
        <v>0</v>
      </c>
      <c r="D4386" s="8" t="n">
        <v>0</v>
      </c>
      <c r="E4386" s="8" t="n">
        <v>1</v>
      </c>
      <c r="F4386" s="8" t="n">
        <v>16.5</v>
      </c>
    </row>
    <row r="4387" customFormat="false" ht="15" hidden="false" customHeight="true" outlineLevel="0" collapsed="false">
      <c r="A4387" s="8" t="s">
        <v>189</v>
      </c>
      <c r="B4387" s="8" t="s">
        <v>1216</v>
      </c>
      <c r="C4387" s="8" t="n">
        <v>0</v>
      </c>
      <c r="D4387" s="8" t="n">
        <v>0</v>
      </c>
      <c r="E4387" s="8" t="n">
        <v>2</v>
      </c>
      <c r="F4387" s="8" t="n">
        <v>33</v>
      </c>
    </row>
    <row r="4388" customFormat="false" ht="15" hidden="false" customHeight="true" outlineLevel="0" collapsed="false">
      <c r="A4388" s="8" t="s">
        <v>199</v>
      </c>
      <c r="B4388" s="8" t="s">
        <v>1216</v>
      </c>
      <c r="C4388" s="8" t="n">
        <v>3</v>
      </c>
      <c r="D4388" s="8" t="n">
        <v>49.5</v>
      </c>
      <c r="E4388" s="8" t="n">
        <v>0</v>
      </c>
      <c r="F4388" s="8" t="n">
        <v>0</v>
      </c>
    </row>
    <row r="4389" customFormat="false" ht="15" hidden="false" customHeight="true" outlineLevel="0" collapsed="false">
      <c r="A4389" s="8" t="s">
        <v>198</v>
      </c>
      <c r="B4389" s="8" t="s">
        <v>1217</v>
      </c>
      <c r="C4389" s="8" t="n">
        <v>2</v>
      </c>
      <c r="D4389" s="8" t="n">
        <v>41</v>
      </c>
      <c r="E4389" s="8" t="n">
        <v>0</v>
      </c>
      <c r="F4389" s="8" t="n">
        <v>0</v>
      </c>
    </row>
    <row r="4390" customFormat="false" ht="15" hidden="false" customHeight="true" outlineLevel="0" collapsed="false">
      <c r="A4390" s="8" t="s">
        <v>193</v>
      </c>
      <c r="B4390" s="8" t="s">
        <v>1217</v>
      </c>
      <c r="C4390" s="8" t="n">
        <v>2</v>
      </c>
      <c r="D4390" s="8" t="n">
        <v>41</v>
      </c>
      <c r="E4390" s="8" t="n">
        <v>0</v>
      </c>
      <c r="F4390" s="8" t="n">
        <v>0</v>
      </c>
    </row>
    <row r="4391" customFormat="false" ht="15" hidden="false" customHeight="true" outlineLevel="0" collapsed="false">
      <c r="A4391" s="8" t="s">
        <v>302</v>
      </c>
      <c r="B4391" s="8" t="s">
        <v>1217</v>
      </c>
      <c r="C4391" s="8" t="n">
        <v>2</v>
      </c>
      <c r="D4391" s="8" t="n">
        <v>41</v>
      </c>
      <c r="E4391" s="8" t="n">
        <v>0</v>
      </c>
      <c r="F4391" s="8" t="n">
        <v>0</v>
      </c>
    </row>
    <row r="4392" customFormat="false" ht="15" hidden="false" customHeight="true" outlineLevel="0" collapsed="false">
      <c r="A4392" s="8" t="s">
        <v>205</v>
      </c>
      <c r="B4392" s="8" t="s">
        <v>1217</v>
      </c>
      <c r="C4392" s="8" t="n">
        <v>4</v>
      </c>
      <c r="D4392" s="8" t="n">
        <v>82</v>
      </c>
      <c r="E4392" s="8" t="n">
        <v>0</v>
      </c>
      <c r="F4392" s="8" t="n">
        <v>0</v>
      </c>
    </row>
    <row r="4393" customFormat="false" ht="15" hidden="false" customHeight="true" outlineLevel="0" collapsed="false">
      <c r="A4393" s="8" t="s">
        <v>256</v>
      </c>
      <c r="B4393" s="8" t="s">
        <v>1217</v>
      </c>
      <c r="C4393" s="8" t="n">
        <v>2</v>
      </c>
      <c r="D4393" s="8" t="n">
        <v>41</v>
      </c>
      <c r="E4393" s="8" t="n">
        <v>0</v>
      </c>
      <c r="F4393" s="8" t="n">
        <v>0</v>
      </c>
    </row>
    <row r="4394" customFormat="false" ht="15" hidden="false" customHeight="true" outlineLevel="0" collapsed="false">
      <c r="A4394" s="8" t="s">
        <v>178</v>
      </c>
      <c r="B4394" s="8" t="s">
        <v>1236</v>
      </c>
      <c r="C4394" s="8" t="n">
        <v>4</v>
      </c>
      <c r="D4394" s="8" t="n">
        <v>140</v>
      </c>
      <c r="E4394" s="8" t="n">
        <v>0</v>
      </c>
      <c r="F4394" s="8" t="n">
        <v>0</v>
      </c>
    </row>
    <row r="4395" customFormat="false" ht="15" hidden="false" customHeight="true" outlineLevel="0" collapsed="false">
      <c r="A4395" s="8" t="s">
        <v>176</v>
      </c>
      <c r="B4395" s="8" t="s">
        <v>1236</v>
      </c>
      <c r="C4395" s="8" t="n">
        <v>3</v>
      </c>
      <c r="D4395" s="8" t="n">
        <v>105</v>
      </c>
      <c r="E4395" s="8" t="n">
        <v>0</v>
      </c>
      <c r="F4395" s="8" t="n">
        <v>0</v>
      </c>
    </row>
    <row r="4396" customFormat="false" ht="15" hidden="false" customHeight="true" outlineLevel="0" collapsed="false">
      <c r="A4396" s="8" t="s">
        <v>170</v>
      </c>
      <c r="B4396" s="8" t="s">
        <v>1220</v>
      </c>
      <c r="C4396" s="8" t="n">
        <v>6</v>
      </c>
      <c r="D4396" s="8" t="n">
        <v>88.8</v>
      </c>
      <c r="E4396" s="8" t="n">
        <v>24</v>
      </c>
      <c r="F4396" s="8" t="n">
        <v>355.2</v>
      </c>
    </row>
    <row r="4397" customFormat="false" ht="15" hidden="false" customHeight="true" outlineLevel="0" collapsed="false">
      <c r="A4397" s="8" t="s">
        <v>275</v>
      </c>
      <c r="B4397" s="8" t="s">
        <v>1257</v>
      </c>
      <c r="C4397" s="8" t="n">
        <v>5</v>
      </c>
      <c r="D4397" s="8" t="n">
        <v>108</v>
      </c>
      <c r="E4397" s="8" t="n">
        <v>0</v>
      </c>
      <c r="F4397" s="8" t="n">
        <v>0</v>
      </c>
    </row>
    <row r="4398" customFormat="false" ht="15" hidden="false" customHeight="true" outlineLevel="0" collapsed="false">
      <c r="A4398" s="8" t="s">
        <v>348</v>
      </c>
      <c r="B4398" s="8" t="s">
        <v>1277</v>
      </c>
      <c r="C4398" s="8" t="n">
        <v>5</v>
      </c>
      <c r="D4398" s="8" t="n">
        <v>34</v>
      </c>
      <c r="E4398" s="8" t="n">
        <v>0</v>
      </c>
      <c r="F4398" s="8" t="n">
        <v>0</v>
      </c>
    </row>
    <row r="4399" customFormat="false" ht="15" hidden="false" customHeight="true" outlineLevel="0" collapsed="false">
      <c r="A4399" s="8" t="s">
        <v>349</v>
      </c>
      <c r="B4399" s="8" t="s">
        <v>1267</v>
      </c>
      <c r="C4399" s="8" t="n">
        <v>0</v>
      </c>
      <c r="D4399" s="8" t="n">
        <v>0</v>
      </c>
      <c r="E4399" s="8" t="n">
        <v>1</v>
      </c>
      <c r="F4399" s="8" t="n">
        <v>128.71</v>
      </c>
    </row>
    <row r="4400" customFormat="false" ht="15" hidden="false" customHeight="true" outlineLevel="0" collapsed="false">
      <c r="A4400" s="8" t="s">
        <v>163</v>
      </c>
      <c r="B4400" s="8" t="s">
        <v>897</v>
      </c>
      <c r="C4400" s="8" t="n">
        <v>4</v>
      </c>
      <c r="D4400" s="8" t="n">
        <v>260</v>
      </c>
      <c r="E4400" s="8" t="n">
        <v>0</v>
      </c>
      <c r="F4400" s="8" t="n">
        <v>0</v>
      </c>
    </row>
    <row r="4401" customFormat="false" ht="15" hidden="false" customHeight="true" outlineLevel="0" collapsed="false">
      <c r="A4401" s="8" t="s">
        <v>181</v>
      </c>
      <c r="B4401" s="8" t="s">
        <v>897</v>
      </c>
      <c r="C4401" s="8" t="n">
        <v>2</v>
      </c>
      <c r="D4401" s="8" t="n">
        <v>130</v>
      </c>
      <c r="E4401" s="8" t="n">
        <v>0</v>
      </c>
      <c r="F4401" s="8" t="n">
        <v>0</v>
      </c>
    </row>
    <row r="4402" customFormat="false" ht="15" hidden="false" customHeight="true" outlineLevel="0" collapsed="false">
      <c r="A4402" s="8" t="s">
        <v>290</v>
      </c>
      <c r="B4402" s="8" t="s">
        <v>897</v>
      </c>
      <c r="C4402" s="8" t="n">
        <v>2</v>
      </c>
      <c r="D4402" s="8" t="n">
        <v>130</v>
      </c>
      <c r="E4402" s="8" t="n">
        <v>0</v>
      </c>
      <c r="F4402" s="8" t="n">
        <v>0</v>
      </c>
    </row>
    <row r="4403" customFormat="false" ht="15" hidden="false" customHeight="true" outlineLevel="0" collapsed="false">
      <c r="A4403" s="8" t="s">
        <v>165</v>
      </c>
      <c r="B4403" s="8" t="s">
        <v>897</v>
      </c>
      <c r="C4403" s="8" t="n">
        <v>7</v>
      </c>
      <c r="D4403" s="8" t="n">
        <v>455</v>
      </c>
      <c r="E4403" s="8" t="n">
        <v>0</v>
      </c>
      <c r="F4403" s="8" t="n">
        <v>0</v>
      </c>
    </row>
    <row r="4404" customFormat="false" ht="15" hidden="false" customHeight="true" outlineLevel="0" collapsed="false">
      <c r="A4404" s="8" t="s">
        <v>175</v>
      </c>
      <c r="B4404" s="8" t="s">
        <v>1244</v>
      </c>
      <c r="C4404" s="8" t="n">
        <v>6</v>
      </c>
      <c r="D4404" s="8" t="n">
        <v>1053</v>
      </c>
      <c r="E4404" s="8" t="n">
        <v>0</v>
      </c>
      <c r="F4404" s="8" t="n">
        <v>0</v>
      </c>
    </row>
    <row r="4405" customFormat="false" ht="15" hidden="false" customHeight="true" outlineLevel="0" collapsed="false">
      <c r="A4405" s="8" t="s">
        <v>177</v>
      </c>
      <c r="B4405" s="8" t="s">
        <v>1244</v>
      </c>
      <c r="C4405" s="8" t="n">
        <v>2</v>
      </c>
      <c r="D4405" s="8" t="n">
        <v>351</v>
      </c>
      <c r="E4405" s="8" t="n">
        <v>0</v>
      </c>
      <c r="F4405" s="8" t="n">
        <v>0</v>
      </c>
    </row>
    <row r="4406" customFormat="false" ht="15" hidden="false" customHeight="true" outlineLevel="0" collapsed="false">
      <c r="A4406" s="8" t="s">
        <v>190</v>
      </c>
      <c r="B4406" s="8" t="s">
        <v>1224</v>
      </c>
      <c r="C4406" s="8" t="n">
        <v>8</v>
      </c>
      <c r="D4406" s="8" t="n">
        <v>195.44</v>
      </c>
      <c r="E4406" s="8" t="n">
        <v>0</v>
      </c>
      <c r="F4406" s="8" t="n">
        <v>0</v>
      </c>
    </row>
    <row r="4407" customFormat="false" ht="15" hidden="false" customHeight="true" outlineLevel="0" collapsed="false">
      <c r="A4407" s="8" t="s">
        <v>183</v>
      </c>
      <c r="B4407" s="8" t="s">
        <v>1224</v>
      </c>
      <c r="C4407" s="8" t="n">
        <v>5</v>
      </c>
      <c r="D4407" s="8" t="n">
        <v>122.15</v>
      </c>
      <c r="E4407" s="8" t="n">
        <v>0</v>
      </c>
      <c r="F4407" s="8" t="n">
        <v>0</v>
      </c>
    </row>
    <row r="4408" customFormat="false" ht="15" hidden="false" customHeight="true" outlineLevel="0" collapsed="false">
      <c r="A4408" s="8" t="s">
        <v>218</v>
      </c>
      <c r="B4408" s="8" t="s">
        <v>1224</v>
      </c>
      <c r="C4408" s="8" t="n">
        <v>2</v>
      </c>
      <c r="D4408" s="8" t="n">
        <v>48.86</v>
      </c>
      <c r="E4408" s="8" t="n">
        <v>0</v>
      </c>
      <c r="F4408" s="8" t="n">
        <v>0</v>
      </c>
    </row>
    <row r="4409" customFormat="false" ht="15" hidden="false" customHeight="true" outlineLevel="0" collapsed="false">
      <c r="A4409" s="8" t="s">
        <v>231</v>
      </c>
      <c r="B4409" s="8" t="s">
        <v>1224</v>
      </c>
      <c r="C4409" s="8" t="n">
        <v>7</v>
      </c>
      <c r="D4409" s="8" t="n">
        <v>171.01</v>
      </c>
      <c r="E4409" s="8" t="n">
        <v>0</v>
      </c>
      <c r="F4409" s="8" t="n">
        <v>0</v>
      </c>
    </row>
    <row r="4410" customFormat="false" ht="15" hidden="false" customHeight="true" outlineLevel="0" collapsed="false">
      <c r="A4410" s="8" t="s">
        <v>161</v>
      </c>
      <c r="B4410" s="8" t="s">
        <v>1208</v>
      </c>
      <c r="C4410" s="8" t="n">
        <v>4</v>
      </c>
      <c r="D4410" s="8" t="n">
        <v>182</v>
      </c>
      <c r="E4410" s="8" t="n">
        <v>0</v>
      </c>
      <c r="F4410" s="8" t="n">
        <v>0</v>
      </c>
    </row>
    <row r="4411" customFormat="false" ht="15" hidden="false" customHeight="true" outlineLevel="0" collapsed="false">
      <c r="A4411" s="8" t="s">
        <v>164</v>
      </c>
      <c r="B4411" s="8" t="s">
        <v>1211</v>
      </c>
      <c r="C4411" s="8" t="n">
        <v>4</v>
      </c>
      <c r="D4411" s="8" t="n">
        <v>253.08</v>
      </c>
      <c r="E4411" s="8" t="n">
        <v>0</v>
      </c>
      <c r="F4411" s="8" t="n">
        <v>0</v>
      </c>
    </row>
    <row r="4412" customFormat="false" ht="15" hidden="false" customHeight="true" outlineLevel="0" collapsed="false">
      <c r="A4412" s="8" t="s">
        <v>187</v>
      </c>
      <c r="B4412" s="8" t="s">
        <v>1211</v>
      </c>
      <c r="C4412" s="8" t="n">
        <v>2</v>
      </c>
      <c r="D4412" s="8" t="n">
        <v>126.54</v>
      </c>
      <c r="E4412" s="8" t="n">
        <v>0</v>
      </c>
      <c r="F4412" s="8" t="n">
        <v>0</v>
      </c>
    </row>
    <row r="4413" customFormat="false" ht="15" hidden="false" customHeight="true" outlineLevel="0" collapsed="false">
      <c r="A4413" s="8" t="s">
        <v>188</v>
      </c>
      <c r="B4413" s="8" t="s">
        <v>1225</v>
      </c>
      <c r="C4413" s="8" t="n">
        <v>2</v>
      </c>
      <c r="D4413" s="8" t="n">
        <v>57.86</v>
      </c>
      <c r="E4413" s="8" t="n">
        <v>0</v>
      </c>
      <c r="F4413" s="8" t="n">
        <v>0</v>
      </c>
    </row>
    <row r="4414" customFormat="false" ht="15" hidden="false" customHeight="true" outlineLevel="0" collapsed="false">
      <c r="A4414" s="8" t="s">
        <v>186</v>
      </c>
      <c r="B4414" s="8" t="s">
        <v>1225</v>
      </c>
      <c r="C4414" s="8" t="n">
        <v>2</v>
      </c>
      <c r="D4414" s="8" t="n">
        <v>57.86</v>
      </c>
      <c r="E4414" s="8" t="n">
        <v>0</v>
      </c>
      <c r="F4414" s="8" t="n">
        <v>0</v>
      </c>
    </row>
    <row r="4415" customFormat="false" ht="15" hidden="false" customHeight="true" outlineLevel="0" collapsed="false">
      <c r="A4415" s="8" t="s">
        <v>239</v>
      </c>
      <c r="B4415" s="8" t="s">
        <v>1225</v>
      </c>
      <c r="C4415" s="8" t="n">
        <v>2</v>
      </c>
      <c r="D4415" s="8" t="n">
        <v>57.86</v>
      </c>
      <c r="E4415" s="8" t="n">
        <v>0</v>
      </c>
      <c r="F4415" s="8" t="n">
        <v>0</v>
      </c>
    </row>
    <row r="4416" customFormat="false" ht="15" hidden="false" customHeight="true" outlineLevel="0" collapsed="false">
      <c r="A4416" s="8" t="s">
        <v>238</v>
      </c>
      <c r="B4416" s="8" t="s">
        <v>1226</v>
      </c>
      <c r="C4416" s="8" t="n">
        <v>4</v>
      </c>
      <c r="D4416" s="8" t="n">
        <v>168.68</v>
      </c>
      <c r="E4416" s="8" t="n">
        <v>0</v>
      </c>
      <c r="F4416" s="8" t="n">
        <v>0</v>
      </c>
    </row>
    <row r="4417" customFormat="false" ht="15" hidden="false" customHeight="true" outlineLevel="0" collapsed="false">
      <c r="A4417" s="8" t="s">
        <v>201</v>
      </c>
      <c r="B4417" s="8" t="s">
        <v>1226</v>
      </c>
      <c r="C4417" s="8" t="n">
        <v>2</v>
      </c>
      <c r="D4417" s="8" t="n">
        <v>84.34</v>
      </c>
      <c r="E4417" s="8" t="n">
        <v>0</v>
      </c>
      <c r="F4417" s="8" t="n">
        <v>0</v>
      </c>
    </row>
    <row r="4418" customFormat="false" ht="15" hidden="false" customHeight="true" outlineLevel="0" collapsed="false">
      <c r="A4418" s="8" t="s">
        <v>241</v>
      </c>
      <c r="B4418" s="8" t="s">
        <v>1227</v>
      </c>
      <c r="C4418" s="8" t="n">
        <v>2</v>
      </c>
      <c r="D4418" s="8" t="n">
        <v>34</v>
      </c>
      <c r="E4418" s="8" t="n">
        <v>0</v>
      </c>
      <c r="F4418" s="8" t="n">
        <v>0</v>
      </c>
    </row>
    <row r="4419" customFormat="false" ht="15" hidden="false" customHeight="true" outlineLevel="0" collapsed="false">
      <c r="A4419" s="8" t="s">
        <v>219</v>
      </c>
      <c r="B4419" s="8" t="s">
        <v>1227</v>
      </c>
      <c r="C4419" s="8" t="n">
        <v>2</v>
      </c>
      <c r="D4419" s="8" t="n">
        <v>34</v>
      </c>
      <c r="E4419" s="8" t="n">
        <v>0</v>
      </c>
      <c r="F4419" s="8" t="n">
        <v>0</v>
      </c>
    </row>
    <row r="4420" customFormat="false" ht="15" hidden="false" customHeight="true" outlineLevel="0" collapsed="false">
      <c r="A4420" s="8" t="s">
        <v>368</v>
      </c>
      <c r="B4420" s="8" t="s">
        <v>1227</v>
      </c>
      <c r="C4420" s="8" t="n">
        <v>2</v>
      </c>
      <c r="D4420" s="8" t="n">
        <v>34</v>
      </c>
      <c r="E4420" s="8" t="n">
        <v>0</v>
      </c>
      <c r="F4420" s="8" t="n">
        <v>0</v>
      </c>
    </row>
    <row r="4421" customFormat="false" ht="15" hidden="false" customHeight="true" outlineLevel="0" collapsed="false">
      <c r="A4421" s="8" t="s">
        <v>287</v>
      </c>
      <c r="B4421" s="8" t="s">
        <v>1227</v>
      </c>
      <c r="C4421" s="8" t="n">
        <v>2</v>
      </c>
      <c r="D4421" s="8" t="n">
        <v>34</v>
      </c>
      <c r="E4421" s="8" t="n">
        <v>0</v>
      </c>
      <c r="F4421" s="8" t="n">
        <v>0</v>
      </c>
    </row>
    <row r="4422" customFormat="false" ht="15" hidden="false" customHeight="true" outlineLevel="0" collapsed="false">
      <c r="A4422" s="8" t="s">
        <v>229</v>
      </c>
      <c r="B4422" s="8" t="s">
        <v>881</v>
      </c>
      <c r="C4422" s="8" t="n">
        <v>2</v>
      </c>
      <c r="D4422" s="8" t="n">
        <v>82.4</v>
      </c>
      <c r="E4422" s="8" t="n">
        <v>0</v>
      </c>
      <c r="F4422" s="8" t="n">
        <v>0</v>
      </c>
    </row>
    <row r="4423" customFormat="false" ht="15" hidden="false" customHeight="true" outlineLevel="0" collapsed="false">
      <c r="A4423" s="8" t="s">
        <v>237</v>
      </c>
      <c r="B4423" s="8" t="s">
        <v>1259</v>
      </c>
      <c r="C4423" s="8" t="n">
        <v>1</v>
      </c>
      <c r="D4423" s="8" t="n">
        <v>18.45</v>
      </c>
      <c r="E4423" s="8" t="n">
        <v>0</v>
      </c>
      <c r="F4423" s="8" t="n">
        <v>0</v>
      </c>
    </row>
    <row r="4424" customFormat="false" ht="15" hidden="false" customHeight="true" outlineLevel="0" collapsed="false">
      <c r="A4424" s="8" t="s">
        <v>271</v>
      </c>
      <c r="B4424" s="8" t="s">
        <v>1260</v>
      </c>
      <c r="C4424" s="8" t="n">
        <v>4</v>
      </c>
      <c r="D4424" s="8" t="n">
        <v>93.6</v>
      </c>
      <c r="E4424" s="8" t="n">
        <v>0</v>
      </c>
      <c r="F4424" s="8" t="n">
        <v>0</v>
      </c>
    </row>
    <row r="4425" customFormat="false" ht="15" hidden="false" customHeight="true" outlineLevel="0" collapsed="false">
      <c r="A4425" s="8" t="s">
        <v>202</v>
      </c>
      <c r="B4425" s="8" t="s">
        <v>1212</v>
      </c>
      <c r="C4425" s="8" t="n">
        <v>2</v>
      </c>
      <c r="D4425" s="8" t="n">
        <v>19</v>
      </c>
      <c r="E4425" s="8" t="n">
        <v>0</v>
      </c>
      <c r="F4425" s="8" t="n">
        <v>0</v>
      </c>
    </row>
    <row r="4426" customFormat="false" ht="15" hidden="false" customHeight="true" outlineLevel="0" collapsed="false">
      <c r="A4426" s="8" t="s">
        <v>244</v>
      </c>
      <c r="B4426" s="8" t="s">
        <v>1213</v>
      </c>
      <c r="C4426" s="8" t="n">
        <v>4</v>
      </c>
      <c r="D4426" s="8" t="n">
        <v>38</v>
      </c>
      <c r="E4426" s="8" t="n">
        <v>0</v>
      </c>
      <c r="F4426" s="8" t="n">
        <v>0</v>
      </c>
    </row>
    <row r="4427" customFormat="false" ht="15" hidden="false" customHeight="true" outlineLevel="0" collapsed="false">
      <c r="A4427" s="8" t="s">
        <v>243</v>
      </c>
      <c r="B4427" s="8" t="s">
        <v>1253</v>
      </c>
      <c r="C4427" s="8" t="n">
        <v>4</v>
      </c>
      <c r="D4427" s="8" t="n">
        <v>51.8</v>
      </c>
      <c r="E4427" s="8" t="n">
        <v>0</v>
      </c>
      <c r="F4427" s="8" t="n">
        <v>0</v>
      </c>
    </row>
    <row r="4428" customFormat="false" ht="15" hidden="false" customHeight="true" outlineLevel="0" collapsed="false">
      <c r="A4428" s="8" t="s">
        <v>172</v>
      </c>
      <c r="B4428" s="8" t="s">
        <v>1214</v>
      </c>
      <c r="C4428" s="8" t="n">
        <v>8</v>
      </c>
      <c r="D4428" s="8" t="n">
        <v>97.44</v>
      </c>
      <c r="E4428" s="8" t="n">
        <v>0</v>
      </c>
      <c r="F4428" s="8" t="n">
        <v>0</v>
      </c>
    </row>
    <row r="4429" customFormat="false" ht="15" hidden="false" customHeight="true" outlineLevel="0" collapsed="false">
      <c r="A4429" s="8" t="s">
        <v>261</v>
      </c>
      <c r="B4429" s="8" t="s">
        <v>1215</v>
      </c>
      <c r="C4429" s="8" t="n">
        <v>2</v>
      </c>
      <c r="D4429" s="8" t="n">
        <v>42.42</v>
      </c>
      <c r="E4429" s="8" t="n">
        <v>0</v>
      </c>
      <c r="F4429" s="8" t="n">
        <v>0</v>
      </c>
    </row>
    <row r="4430" customFormat="false" ht="15" hidden="false" customHeight="true" outlineLevel="0" collapsed="false">
      <c r="A4430" s="8" t="s">
        <v>213</v>
      </c>
      <c r="B4430" s="8" t="s">
        <v>1232</v>
      </c>
      <c r="C4430" s="8" t="n">
        <v>6</v>
      </c>
      <c r="D4430" s="8" t="n">
        <v>165.3</v>
      </c>
      <c r="E4430" s="8" t="n">
        <v>0</v>
      </c>
      <c r="F4430" s="8" t="n">
        <v>0</v>
      </c>
    </row>
    <row r="4431" customFormat="false" ht="15" hidden="false" customHeight="true" outlineLevel="0" collapsed="false">
      <c r="A4431" s="8" t="s">
        <v>232</v>
      </c>
      <c r="B4431" s="8" t="s">
        <v>1233</v>
      </c>
      <c r="C4431" s="8" t="n">
        <v>1</v>
      </c>
      <c r="D4431" s="8" t="n">
        <v>16.2</v>
      </c>
      <c r="E4431" s="8" t="n">
        <v>0</v>
      </c>
      <c r="F4431" s="8" t="n">
        <v>0</v>
      </c>
    </row>
    <row r="4432" customFormat="false" ht="15" hidden="false" customHeight="true" outlineLevel="0" collapsed="false">
      <c r="A4432" s="8" t="s">
        <v>215</v>
      </c>
      <c r="B4432" s="8" t="s">
        <v>1233</v>
      </c>
      <c r="C4432" s="8" t="n">
        <v>2</v>
      </c>
      <c r="D4432" s="8" t="n">
        <v>35.64</v>
      </c>
      <c r="E4432" s="8" t="n">
        <v>0</v>
      </c>
      <c r="F4432" s="8" t="n">
        <v>0</v>
      </c>
    </row>
    <row r="4433" customFormat="false" ht="15" hidden="false" customHeight="true" outlineLevel="0" collapsed="false">
      <c r="A4433" s="8" t="s">
        <v>316</v>
      </c>
      <c r="B4433" s="8" t="s">
        <v>1294</v>
      </c>
      <c r="C4433" s="8" t="n">
        <v>2</v>
      </c>
      <c r="D4433" s="8" t="n">
        <v>36.8</v>
      </c>
      <c r="E4433" s="8" t="n">
        <v>0</v>
      </c>
      <c r="F4433" s="8" t="n">
        <v>0</v>
      </c>
    </row>
    <row r="4434" customFormat="false" ht="15" hidden="false" customHeight="true" outlineLevel="0" collapsed="false">
      <c r="A4434" s="8" t="s">
        <v>180</v>
      </c>
      <c r="B4434" s="8" t="s">
        <v>1216</v>
      </c>
      <c r="C4434" s="8" t="n">
        <v>10</v>
      </c>
      <c r="D4434" s="8" t="n">
        <v>165</v>
      </c>
      <c r="E4434" s="8" t="n">
        <v>0</v>
      </c>
      <c r="F4434" s="8" t="n">
        <v>0</v>
      </c>
    </row>
    <row r="4435" customFormat="false" ht="15" hidden="false" customHeight="true" outlineLevel="0" collapsed="false">
      <c r="A4435" s="8" t="s">
        <v>189</v>
      </c>
      <c r="B4435" s="8" t="s">
        <v>1216</v>
      </c>
      <c r="C4435" s="8" t="n">
        <v>9</v>
      </c>
      <c r="D4435" s="8" t="n">
        <v>148.5</v>
      </c>
      <c r="E4435" s="8" t="n">
        <v>0</v>
      </c>
      <c r="F4435" s="8" t="n">
        <v>0</v>
      </c>
    </row>
    <row r="4436" customFormat="false" ht="15" hidden="false" customHeight="true" outlineLevel="0" collapsed="false">
      <c r="A4436" s="8" t="s">
        <v>199</v>
      </c>
      <c r="B4436" s="8" t="s">
        <v>1216</v>
      </c>
      <c r="C4436" s="8" t="n">
        <v>1</v>
      </c>
      <c r="D4436" s="8" t="n">
        <v>16.5</v>
      </c>
      <c r="E4436" s="8" t="n">
        <v>0</v>
      </c>
      <c r="F4436" s="8" t="n">
        <v>0</v>
      </c>
    </row>
    <row r="4437" customFormat="false" ht="15" hidden="false" customHeight="true" outlineLevel="0" collapsed="false">
      <c r="A4437" s="8" t="s">
        <v>250</v>
      </c>
      <c r="B4437" s="8" t="s">
        <v>1216</v>
      </c>
      <c r="C4437" s="8" t="n">
        <v>2</v>
      </c>
      <c r="D4437" s="8" t="n">
        <v>33</v>
      </c>
      <c r="E4437" s="8" t="n">
        <v>0</v>
      </c>
      <c r="F4437" s="8" t="n">
        <v>0</v>
      </c>
    </row>
    <row r="4438" customFormat="false" ht="15" hidden="false" customHeight="true" outlineLevel="0" collapsed="false">
      <c r="A4438" s="8" t="s">
        <v>198</v>
      </c>
      <c r="B4438" s="8" t="s">
        <v>1217</v>
      </c>
      <c r="C4438" s="8" t="n">
        <v>2</v>
      </c>
      <c r="D4438" s="8" t="n">
        <v>41</v>
      </c>
      <c r="E4438" s="8" t="n">
        <v>0</v>
      </c>
      <c r="F4438" s="8" t="n">
        <v>0</v>
      </c>
    </row>
    <row r="4439" customFormat="false" ht="15" hidden="false" customHeight="true" outlineLevel="0" collapsed="false">
      <c r="A4439" s="8" t="s">
        <v>302</v>
      </c>
      <c r="B4439" s="8" t="s">
        <v>1217</v>
      </c>
      <c r="C4439" s="8" t="n">
        <v>3</v>
      </c>
      <c r="D4439" s="8" t="n">
        <v>61.5</v>
      </c>
      <c r="E4439" s="8" t="n">
        <v>0</v>
      </c>
      <c r="F4439" s="8" t="n">
        <v>0</v>
      </c>
    </row>
    <row r="4440" customFormat="false" ht="15" hidden="false" customHeight="true" outlineLevel="0" collapsed="false">
      <c r="A4440" s="8" t="s">
        <v>205</v>
      </c>
      <c r="B4440" s="8" t="s">
        <v>1217</v>
      </c>
      <c r="C4440" s="8" t="n">
        <v>4</v>
      </c>
      <c r="D4440" s="8" t="n">
        <v>82</v>
      </c>
      <c r="E4440" s="8" t="n">
        <v>0</v>
      </c>
      <c r="F4440" s="8" t="n">
        <v>0</v>
      </c>
    </row>
    <row r="4441" customFormat="false" ht="15" hidden="false" customHeight="true" outlineLevel="0" collapsed="false">
      <c r="A4441" s="8" t="s">
        <v>272</v>
      </c>
      <c r="B4441" s="8" t="s">
        <v>1246</v>
      </c>
      <c r="C4441" s="8" t="n">
        <v>1</v>
      </c>
      <c r="D4441" s="8" t="n">
        <v>126.57</v>
      </c>
      <c r="E4441" s="8" t="n">
        <v>0</v>
      </c>
      <c r="F4441" s="8" t="n">
        <v>0</v>
      </c>
    </row>
    <row r="4442" customFormat="false" ht="15" hidden="false" customHeight="true" outlineLevel="0" collapsed="false">
      <c r="A4442" s="8" t="s">
        <v>249</v>
      </c>
      <c r="B4442" s="8" t="s">
        <v>1285</v>
      </c>
      <c r="C4442" s="8" t="n">
        <v>1</v>
      </c>
      <c r="D4442" s="8" t="n">
        <v>136.3</v>
      </c>
      <c r="E4442" s="8" t="n">
        <v>0</v>
      </c>
      <c r="F4442" s="8" t="n">
        <v>0</v>
      </c>
    </row>
    <row r="4443" customFormat="false" ht="15" hidden="false" customHeight="true" outlineLevel="0" collapsed="false">
      <c r="A4443" s="8" t="s">
        <v>95</v>
      </c>
      <c r="B4443" s="8" t="s">
        <v>1247</v>
      </c>
      <c r="C4443" s="8" t="n">
        <v>4</v>
      </c>
      <c r="D4443" s="8" t="n">
        <v>100</v>
      </c>
      <c r="E4443" s="8" t="n">
        <v>5</v>
      </c>
      <c r="F4443" s="8" t="n">
        <v>125</v>
      </c>
    </row>
    <row r="4444" customFormat="false" ht="15" hidden="false" customHeight="true" outlineLevel="0" collapsed="false">
      <c r="A4444" s="8" t="s">
        <v>113</v>
      </c>
      <c r="B4444" s="8" t="s">
        <v>1247</v>
      </c>
      <c r="C4444" s="8" t="n">
        <v>4</v>
      </c>
      <c r="D4444" s="8" t="n">
        <v>100</v>
      </c>
      <c r="E4444" s="8" t="n">
        <v>0</v>
      </c>
      <c r="F4444" s="8" t="n">
        <v>0</v>
      </c>
    </row>
    <row r="4445" customFormat="false" ht="15" hidden="false" customHeight="true" outlineLevel="0" collapsed="false">
      <c r="A4445" s="8" t="s">
        <v>120</v>
      </c>
      <c r="B4445" s="8" t="s">
        <v>1247</v>
      </c>
      <c r="C4445" s="8" t="n">
        <v>4</v>
      </c>
      <c r="D4445" s="8" t="n">
        <v>100</v>
      </c>
      <c r="E4445" s="8" t="n">
        <v>0</v>
      </c>
      <c r="F4445" s="8" t="n">
        <v>0</v>
      </c>
    </row>
    <row r="4446" customFormat="false" ht="15" hidden="false" customHeight="true" outlineLevel="0" collapsed="false">
      <c r="A4446" s="8" t="s">
        <v>178</v>
      </c>
      <c r="B4446" s="8" t="s">
        <v>1236</v>
      </c>
      <c r="C4446" s="8" t="n">
        <v>2</v>
      </c>
      <c r="D4446" s="8" t="n">
        <v>70</v>
      </c>
      <c r="E4446" s="8" t="n">
        <v>0</v>
      </c>
      <c r="F4446" s="8" t="n">
        <v>0</v>
      </c>
    </row>
    <row r="4447" customFormat="false" ht="15" hidden="false" customHeight="true" outlineLevel="0" collapsed="false">
      <c r="A4447" s="8" t="s">
        <v>176</v>
      </c>
      <c r="B4447" s="8" t="s">
        <v>1236</v>
      </c>
      <c r="C4447" s="8" t="n">
        <v>2</v>
      </c>
      <c r="D4447" s="8" t="n">
        <v>70</v>
      </c>
      <c r="E4447" s="8" t="n">
        <v>0</v>
      </c>
      <c r="F4447" s="8" t="n">
        <v>0</v>
      </c>
    </row>
    <row r="4448" customFormat="false" ht="15" hidden="false" customHeight="true" outlineLevel="0" collapsed="false">
      <c r="A4448" s="8" t="s">
        <v>240</v>
      </c>
      <c r="B4448" s="8" t="s">
        <v>769</v>
      </c>
      <c r="C4448" s="8" t="n">
        <v>10</v>
      </c>
      <c r="D4448" s="8" t="n">
        <v>170</v>
      </c>
      <c r="E4448" s="8" t="n">
        <v>0</v>
      </c>
      <c r="F4448" s="8" t="n">
        <v>0</v>
      </c>
    </row>
    <row r="4449" customFormat="false" ht="15" hidden="false" customHeight="true" outlineLevel="0" collapsed="false">
      <c r="A4449" s="8" t="s">
        <v>234</v>
      </c>
      <c r="B4449" s="8" t="s">
        <v>769</v>
      </c>
      <c r="C4449" s="8" t="n">
        <v>1</v>
      </c>
      <c r="D4449" s="8" t="n">
        <v>17</v>
      </c>
      <c r="E4449" s="8" t="n">
        <v>4</v>
      </c>
      <c r="F4449" s="8" t="n">
        <v>68</v>
      </c>
    </row>
    <row r="4450" customFormat="false" ht="15" hidden="false" customHeight="true" outlineLevel="0" collapsed="false">
      <c r="A4450" s="8" t="s">
        <v>247</v>
      </c>
      <c r="B4450" s="8" t="s">
        <v>769</v>
      </c>
      <c r="C4450" s="8" t="n">
        <v>0</v>
      </c>
      <c r="D4450" s="8" t="n">
        <v>0</v>
      </c>
      <c r="E4450" s="8" t="n">
        <v>2</v>
      </c>
      <c r="F4450" s="8" t="n">
        <v>34</v>
      </c>
    </row>
    <row r="4451" customFormat="false" ht="15" hidden="false" customHeight="true" outlineLevel="0" collapsed="false">
      <c r="A4451" s="8" t="s">
        <v>300</v>
      </c>
      <c r="B4451" s="8" t="s">
        <v>769</v>
      </c>
      <c r="C4451" s="8" t="n">
        <v>2</v>
      </c>
      <c r="D4451" s="8" t="n">
        <v>34</v>
      </c>
      <c r="E4451" s="8" t="n">
        <v>0</v>
      </c>
      <c r="F4451" s="8" t="n">
        <v>0</v>
      </c>
    </row>
    <row r="4452" customFormat="false" ht="15" hidden="false" customHeight="true" outlineLevel="0" collapsed="false">
      <c r="A4452" s="8" t="s">
        <v>182</v>
      </c>
      <c r="B4452" s="8" t="s">
        <v>799</v>
      </c>
      <c r="C4452" s="8" t="n">
        <v>6</v>
      </c>
      <c r="D4452" s="8" t="n">
        <v>120</v>
      </c>
      <c r="E4452" s="8" t="n">
        <v>0</v>
      </c>
      <c r="F4452" s="8" t="n">
        <v>0</v>
      </c>
    </row>
    <row r="4453" customFormat="false" ht="15" hidden="false" customHeight="true" outlineLevel="0" collapsed="false">
      <c r="A4453" s="8" t="s">
        <v>167</v>
      </c>
      <c r="B4453" s="8" t="s">
        <v>1238</v>
      </c>
      <c r="C4453" s="8" t="n">
        <v>11</v>
      </c>
      <c r="D4453" s="8" t="n">
        <v>147.4</v>
      </c>
      <c r="E4453" s="8" t="n">
        <v>0</v>
      </c>
      <c r="F4453" s="8" t="n">
        <v>0</v>
      </c>
    </row>
    <row r="4454" customFormat="false" ht="15" hidden="false" customHeight="true" outlineLevel="0" collapsed="false">
      <c r="A4454" s="8" t="s">
        <v>294</v>
      </c>
      <c r="B4454" s="8" t="s">
        <v>1289</v>
      </c>
      <c r="C4454" s="8" t="n">
        <v>2</v>
      </c>
      <c r="D4454" s="8" t="n">
        <v>28.9</v>
      </c>
      <c r="E4454" s="8" t="n">
        <v>0</v>
      </c>
      <c r="F4454" s="8" t="n">
        <v>0</v>
      </c>
    </row>
    <row r="4455" customFormat="false" ht="15" hidden="false" customHeight="true" outlineLevel="0" collapsed="false">
      <c r="A4455" s="8" t="s">
        <v>220</v>
      </c>
      <c r="B4455" s="8" t="s">
        <v>1248</v>
      </c>
      <c r="C4455" s="8" t="n">
        <v>5</v>
      </c>
      <c r="D4455" s="8" t="n">
        <v>52</v>
      </c>
      <c r="E4455" s="8" t="n">
        <v>0</v>
      </c>
      <c r="F4455" s="8" t="n">
        <v>0</v>
      </c>
    </row>
    <row r="4456" customFormat="false" ht="15" hidden="false" customHeight="true" outlineLevel="0" collapsed="false">
      <c r="A4456" s="8" t="s">
        <v>275</v>
      </c>
      <c r="B4456" s="8" t="s">
        <v>1257</v>
      </c>
      <c r="C4456" s="8" t="n">
        <v>4</v>
      </c>
      <c r="D4456" s="8" t="n">
        <v>86.4</v>
      </c>
      <c r="E4456" s="8" t="n">
        <v>0</v>
      </c>
      <c r="F4456" s="8" t="n">
        <v>0</v>
      </c>
    </row>
    <row r="4457" customFormat="false" ht="15" hidden="false" customHeight="true" outlineLevel="0" collapsed="false">
      <c r="A4457" s="8" t="s">
        <v>233</v>
      </c>
      <c r="B4457" s="8" t="s">
        <v>1249</v>
      </c>
      <c r="C4457" s="8" t="n">
        <v>5</v>
      </c>
      <c r="D4457" s="8" t="n">
        <v>89.75</v>
      </c>
      <c r="E4457" s="8" t="n">
        <v>0</v>
      </c>
      <c r="F4457" s="8" t="n">
        <v>0</v>
      </c>
    </row>
    <row r="4458" customFormat="false" ht="15" hidden="false" customHeight="true" outlineLevel="0" collapsed="false">
      <c r="A4458" s="8" t="s">
        <v>348</v>
      </c>
      <c r="B4458" s="8" t="s">
        <v>1277</v>
      </c>
      <c r="C4458" s="8" t="n">
        <v>3</v>
      </c>
      <c r="D4458" s="8" t="n">
        <v>20.4</v>
      </c>
      <c r="E4458" s="8" t="n">
        <v>0</v>
      </c>
      <c r="F4458" s="8" t="n">
        <v>0</v>
      </c>
    </row>
    <row r="4459" customFormat="false" ht="15" hidden="false" customHeight="true" outlineLevel="0" collapsed="false">
      <c r="A4459" s="8" t="s">
        <v>343</v>
      </c>
      <c r="B4459" s="8" t="s">
        <v>1258</v>
      </c>
      <c r="C4459" s="8" t="n">
        <v>2</v>
      </c>
      <c r="D4459" s="8" t="n">
        <v>188.2</v>
      </c>
      <c r="E4459" s="8" t="n">
        <v>0</v>
      </c>
      <c r="F4459" s="8" t="n">
        <v>0</v>
      </c>
    </row>
    <row r="4460" customFormat="false" ht="15" hidden="false" customHeight="true" outlineLevel="0" collapsed="false">
      <c r="A4460" s="8" t="s">
        <v>163</v>
      </c>
      <c r="B4460" s="8" t="s">
        <v>897</v>
      </c>
      <c r="C4460" s="8" t="n">
        <v>14</v>
      </c>
      <c r="D4460" s="8" t="n">
        <v>910</v>
      </c>
      <c r="E4460" s="8" t="n">
        <v>0</v>
      </c>
      <c r="F4460" s="8" t="n">
        <v>0</v>
      </c>
    </row>
    <row r="4461" customFormat="false" ht="15" hidden="false" customHeight="true" outlineLevel="0" collapsed="false">
      <c r="A4461" s="8" t="s">
        <v>181</v>
      </c>
      <c r="B4461" s="8" t="s">
        <v>897</v>
      </c>
      <c r="C4461" s="8" t="n">
        <v>3</v>
      </c>
      <c r="D4461" s="8" t="n">
        <v>195</v>
      </c>
      <c r="E4461" s="8" t="n">
        <v>0</v>
      </c>
      <c r="F4461" s="8" t="n">
        <v>0</v>
      </c>
    </row>
    <row r="4462" customFormat="false" ht="15" hidden="false" customHeight="true" outlineLevel="0" collapsed="false">
      <c r="A4462" s="8" t="s">
        <v>290</v>
      </c>
      <c r="B4462" s="8" t="s">
        <v>897</v>
      </c>
      <c r="C4462" s="8" t="n">
        <v>1</v>
      </c>
      <c r="D4462" s="8" t="n">
        <v>65</v>
      </c>
      <c r="E4462" s="8" t="n">
        <v>1</v>
      </c>
      <c r="F4462" s="8" t="n">
        <v>65</v>
      </c>
    </row>
    <row r="4463" customFormat="false" ht="15" hidden="false" customHeight="true" outlineLevel="0" collapsed="false">
      <c r="A4463" s="8" t="s">
        <v>165</v>
      </c>
      <c r="B4463" s="8" t="s">
        <v>897</v>
      </c>
      <c r="C4463" s="8" t="n">
        <v>7</v>
      </c>
      <c r="D4463" s="8" t="n">
        <v>455</v>
      </c>
      <c r="E4463" s="8" t="n">
        <v>0</v>
      </c>
      <c r="F4463" s="8" t="n">
        <v>0</v>
      </c>
    </row>
    <row r="4464" customFormat="false" ht="15" hidden="false" customHeight="true" outlineLevel="0" collapsed="false">
      <c r="A4464" s="8" t="s">
        <v>184</v>
      </c>
      <c r="B4464" s="8" t="s">
        <v>897</v>
      </c>
      <c r="C4464" s="8" t="n">
        <v>1</v>
      </c>
      <c r="D4464" s="8" t="n">
        <v>65</v>
      </c>
      <c r="E4464" s="8" t="n">
        <v>0</v>
      </c>
      <c r="F4464" s="8" t="n">
        <v>0</v>
      </c>
    </row>
    <row r="4465" customFormat="false" ht="15" hidden="false" customHeight="true" outlineLevel="0" collapsed="false">
      <c r="A4465" s="8" t="s">
        <v>175</v>
      </c>
      <c r="B4465" s="8" t="s">
        <v>1244</v>
      </c>
      <c r="C4465" s="8" t="n">
        <v>1</v>
      </c>
      <c r="D4465" s="8" t="n">
        <v>175.5</v>
      </c>
      <c r="E4465" s="8" t="n">
        <v>0</v>
      </c>
      <c r="F4465" s="8" t="n">
        <v>0</v>
      </c>
    </row>
    <row r="4466" customFormat="false" ht="15" hidden="false" customHeight="true" outlineLevel="0" collapsed="false">
      <c r="A4466" s="8" t="s">
        <v>173</v>
      </c>
      <c r="B4466" s="8" t="s">
        <v>1244</v>
      </c>
      <c r="C4466" s="8" t="n">
        <v>2</v>
      </c>
      <c r="D4466" s="8" t="n">
        <v>351</v>
      </c>
      <c r="E4466" s="8" t="n">
        <v>0</v>
      </c>
      <c r="F4466" s="8" t="n">
        <v>0</v>
      </c>
    </row>
    <row r="4467" customFormat="false" ht="15" hidden="false" customHeight="true" outlineLevel="0" collapsed="false">
      <c r="A4467" s="8" t="s">
        <v>177</v>
      </c>
      <c r="B4467" s="8" t="s">
        <v>1244</v>
      </c>
      <c r="C4467" s="8" t="n">
        <v>5</v>
      </c>
      <c r="D4467" s="8" t="n">
        <v>877.5</v>
      </c>
      <c r="E4467" s="8" t="n">
        <v>0</v>
      </c>
      <c r="F4467" s="8" t="n">
        <v>0</v>
      </c>
    </row>
    <row r="4468" customFormat="false" ht="15" hidden="false" customHeight="true" outlineLevel="0" collapsed="false">
      <c r="A4468" s="8" t="s">
        <v>208</v>
      </c>
      <c r="B4468" s="8" t="s">
        <v>1179</v>
      </c>
      <c r="C4468" s="8" t="n">
        <v>3</v>
      </c>
      <c r="D4468" s="8" t="n">
        <v>217.02</v>
      </c>
      <c r="E4468" s="8" t="n">
        <v>0</v>
      </c>
      <c r="F4468" s="8" t="n">
        <v>0</v>
      </c>
    </row>
    <row r="4469" customFormat="false" ht="15" hidden="false" customHeight="true" outlineLevel="0" collapsed="false">
      <c r="A4469" s="8" t="s">
        <v>245</v>
      </c>
      <c r="B4469" s="8" t="s">
        <v>1179</v>
      </c>
      <c r="C4469" s="8" t="n">
        <v>0</v>
      </c>
      <c r="D4469" s="8" t="n">
        <v>0</v>
      </c>
      <c r="E4469" s="8" t="n">
        <v>1</v>
      </c>
      <c r="F4469" s="8" t="n">
        <v>72.34</v>
      </c>
    </row>
    <row r="4470" customFormat="false" ht="15" hidden="false" customHeight="true" outlineLevel="0" collapsed="false">
      <c r="A4470" s="8" t="s">
        <v>191</v>
      </c>
      <c r="B4470" s="8" t="s">
        <v>1179</v>
      </c>
      <c r="C4470" s="8" t="n">
        <v>5</v>
      </c>
      <c r="D4470" s="8" t="n">
        <v>361.7</v>
      </c>
      <c r="E4470" s="8" t="n">
        <v>2</v>
      </c>
      <c r="F4470" s="8" t="n">
        <v>144.68</v>
      </c>
    </row>
    <row r="4471" customFormat="false" ht="15" hidden="false" customHeight="true" outlineLevel="0" collapsed="false">
      <c r="A4471" s="8" t="s">
        <v>204</v>
      </c>
      <c r="B4471" s="8" t="s">
        <v>1179</v>
      </c>
      <c r="C4471" s="8" t="n">
        <v>2</v>
      </c>
      <c r="D4471" s="8" t="n">
        <v>144.68</v>
      </c>
      <c r="E4471" s="8" t="n">
        <v>1</v>
      </c>
      <c r="F4471" s="8" t="n">
        <v>72.34</v>
      </c>
    </row>
    <row r="4472" customFormat="false" ht="15" hidden="false" customHeight="true" outlineLevel="0" collapsed="false">
      <c r="A4472" s="8" t="s">
        <v>319</v>
      </c>
      <c r="B4472" s="8" t="s">
        <v>1268</v>
      </c>
      <c r="C4472" s="8" t="n">
        <v>1</v>
      </c>
      <c r="D4472" s="8" t="n">
        <v>113.58</v>
      </c>
      <c r="E4472" s="8" t="n">
        <v>0</v>
      </c>
      <c r="F4472" s="8" t="n">
        <v>0</v>
      </c>
    </row>
    <row r="4473" customFormat="false" ht="15" hidden="false" customHeight="true" outlineLevel="0" collapsed="false">
      <c r="A4473" s="8" t="s">
        <v>333</v>
      </c>
      <c r="B4473" s="8" t="s">
        <v>1268</v>
      </c>
      <c r="C4473" s="8" t="n">
        <v>1</v>
      </c>
      <c r="D4473" s="8" t="n">
        <v>113.58</v>
      </c>
      <c r="E4473" s="8" t="n">
        <v>-1</v>
      </c>
      <c r="F4473" s="8" t="n">
        <v>-113.58</v>
      </c>
    </row>
    <row r="4474" customFormat="false" ht="15" hidden="false" customHeight="true" outlineLevel="0" collapsed="false">
      <c r="A4474" s="8" t="s">
        <v>280</v>
      </c>
      <c r="B4474" s="8" t="s">
        <v>1282</v>
      </c>
      <c r="C4474" s="8" t="n">
        <v>1</v>
      </c>
      <c r="D4474" s="8" t="n">
        <v>107.09</v>
      </c>
      <c r="E4474" s="8" t="n">
        <v>0</v>
      </c>
      <c r="F4474" s="8" t="n">
        <v>0</v>
      </c>
    </row>
    <row r="4475" customFormat="false" ht="15" hidden="false" customHeight="true" outlineLevel="0" collapsed="false">
      <c r="A4475" s="8" t="s">
        <v>190</v>
      </c>
      <c r="B4475" s="8" t="s">
        <v>1224</v>
      </c>
      <c r="C4475" s="8" t="n">
        <v>6</v>
      </c>
      <c r="D4475" s="8" t="n">
        <v>146.58</v>
      </c>
      <c r="E4475" s="8" t="n">
        <v>0</v>
      </c>
      <c r="F4475" s="8" t="n">
        <v>0</v>
      </c>
    </row>
    <row r="4476" customFormat="false" ht="15" hidden="false" customHeight="true" outlineLevel="0" collapsed="false">
      <c r="A4476" s="8" t="s">
        <v>183</v>
      </c>
      <c r="B4476" s="8" t="s">
        <v>1224</v>
      </c>
      <c r="C4476" s="8" t="n">
        <v>0</v>
      </c>
      <c r="D4476" s="8" t="n">
        <v>0</v>
      </c>
      <c r="E4476" s="8" t="n">
        <v>2</v>
      </c>
      <c r="F4476" s="8" t="n">
        <v>48.86</v>
      </c>
    </row>
    <row r="4477" customFormat="false" ht="15" hidden="false" customHeight="true" outlineLevel="0" collapsed="false">
      <c r="A4477" s="8" t="s">
        <v>231</v>
      </c>
      <c r="B4477" s="8" t="s">
        <v>1224</v>
      </c>
      <c r="C4477" s="8" t="n">
        <v>0</v>
      </c>
      <c r="D4477" s="8" t="n">
        <v>0</v>
      </c>
      <c r="E4477" s="8" t="n">
        <v>2</v>
      </c>
      <c r="F4477" s="8" t="n">
        <v>48.86</v>
      </c>
    </row>
    <row r="4478" customFormat="false" ht="15" hidden="false" customHeight="true" outlineLevel="0" collapsed="false">
      <c r="A4478" s="8" t="s">
        <v>161</v>
      </c>
      <c r="B4478" s="8" t="s">
        <v>1208</v>
      </c>
      <c r="C4478" s="8" t="n">
        <v>19</v>
      </c>
      <c r="D4478" s="8" t="n">
        <v>864.5</v>
      </c>
      <c r="E4478" s="8" t="n">
        <v>4</v>
      </c>
      <c r="F4478" s="8" t="n">
        <v>182</v>
      </c>
    </row>
    <row r="4479" customFormat="false" ht="15" hidden="false" customHeight="true" outlineLevel="0" collapsed="false">
      <c r="A4479" s="8" t="s">
        <v>162</v>
      </c>
      <c r="B4479" s="8" t="s">
        <v>1209</v>
      </c>
      <c r="C4479" s="8" t="n">
        <v>5</v>
      </c>
      <c r="D4479" s="8" t="n">
        <v>389</v>
      </c>
      <c r="E4479" s="8" t="n">
        <v>2</v>
      </c>
      <c r="F4479" s="8" t="n">
        <v>155.6</v>
      </c>
    </row>
    <row r="4480" customFormat="false" ht="15" hidden="false" customHeight="true" outlineLevel="0" collapsed="false">
      <c r="A4480" s="8" t="s">
        <v>171</v>
      </c>
      <c r="B4480" s="8" t="s">
        <v>1210</v>
      </c>
      <c r="C4480" s="8" t="n">
        <v>6</v>
      </c>
      <c r="D4480" s="8" t="n">
        <v>283.38</v>
      </c>
      <c r="E4480" s="8" t="n">
        <v>2</v>
      </c>
      <c r="F4480" s="8" t="n">
        <v>94.46</v>
      </c>
    </row>
    <row r="4481" customFormat="false" ht="15" hidden="false" customHeight="true" outlineLevel="0" collapsed="false">
      <c r="A4481" s="8" t="s">
        <v>174</v>
      </c>
      <c r="B4481" s="8" t="s">
        <v>1210</v>
      </c>
      <c r="C4481" s="8" t="n">
        <v>7</v>
      </c>
      <c r="D4481" s="8" t="n">
        <v>330.61</v>
      </c>
      <c r="E4481" s="8" t="n">
        <v>0</v>
      </c>
      <c r="F4481" s="8" t="n">
        <v>0</v>
      </c>
    </row>
    <row r="4482" customFormat="false" ht="15" hidden="false" customHeight="true" outlineLevel="0" collapsed="false">
      <c r="A4482" s="8" t="s">
        <v>166</v>
      </c>
      <c r="B4482" s="8" t="s">
        <v>1211</v>
      </c>
      <c r="C4482" s="8" t="n">
        <v>4</v>
      </c>
      <c r="D4482" s="8" t="n">
        <v>253.08</v>
      </c>
      <c r="E4482" s="8" t="n">
        <v>0</v>
      </c>
      <c r="F4482" s="8" t="n">
        <v>0</v>
      </c>
    </row>
    <row r="4483" customFormat="false" ht="15" hidden="false" customHeight="true" outlineLevel="0" collapsed="false">
      <c r="A4483" s="8" t="s">
        <v>164</v>
      </c>
      <c r="B4483" s="8" t="s">
        <v>1211</v>
      </c>
      <c r="C4483" s="8" t="n">
        <v>7</v>
      </c>
      <c r="D4483" s="8" t="n">
        <v>442.89</v>
      </c>
      <c r="E4483" s="8" t="n">
        <v>0</v>
      </c>
      <c r="F4483" s="8" t="n">
        <v>0</v>
      </c>
    </row>
    <row r="4484" customFormat="false" ht="15" hidden="false" customHeight="true" outlineLevel="0" collapsed="false">
      <c r="A4484" s="8" t="s">
        <v>187</v>
      </c>
      <c r="B4484" s="8" t="s">
        <v>1211</v>
      </c>
      <c r="C4484" s="8" t="n">
        <v>6</v>
      </c>
      <c r="D4484" s="8" t="n">
        <v>379.62</v>
      </c>
      <c r="E4484" s="8" t="n">
        <v>0</v>
      </c>
      <c r="F4484" s="8" t="n">
        <v>0</v>
      </c>
    </row>
    <row r="4485" customFormat="false" ht="15" hidden="false" customHeight="true" outlineLevel="0" collapsed="false">
      <c r="A4485" s="8" t="s">
        <v>270</v>
      </c>
      <c r="B4485" s="8" t="s">
        <v>1251</v>
      </c>
      <c r="C4485" s="8" t="n">
        <v>0</v>
      </c>
      <c r="D4485" s="8" t="n">
        <v>0</v>
      </c>
      <c r="E4485" s="8" t="n">
        <v>2</v>
      </c>
      <c r="F4485" s="8" t="n">
        <v>19.64</v>
      </c>
    </row>
    <row r="4486" customFormat="false" ht="15" hidden="false" customHeight="true" outlineLevel="0" collapsed="false">
      <c r="A4486" s="8" t="s">
        <v>263</v>
      </c>
      <c r="B4486" s="8" t="s">
        <v>407</v>
      </c>
      <c r="C4486" s="8" t="n">
        <v>3</v>
      </c>
      <c r="D4486" s="8" t="n">
        <v>38.46</v>
      </c>
      <c r="E4486" s="8" t="n">
        <v>0</v>
      </c>
      <c r="F4486" s="8" t="n">
        <v>0</v>
      </c>
    </row>
    <row r="4487" customFormat="false" ht="15" hidden="false" customHeight="true" outlineLevel="0" collapsed="false">
      <c r="A4487" s="8" t="s">
        <v>206</v>
      </c>
      <c r="B4487" s="8" t="s">
        <v>1288</v>
      </c>
      <c r="C4487" s="8" t="n">
        <v>4</v>
      </c>
      <c r="D4487" s="8" t="n">
        <v>389.4</v>
      </c>
      <c r="E4487" s="8" t="n">
        <v>0</v>
      </c>
      <c r="F4487" s="8" t="n">
        <v>0</v>
      </c>
    </row>
    <row r="4488" customFormat="false" ht="15" hidden="false" customHeight="true" outlineLevel="0" collapsed="false">
      <c r="A4488" s="8" t="s">
        <v>188</v>
      </c>
      <c r="B4488" s="8" t="s">
        <v>1225</v>
      </c>
      <c r="C4488" s="8" t="n">
        <v>2</v>
      </c>
      <c r="D4488" s="8" t="n">
        <v>57.86</v>
      </c>
      <c r="E4488" s="8" t="n">
        <v>0</v>
      </c>
      <c r="F4488" s="8" t="n">
        <v>0</v>
      </c>
    </row>
    <row r="4489" customFormat="false" ht="15" hidden="false" customHeight="true" outlineLevel="0" collapsed="false">
      <c r="A4489" s="8" t="s">
        <v>186</v>
      </c>
      <c r="B4489" s="8" t="s">
        <v>1225</v>
      </c>
      <c r="C4489" s="8" t="n">
        <v>4</v>
      </c>
      <c r="D4489" s="8" t="n">
        <v>115.72</v>
      </c>
      <c r="E4489" s="8" t="n">
        <v>0</v>
      </c>
      <c r="F4489" s="8" t="n">
        <v>0</v>
      </c>
    </row>
    <row r="4490" customFormat="false" ht="15" hidden="false" customHeight="true" outlineLevel="0" collapsed="false">
      <c r="A4490" s="8" t="s">
        <v>239</v>
      </c>
      <c r="B4490" s="8" t="s">
        <v>1225</v>
      </c>
      <c r="C4490" s="8" t="n">
        <v>1</v>
      </c>
      <c r="D4490" s="8" t="n">
        <v>28.93</v>
      </c>
      <c r="E4490" s="8" t="n">
        <v>0</v>
      </c>
      <c r="F4490" s="8" t="n">
        <v>0</v>
      </c>
    </row>
    <row r="4491" customFormat="false" ht="15" hidden="false" customHeight="true" outlineLevel="0" collapsed="false">
      <c r="A4491" s="8" t="s">
        <v>210</v>
      </c>
      <c r="B4491" s="8" t="s">
        <v>1225</v>
      </c>
      <c r="C4491" s="8" t="n">
        <v>2</v>
      </c>
      <c r="D4491" s="8" t="n">
        <v>57.86</v>
      </c>
      <c r="E4491" s="8" t="n">
        <v>0</v>
      </c>
      <c r="F4491" s="8" t="n">
        <v>0</v>
      </c>
    </row>
    <row r="4492" customFormat="false" ht="15" hidden="false" customHeight="true" outlineLevel="0" collapsed="false">
      <c r="A4492" s="8" t="s">
        <v>278</v>
      </c>
      <c r="B4492" s="8" t="s">
        <v>1225</v>
      </c>
      <c r="C4492" s="8" t="n">
        <v>1</v>
      </c>
      <c r="D4492" s="8" t="n">
        <v>28.93</v>
      </c>
      <c r="E4492" s="8" t="n">
        <v>2</v>
      </c>
      <c r="F4492" s="8" t="n">
        <v>57.86</v>
      </c>
    </row>
    <row r="4493" customFormat="false" ht="15" hidden="false" customHeight="true" outlineLevel="0" collapsed="false">
      <c r="A4493" s="8" t="s">
        <v>238</v>
      </c>
      <c r="B4493" s="8" t="s">
        <v>1226</v>
      </c>
      <c r="C4493" s="8" t="n">
        <v>4</v>
      </c>
      <c r="D4493" s="8" t="n">
        <v>168.68</v>
      </c>
      <c r="E4493" s="8" t="n">
        <v>0</v>
      </c>
      <c r="F4493" s="8" t="n">
        <v>0</v>
      </c>
    </row>
    <row r="4494" customFormat="false" ht="15" hidden="false" customHeight="true" outlineLevel="0" collapsed="false">
      <c r="A4494" s="8" t="s">
        <v>214</v>
      </c>
      <c r="B4494" s="8" t="s">
        <v>1226</v>
      </c>
      <c r="C4494" s="8" t="n">
        <v>1</v>
      </c>
      <c r="D4494" s="8" t="n">
        <v>42.17</v>
      </c>
      <c r="E4494" s="8" t="n">
        <v>0</v>
      </c>
      <c r="F4494" s="8" t="n">
        <v>0</v>
      </c>
    </row>
    <row r="4495" customFormat="false" ht="15" hidden="false" customHeight="true" outlineLevel="0" collapsed="false">
      <c r="A4495" s="8" t="s">
        <v>241</v>
      </c>
      <c r="B4495" s="8" t="s">
        <v>1227</v>
      </c>
      <c r="C4495" s="8" t="n">
        <v>2</v>
      </c>
      <c r="D4495" s="8" t="n">
        <v>34</v>
      </c>
      <c r="E4495" s="8" t="n">
        <v>2</v>
      </c>
      <c r="F4495" s="8" t="n">
        <v>34</v>
      </c>
    </row>
    <row r="4496" customFormat="false" ht="15" hidden="false" customHeight="true" outlineLevel="0" collapsed="false">
      <c r="A4496" s="8" t="s">
        <v>292</v>
      </c>
      <c r="B4496" s="8" t="s">
        <v>1227</v>
      </c>
      <c r="C4496" s="8" t="n">
        <v>0</v>
      </c>
      <c r="D4496" s="8" t="n">
        <v>0</v>
      </c>
      <c r="E4496" s="8" t="n">
        <v>2</v>
      </c>
      <c r="F4496" s="8" t="n">
        <v>34</v>
      </c>
    </row>
    <row r="4497" customFormat="false" ht="15" hidden="false" customHeight="true" outlineLevel="0" collapsed="false">
      <c r="A4497" s="8" t="s">
        <v>223</v>
      </c>
      <c r="B4497" s="8" t="s">
        <v>1227</v>
      </c>
      <c r="C4497" s="8" t="n">
        <v>2</v>
      </c>
      <c r="D4497" s="8" t="n">
        <v>34</v>
      </c>
      <c r="E4497" s="8" t="n">
        <v>0</v>
      </c>
      <c r="F4497" s="8" t="n">
        <v>0</v>
      </c>
    </row>
    <row r="4498" customFormat="false" ht="15" hidden="false" customHeight="true" outlineLevel="0" collapsed="false">
      <c r="A4498" s="8" t="s">
        <v>229</v>
      </c>
      <c r="B4498" s="8" t="s">
        <v>881</v>
      </c>
      <c r="C4498" s="8" t="n">
        <v>1</v>
      </c>
      <c r="D4498" s="8" t="n">
        <v>41.2</v>
      </c>
      <c r="E4498" s="8" t="n">
        <v>2</v>
      </c>
      <c r="F4498" s="8" t="n">
        <v>82.4</v>
      </c>
    </row>
    <row r="4499" customFormat="false" ht="15" hidden="false" customHeight="true" outlineLevel="0" collapsed="false">
      <c r="A4499" s="8" t="s">
        <v>237</v>
      </c>
      <c r="B4499" s="8" t="s">
        <v>1259</v>
      </c>
      <c r="C4499" s="8" t="n">
        <v>0</v>
      </c>
      <c r="D4499" s="8" t="n">
        <v>0</v>
      </c>
      <c r="E4499" s="8" t="n">
        <v>2</v>
      </c>
      <c r="F4499" s="8" t="n">
        <v>36.9</v>
      </c>
    </row>
    <row r="4500" customFormat="false" ht="15" hidden="false" customHeight="true" outlineLevel="0" collapsed="false">
      <c r="A4500" s="8" t="s">
        <v>266</v>
      </c>
      <c r="B4500" s="8" t="s">
        <v>1228</v>
      </c>
      <c r="C4500" s="8" t="n">
        <v>0</v>
      </c>
      <c r="D4500" s="8" t="n">
        <v>0</v>
      </c>
      <c r="E4500" s="8" t="n">
        <v>2</v>
      </c>
      <c r="F4500" s="8" t="n">
        <v>39.84</v>
      </c>
    </row>
    <row r="4501" customFormat="false" ht="15" hidden="false" customHeight="true" outlineLevel="0" collapsed="false">
      <c r="A4501" s="8" t="s">
        <v>202</v>
      </c>
      <c r="B4501" s="8" t="s">
        <v>1212</v>
      </c>
      <c r="C4501" s="8" t="n">
        <v>21</v>
      </c>
      <c r="D4501" s="8" t="n">
        <v>199.5</v>
      </c>
      <c r="E4501" s="8" t="n">
        <v>5</v>
      </c>
      <c r="F4501" s="8" t="n">
        <v>47.5</v>
      </c>
    </row>
    <row r="4502" customFormat="false" ht="15" hidden="false" customHeight="true" outlineLevel="0" collapsed="false">
      <c r="A4502" s="8" t="s">
        <v>243</v>
      </c>
      <c r="B4502" s="8" t="s">
        <v>1253</v>
      </c>
      <c r="C4502" s="8" t="n">
        <v>4</v>
      </c>
      <c r="D4502" s="8" t="n">
        <v>51.8</v>
      </c>
      <c r="E4502" s="8" t="n">
        <v>0</v>
      </c>
      <c r="F4502" s="8" t="n">
        <v>0</v>
      </c>
    </row>
    <row r="4503" customFormat="false" ht="15" hidden="false" customHeight="true" outlineLevel="0" collapsed="false">
      <c r="A4503" s="8" t="s">
        <v>251</v>
      </c>
      <c r="B4503" s="8" t="s">
        <v>1262</v>
      </c>
      <c r="C4503" s="8" t="n">
        <v>2</v>
      </c>
      <c r="D4503" s="8" t="n">
        <v>19.42</v>
      </c>
      <c r="E4503" s="8" t="n">
        <v>4</v>
      </c>
      <c r="F4503" s="8" t="n">
        <v>38.84</v>
      </c>
    </row>
    <row r="4504" customFormat="false" ht="15" hidden="false" customHeight="true" outlineLevel="0" collapsed="false">
      <c r="A4504" s="8" t="s">
        <v>308</v>
      </c>
      <c r="B4504" s="8" t="s">
        <v>1229</v>
      </c>
      <c r="C4504" s="8" t="n">
        <v>9</v>
      </c>
      <c r="D4504" s="8" t="n">
        <v>72.72</v>
      </c>
      <c r="E4504" s="8" t="n">
        <v>0</v>
      </c>
      <c r="F4504" s="8" t="n">
        <v>0</v>
      </c>
    </row>
    <row r="4505" customFormat="false" ht="15" hidden="false" customHeight="true" outlineLevel="0" collapsed="false">
      <c r="A4505" s="8" t="s">
        <v>172</v>
      </c>
      <c r="B4505" s="8" t="s">
        <v>1214</v>
      </c>
      <c r="C4505" s="8" t="n">
        <v>24</v>
      </c>
      <c r="D4505" s="8" t="n">
        <v>292.32</v>
      </c>
      <c r="E4505" s="8" t="n">
        <v>0</v>
      </c>
      <c r="F4505" s="8" t="n">
        <v>0</v>
      </c>
    </row>
    <row r="4506" customFormat="false" ht="15" hidden="false" customHeight="true" outlineLevel="0" collapsed="false">
      <c r="A4506" s="8" t="s">
        <v>261</v>
      </c>
      <c r="B4506" s="8" t="s">
        <v>1215</v>
      </c>
      <c r="C4506" s="8" t="n">
        <v>2</v>
      </c>
      <c r="D4506" s="8" t="n">
        <v>42.42</v>
      </c>
      <c r="E4506" s="8" t="n">
        <v>2</v>
      </c>
      <c r="F4506" s="8" t="n">
        <v>42.42</v>
      </c>
    </row>
    <row r="4507" customFormat="false" ht="15" hidden="false" customHeight="true" outlineLevel="0" collapsed="false">
      <c r="A4507" s="8" t="s">
        <v>213</v>
      </c>
      <c r="B4507" s="8" t="s">
        <v>1232</v>
      </c>
      <c r="C4507" s="8" t="n">
        <v>3</v>
      </c>
      <c r="D4507" s="8" t="n">
        <v>82.65</v>
      </c>
      <c r="E4507" s="8" t="n">
        <v>2</v>
      </c>
      <c r="F4507" s="8" t="n">
        <v>55.1</v>
      </c>
    </row>
    <row r="4508" customFormat="false" ht="15" hidden="false" customHeight="true" outlineLevel="0" collapsed="false">
      <c r="A4508" s="8" t="s">
        <v>281</v>
      </c>
      <c r="B4508" s="8" t="s">
        <v>1254</v>
      </c>
      <c r="C4508" s="8" t="n">
        <v>2</v>
      </c>
      <c r="D4508" s="8" t="n">
        <v>27.68</v>
      </c>
      <c r="E4508" s="8" t="n">
        <v>1</v>
      </c>
      <c r="F4508" s="8" t="n">
        <v>13.84</v>
      </c>
    </row>
    <row r="4509" customFormat="false" ht="15" hidden="false" customHeight="true" outlineLevel="0" collapsed="false">
      <c r="A4509" s="8" t="s">
        <v>232</v>
      </c>
      <c r="B4509" s="8" t="s">
        <v>1233</v>
      </c>
      <c r="C4509" s="8" t="n">
        <v>2</v>
      </c>
      <c r="D4509" s="8" t="n">
        <v>32.4</v>
      </c>
      <c r="E4509" s="8" t="n">
        <v>0</v>
      </c>
      <c r="F4509" s="8" t="n">
        <v>0</v>
      </c>
    </row>
    <row r="4510" customFormat="false" ht="15" hidden="false" customHeight="true" outlineLevel="0" collapsed="false">
      <c r="A4510" s="8" t="s">
        <v>215</v>
      </c>
      <c r="B4510" s="8" t="s">
        <v>1233</v>
      </c>
      <c r="C4510" s="8" t="n">
        <v>2</v>
      </c>
      <c r="D4510" s="8" t="n">
        <v>35.64</v>
      </c>
      <c r="E4510" s="8" t="n">
        <v>0</v>
      </c>
      <c r="F4510" s="8" t="n">
        <v>0</v>
      </c>
    </row>
    <row r="4511" customFormat="false" ht="15" hidden="false" customHeight="true" outlineLevel="0" collapsed="false">
      <c r="A4511" s="8" t="s">
        <v>255</v>
      </c>
      <c r="B4511" s="8" t="s">
        <v>1273</v>
      </c>
      <c r="C4511" s="8" t="n">
        <v>8</v>
      </c>
      <c r="D4511" s="8" t="n">
        <v>65.6</v>
      </c>
      <c r="E4511" s="8" t="n">
        <v>0</v>
      </c>
      <c r="F4511" s="8" t="n">
        <v>0</v>
      </c>
    </row>
    <row r="4512" customFormat="false" ht="15" hidden="false" customHeight="true" outlineLevel="0" collapsed="false">
      <c r="A4512" s="8" t="s">
        <v>194</v>
      </c>
      <c r="B4512" s="8" t="s">
        <v>1239</v>
      </c>
      <c r="C4512" s="8" t="n">
        <v>28</v>
      </c>
      <c r="D4512" s="8" t="n">
        <v>274.96</v>
      </c>
      <c r="E4512" s="8" t="n">
        <v>7</v>
      </c>
      <c r="F4512" s="8" t="n">
        <v>68.74</v>
      </c>
    </row>
    <row r="4513" customFormat="false" ht="15" hidden="false" customHeight="true" outlineLevel="0" collapsed="false">
      <c r="A4513" s="8" t="s">
        <v>299</v>
      </c>
      <c r="B4513" s="8" t="s">
        <v>1263</v>
      </c>
      <c r="C4513" s="8" t="n">
        <v>2</v>
      </c>
      <c r="D4513" s="8" t="n">
        <v>107.06</v>
      </c>
      <c r="E4513" s="8" t="n">
        <v>0</v>
      </c>
      <c r="F4513" s="8" t="n">
        <v>0</v>
      </c>
    </row>
    <row r="4514" customFormat="false" ht="15" hidden="false" customHeight="true" outlineLevel="0" collapsed="false">
      <c r="A4514" s="8" t="s">
        <v>326</v>
      </c>
      <c r="B4514" s="8" t="s">
        <v>1281</v>
      </c>
      <c r="C4514" s="8" t="n">
        <v>3</v>
      </c>
      <c r="D4514" s="8" t="n">
        <v>70.8</v>
      </c>
      <c r="E4514" s="8" t="n">
        <v>0</v>
      </c>
      <c r="F4514" s="8" t="n">
        <v>0</v>
      </c>
    </row>
    <row r="4515" customFormat="false" ht="15" hidden="false" customHeight="true" outlineLevel="0" collapsed="false">
      <c r="A4515" s="8" t="s">
        <v>338</v>
      </c>
      <c r="B4515" s="8" t="s">
        <v>1281</v>
      </c>
      <c r="C4515" s="8" t="n">
        <v>3</v>
      </c>
      <c r="D4515" s="8" t="n">
        <v>70.8</v>
      </c>
      <c r="E4515" s="8" t="n">
        <v>3</v>
      </c>
      <c r="F4515" s="8" t="n">
        <v>70.8</v>
      </c>
    </row>
    <row r="4516" customFormat="false" ht="15" hidden="false" customHeight="true" outlineLevel="0" collapsed="false">
      <c r="A4516" s="8" t="s">
        <v>342</v>
      </c>
      <c r="B4516" s="8" t="s">
        <v>1255</v>
      </c>
      <c r="C4516" s="8" t="n">
        <v>3</v>
      </c>
      <c r="D4516" s="8" t="n">
        <v>70.8</v>
      </c>
      <c r="E4516" s="8" t="n">
        <v>0</v>
      </c>
      <c r="F4516" s="8" t="n">
        <v>0</v>
      </c>
    </row>
    <row r="4517" customFormat="false" ht="15" hidden="false" customHeight="true" outlineLevel="0" collapsed="false">
      <c r="A4517" s="8" t="s">
        <v>321</v>
      </c>
      <c r="B4517" s="8" t="s">
        <v>1256</v>
      </c>
      <c r="C4517" s="8" t="n">
        <v>4</v>
      </c>
      <c r="D4517" s="8" t="n">
        <v>94.4</v>
      </c>
      <c r="E4517" s="8" t="n">
        <v>0</v>
      </c>
      <c r="F4517" s="8" t="n">
        <v>0</v>
      </c>
    </row>
    <row r="4518" customFormat="false" ht="15" hidden="false" customHeight="true" outlineLevel="0" collapsed="false">
      <c r="A4518" s="8" t="s">
        <v>318</v>
      </c>
      <c r="B4518" s="8" t="s">
        <v>1256</v>
      </c>
      <c r="C4518" s="8" t="n">
        <v>3</v>
      </c>
      <c r="D4518" s="8" t="n">
        <v>70.8</v>
      </c>
      <c r="E4518" s="8" t="n">
        <v>0</v>
      </c>
      <c r="F4518" s="8" t="n">
        <v>0</v>
      </c>
    </row>
    <row r="4519" customFormat="false" ht="15" hidden="false" customHeight="true" outlineLevel="0" collapsed="false">
      <c r="A4519" s="8" t="s">
        <v>225</v>
      </c>
      <c r="B4519" s="8" t="s">
        <v>1237</v>
      </c>
      <c r="C4519" s="8" t="n">
        <v>6</v>
      </c>
      <c r="D4519" s="8" t="n">
        <v>110.4</v>
      </c>
      <c r="E4519" s="8" t="n">
        <v>0</v>
      </c>
      <c r="F4519" s="8" t="n">
        <v>0</v>
      </c>
    </row>
    <row r="4520" customFormat="false" ht="15" hidden="false" customHeight="true" outlineLevel="0" collapsed="false">
      <c r="A4520" s="8" t="s">
        <v>217</v>
      </c>
      <c r="B4520" s="8" t="s">
        <v>1237</v>
      </c>
      <c r="C4520" s="8" t="n">
        <v>5</v>
      </c>
      <c r="D4520" s="8" t="n">
        <v>92</v>
      </c>
      <c r="E4520" s="8" t="n">
        <v>0</v>
      </c>
      <c r="F4520" s="8" t="n">
        <v>0</v>
      </c>
    </row>
    <row r="4521" customFormat="false" ht="15" hidden="false" customHeight="true" outlineLevel="0" collapsed="false">
      <c r="A4521" s="8" t="s">
        <v>313</v>
      </c>
      <c r="B4521" s="8" t="s">
        <v>1294</v>
      </c>
      <c r="C4521" s="8" t="n">
        <v>4</v>
      </c>
      <c r="D4521" s="8" t="n">
        <v>73.6</v>
      </c>
      <c r="E4521" s="8" t="n">
        <v>0</v>
      </c>
      <c r="F4521" s="8" t="n">
        <v>0</v>
      </c>
    </row>
    <row r="4522" customFormat="false" ht="15" hidden="false" customHeight="true" outlineLevel="0" collapsed="false">
      <c r="A4522" s="8" t="s">
        <v>364</v>
      </c>
      <c r="B4522" s="8" t="s">
        <v>1264</v>
      </c>
      <c r="C4522" s="8" t="n">
        <v>6</v>
      </c>
      <c r="D4522" s="8" t="n">
        <v>110.4</v>
      </c>
      <c r="E4522" s="8" t="n">
        <v>0</v>
      </c>
      <c r="F4522" s="8" t="n">
        <v>0</v>
      </c>
    </row>
    <row r="4523" customFormat="false" ht="15" hidden="false" customHeight="true" outlineLevel="0" collapsed="false">
      <c r="A4523" s="8" t="s">
        <v>325</v>
      </c>
      <c r="B4523" s="8" t="s">
        <v>1264</v>
      </c>
      <c r="C4523" s="8" t="n">
        <v>3</v>
      </c>
      <c r="D4523" s="8" t="n">
        <v>55.2</v>
      </c>
      <c r="E4523" s="8" t="n">
        <v>0</v>
      </c>
      <c r="F4523" s="8" t="n">
        <v>0</v>
      </c>
    </row>
    <row r="4524" customFormat="false" ht="15" hidden="false" customHeight="true" outlineLevel="0" collapsed="false">
      <c r="A4524" s="8" t="s">
        <v>192</v>
      </c>
      <c r="B4524" s="8" t="s">
        <v>1240</v>
      </c>
      <c r="C4524" s="8" t="n">
        <v>4</v>
      </c>
      <c r="D4524" s="8" t="n">
        <v>167.24</v>
      </c>
      <c r="E4524" s="8" t="n">
        <v>0</v>
      </c>
      <c r="F4524" s="8" t="n">
        <v>0</v>
      </c>
    </row>
    <row r="4525" customFormat="false" ht="15" hidden="false" customHeight="true" outlineLevel="0" collapsed="false">
      <c r="A4525" s="8" t="s">
        <v>168</v>
      </c>
      <c r="B4525" s="8" t="s">
        <v>1240</v>
      </c>
      <c r="C4525" s="8" t="n">
        <v>14</v>
      </c>
      <c r="D4525" s="8" t="n">
        <v>585.34</v>
      </c>
      <c r="E4525" s="8" t="n">
        <v>0</v>
      </c>
      <c r="F4525" s="8" t="n">
        <v>0</v>
      </c>
    </row>
    <row r="4526" customFormat="false" ht="15" hidden="false" customHeight="true" outlineLevel="0" collapsed="false">
      <c r="A4526" s="8" t="s">
        <v>169</v>
      </c>
      <c r="B4526" s="8" t="s">
        <v>1240</v>
      </c>
      <c r="C4526" s="8" t="n">
        <v>7</v>
      </c>
      <c r="D4526" s="8" t="n">
        <v>292.67</v>
      </c>
      <c r="E4526" s="8" t="n">
        <v>0</v>
      </c>
      <c r="F4526" s="8" t="n">
        <v>0</v>
      </c>
    </row>
    <row r="4527" customFormat="false" ht="15" hidden="false" customHeight="true" outlineLevel="0" collapsed="false">
      <c r="A4527" s="8" t="s">
        <v>268</v>
      </c>
      <c r="B4527" s="8" t="s">
        <v>1234</v>
      </c>
      <c r="C4527" s="8" t="n">
        <v>2</v>
      </c>
      <c r="D4527" s="8" t="n">
        <v>71.34</v>
      </c>
      <c r="E4527" s="8" t="n">
        <v>1</v>
      </c>
      <c r="F4527" s="8" t="n">
        <v>35.67</v>
      </c>
    </row>
    <row r="4528" customFormat="false" ht="15" hidden="false" customHeight="true" outlineLevel="0" collapsed="false">
      <c r="A4528" s="8" t="s">
        <v>180</v>
      </c>
      <c r="B4528" s="8" t="s">
        <v>1216</v>
      </c>
      <c r="C4528" s="8" t="n">
        <v>8</v>
      </c>
      <c r="D4528" s="8" t="n">
        <v>132</v>
      </c>
      <c r="E4528" s="8" t="n">
        <v>2</v>
      </c>
      <c r="F4528" s="8" t="n">
        <v>33</v>
      </c>
    </row>
    <row r="4529" customFormat="false" ht="15" hidden="false" customHeight="true" outlineLevel="0" collapsed="false">
      <c r="A4529" s="8" t="s">
        <v>189</v>
      </c>
      <c r="B4529" s="8" t="s">
        <v>1216</v>
      </c>
      <c r="C4529" s="8" t="n">
        <v>4</v>
      </c>
      <c r="D4529" s="8" t="n">
        <v>66</v>
      </c>
      <c r="E4529" s="8" t="n">
        <v>0</v>
      </c>
      <c r="F4529" s="8" t="n">
        <v>0</v>
      </c>
    </row>
    <row r="4530" customFormat="false" ht="15" hidden="false" customHeight="true" outlineLevel="0" collapsed="false">
      <c r="A4530" s="8" t="s">
        <v>199</v>
      </c>
      <c r="B4530" s="8" t="s">
        <v>1216</v>
      </c>
      <c r="C4530" s="8" t="n">
        <v>2</v>
      </c>
      <c r="D4530" s="8" t="n">
        <v>33</v>
      </c>
      <c r="E4530" s="8" t="n">
        <v>0</v>
      </c>
      <c r="F4530" s="8" t="n">
        <v>0</v>
      </c>
    </row>
    <row r="4531" customFormat="false" ht="15" hidden="false" customHeight="true" outlineLevel="0" collapsed="false">
      <c r="A4531" s="8" t="s">
        <v>198</v>
      </c>
      <c r="B4531" s="8" t="s">
        <v>1217</v>
      </c>
      <c r="C4531" s="8" t="n">
        <v>10</v>
      </c>
      <c r="D4531" s="8" t="n">
        <v>205</v>
      </c>
      <c r="E4531" s="8" t="n">
        <v>0</v>
      </c>
      <c r="F4531" s="8" t="n">
        <v>0</v>
      </c>
    </row>
    <row r="4532" customFormat="false" ht="15" hidden="false" customHeight="true" outlineLevel="0" collapsed="false">
      <c r="A4532" s="8" t="s">
        <v>193</v>
      </c>
      <c r="B4532" s="8" t="s">
        <v>1217</v>
      </c>
      <c r="C4532" s="8" t="n">
        <v>2</v>
      </c>
      <c r="D4532" s="8" t="n">
        <v>41</v>
      </c>
      <c r="E4532" s="8" t="n">
        <v>4</v>
      </c>
      <c r="F4532" s="8" t="n">
        <v>82</v>
      </c>
    </row>
    <row r="4533" customFormat="false" ht="15" hidden="false" customHeight="true" outlineLevel="0" collapsed="false">
      <c r="A4533" s="8" t="s">
        <v>205</v>
      </c>
      <c r="B4533" s="8" t="s">
        <v>1217</v>
      </c>
      <c r="C4533" s="8" t="n">
        <v>2</v>
      </c>
      <c r="D4533" s="8" t="n">
        <v>41</v>
      </c>
      <c r="E4533" s="8" t="n">
        <v>2</v>
      </c>
      <c r="F4533" s="8" t="n">
        <v>41</v>
      </c>
    </row>
    <row r="4534" customFormat="false" ht="15" hidden="false" customHeight="true" outlineLevel="0" collapsed="false">
      <c r="A4534" s="8" t="s">
        <v>256</v>
      </c>
      <c r="B4534" s="8" t="s">
        <v>1217</v>
      </c>
      <c r="C4534" s="8" t="n">
        <v>3</v>
      </c>
      <c r="D4534" s="8" t="n">
        <v>61.5</v>
      </c>
      <c r="E4534" s="8" t="n">
        <v>0</v>
      </c>
      <c r="F4534" s="8" t="n">
        <v>0</v>
      </c>
    </row>
    <row r="4535" customFormat="false" ht="15" hidden="false" customHeight="true" outlineLevel="0" collapsed="false">
      <c r="A4535" s="8" t="s">
        <v>272</v>
      </c>
      <c r="B4535" s="8" t="s">
        <v>1246</v>
      </c>
      <c r="C4535" s="8" t="n">
        <v>2</v>
      </c>
      <c r="D4535" s="8" t="n">
        <v>253.14</v>
      </c>
      <c r="E4535" s="8" t="n">
        <v>0</v>
      </c>
      <c r="F4535" s="8" t="n">
        <v>0</v>
      </c>
    </row>
    <row r="4536" customFormat="false" ht="15" hidden="false" customHeight="true" outlineLevel="0" collapsed="false">
      <c r="A4536" s="8" t="s">
        <v>259</v>
      </c>
      <c r="B4536" s="8" t="s">
        <v>1265</v>
      </c>
      <c r="C4536" s="8" t="n">
        <v>0</v>
      </c>
      <c r="D4536" s="8" t="n">
        <v>0</v>
      </c>
      <c r="E4536" s="8" t="n">
        <v>1</v>
      </c>
      <c r="F4536" s="8" t="n">
        <v>126.57</v>
      </c>
    </row>
    <row r="4537" customFormat="false" ht="15" hidden="false" customHeight="true" outlineLevel="0" collapsed="false">
      <c r="A4537" s="8" t="s">
        <v>356</v>
      </c>
      <c r="B4537" s="8" t="s">
        <v>1285</v>
      </c>
      <c r="C4537" s="8" t="n">
        <v>0</v>
      </c>
      <c r="D4537" s="8" t="n">
        <v>0</v>
      </c>
      <c r="E4537" s="8" t="n">
        <v>2</v>
      </c>
      <c r="F4537" s="8" t="n">
        <v>272.6</v>
      </c>
    </row>
    <row r="4538" customFormat="false" ht="15" hidden="false" customHeight="true" outlineLevel="0" collapsed="false">
      <c r="A4538" s="8" t="s">
        <v>228</v>
      </c>
      <c r="B4538" s="8" t="s">
        <v>1275</v>
      </c>
      <c r="C4538" s="8" t="n">
        <v>7</v>
      </c>
      <c r="D4538" s="8" t="n">
        <v>99.75</v>
      </c>
      <c r="E4538" s="8" t="n">
        <v>0</v>
      </c>
      <c r="F4538" s="8" t="n">
        <v>0</v>
      </c>
    </row>
    <row r="4539" customFormat="false" ht="15" hidden="false" customHeight="true" outlineLevel="0" collapsed="false">
      <c r="A4539" s="8" t="s">
        <v>178</v>
      </c>
      <c r="B4539" s="8" t="s">
        <v>1236</v>
      </c>
      <c r="C4539" s="8" t="n">
        <v>2</v>
      </c>
      <c r="D4539" s="8" t="n">
        <v>70</v>
      </c>
      <c r="E4539" s="8" t="n">
        <v>1</v>
      </c>
      <c r="F4539" s="8" t="n">
        <v>35</v>
      </c>
    </row>
    <row r="4540" customFormat="false" ht="15" hidden="false" customHeight="true" outlineLevel="0" collapsed="false">
      <c r="A4540" s="8" t="s">
        <v>235</v>
      </c>
      <c r="B4540" s="8" t="s">
        <v>1236</v>
      </c>
      <c r="C4540" s="8" t="n">
        <v>1</v>
      </c>
      <c r="D4540" s="8" t="n">
        <v>35</v>
      </c>
      <c r="E4540" s="8" t="n">
        <v>0</v>
      </c>
      <c r="F4540" s="8" t="n">
        <v>0</v>
      </c>
    </row>
    <row r="4541" customFormat="false" ht="15" hidden="false" customHeight="true" outlineLevel="0" collapsed="false">
      <c r="A4541" s="8" t="s">
        <v>185</v>
      </c>
      <c r="B4541" s="8" t="s">
        <v>1218</v>
      </c>
      <c r="C4541" s="8" t="n">
        <v>1</v>
      </c>
      <c r="D4541" s="8" t="n">
        <v>126.5</v>
      </c>
      <c r="E4541" s="8" t="n">
        <v>0</v>
      </c>
      <c r="F4541" s="8" t="n">
        <v>0</v>
      </c>
    </row>
    <row r="4542" customFormat="false" ht="15" hidden="false" customHeight="true" outlineLevel="0" collapsed="false">
      <c r="A4542" s="8" t="s">
        <v>195</v>
      </c>
      <c r="B4542" s="8" t="s">
        <v>1218</v>
      </c>
      <c r="C4542" s="8" t="n">
        <v>1</v>
      </c>
      <c r="D4542" s="8" t="n">
        <v>126.5</v>
      </c>
      <c r="E4542" s="8" t="n">
        <v>0</v>
      </c>
      <c r="F4542" s="8" t="n">
        <v>0</v>
      </c>
    </row>
    <row r="4543" customFormat="false" ht="15" hidden="false" customHeight="true" outlineLevel="0" collapsed="false">
      <c r="A4543" s="8" t="s">
        <v>240</v>
      </c>
      <c r="B4543" s="8" t="s">
        <v>769</v>
      </c>
      <c r="C4543" s="8" t="n">
        <v>3</v>
      </c>
      <c r="D4543" s="8" t="n">
        <v>51</v>
      </c>
      <c r="E4543" s="8" t="n">
        <v>2</v>
      </c>
      <c r="F4543" s="8" t="n">
        <v>34</v>
      </c>
    </row>
    <row r="4544" customFormat="false" ht="15" hidden="false" customHeight="true" outlineLevel="0" collapsed="false">
      <c r="A4544" s="8" t="s">
        <v>234</v>
      </c>
      <c r="B4544" s="8" t="s">
        <v>769</v>
      </c>
      <c r="C4544" s="8" t="n">
        <v>1</v>
      </c>
      <c r="D4544" s="8" t="n">
        <v>17</v>
      </c>
      <c r="E4544" s="8" t="n">
        <v>0</v>
      </c>
      <c r="F4544" s="8" t="n">
        <v>0</v>
      </c>
    </row>
    <row r="4545" customFormat="false" ht="15" hidden="false" customHeight="true" outlineLevel="0" collapsed="false">
      <c r="A4545" s="8" t="s">
        <v>247</v>
      </c>
      <c r="B4545" s="8" t="s">
        <v>769</v>
      </c>
      <c r="C4545" s="8" t="n">
        <v>1</v>
      </c>
      <c r="D4545" s="8" t="n">
        <v>17</v>
      </c>
      <c r="E4545" s="8" t="n">
        <v>0</v>
      </c>
      <c r="F4545" s="8" t="n">
        <v>0</v>
      </c>
    </row>
    <row r="4546" customFormat="false" ht="15" hidden="false" customHeight="true" outlineLevel="0" collapsed="false">
      <c r="A4546" s="8" t="s">
        <v>274</v>
      </c>
      <c r="B4546" s="8" t="s">
        <v>1219</v>
      </c>
      <c r="C4546" s="8" t="n">
        <v>9</v>
      </c>
      <c r="D4546" s="8" t="n">
        <v>78.57</v>
      </c>
      <c r="E4546" s="8" t="n">
        <v>0</v>
      </c>
      <c r="F4546" s="8" t="n">
        <v>0</v>
      </c>
    </row>
    <row r="4547" customFormat="false" ht="15" hidden="false" customHeight="true" outlineLevel="0" collapsed="false">
      <c r="A4547" s="8" t="s">
        <v>170</v>
      </c>
      <c r="B4547" s="8" t="s">
        <v>1220</v>
      </c>
      <c r="C4547" s="8" t="n">
        <v>12</v>
      </c>
      <c r="D4547" s="8" t="n">
        <v>177.6</v>
      </c>
      <c r="E4547" s="8" t="n">
        <v>6</v>
      </c>
      <c r="F4547" s="8" t="n">
        <v>88.8</v>
      </c>
    </row>
    <row r="4548" customFormat="false" ht="15" hidden="false" customHeight="true" outlineLevel="0" collapsed="false">
      <c r="A4548" s="8" t="s">
        <v>167</v>
      </c>
      <c r="B4548" s="8" t="s">
        <v>1238</v>
      </c>
      <c r="C4548" s="8" t="n">
        <v>18</v>
      </c>
      <c r="D4548" s="8" t="n">
        <v>241.2</v>
      </c>
      <c r="E4548" s="8" t="n">
        <v>0</v>
      </c>
      <c r="F4548" s="8" t="n">
        <v>0</v>
      </c>
    </row>
    <row r="4549" customFormat="false" ht="15" hidden="false" customHeight="true" outlineLevel="0" collapsed="false">
      <c r="A4549" s="8" t="s">
        <v>203</v>
      </c>
      <c r="B4549" s="8" t="s">
        <v>1177</v>
      </c>
      <c r="C4549" s="8" t="n">
        <v>7</v>
      </c>
      <c r="D4549" s="8" t="n">
        <v>129.5</v>
      </c>
      <c r="E4549" s="8" t="n">
        <v>4</v>
      </c>
      <c r="F4549" s="8" t="n">
        <v>74</v>
      </c>
    </row>
    <row r="4550" customFormat="false" ht="15" hidden="false" customHeight="true" outlineLevel="0" collapsed="false">
      <c r="A4550" s="8" t="s">
        <v>284</v>
      </c>
      <c r="B4550" s="8" t="s">
        <v>1267</v>
      </c>
      <c r="C4550" s="8" t="n">
        <v>0</v>
      </c>
      <c r="D4550" s="8" t="n">
        <v>0</v>
      </c>
      <c r="E4550" s="8" t="n">
        <v>-1</v>
      </c>
      <c r="F4550" s="8" t="n">
        <v>-128.71</v>
      </c>
    </row>
    <row r="4551" customFormat="false" ht="15" hidden="false" customHeight="true" outlineLevel="0" collapsed="false">
      <c r="A4551" s="8" t="s">
        <v>200</v>
      </c>
      <c r="B4551" s="8" t="s">
        <v>1279</v>
      </c>
      <c r="C4551" s="8" t="n">
        <v>2</v>
      </c>
      <c r="D4551" s="8" t="n">
        <v>154.48</v>
      </c>
      <c r="E4551" s="8" t="n">
        <v>0</v>
      </c>
      <c r="F4551" s="8" t="n">
        <v>0</v>
      </c>
    </row>
    <row r="4552" customFormat="false" ht="15" hidden="false" customHeight="true" outlineLevel="0" collapsed="false">
      <c r="A4552" s="8" t="s">
        <v>175</v>
      </c>
      <c r="B4552" s="8" t="s">
        <v>1244</v>
      </c>
      <c r="C4552" s="8" t="n">
        <v>0</v>
      </c>
      <c r="D4552" s="8" t="n">
        <v>0</v>
      </c>
      <c r="E4552" s="8" t="n">
        <v>1</v>
      </c>
      <c r="F4552" s="8" t="n">
        <v>175.5</v>
      </c>
    </row>
    <row r="4553" customFormat="false" ht="15" hidden="false" customHeight="true" outlineLevel="0" collapsed="false">
      <c r="A4553" s="8" t="s">
        <v>173</v>
      </c>
      <c r="B4553" s="8" t="s">
        <v>1244</v>
      </c>
      <c r="C4553" s="8" t="n">
        <v>3</v>
      </c>
      <c r="D4553" s="8" t="n">
        <v>526.5</v>
      </c>
      <c r="E4553" s="8" t="n">
        <v>0</v>
      </c>
      <c r="F4553" s="8" t="n">
        <v>0</v>
      </c>
    </row>
    <row r="4554" customFormat="false" ht="15" hidden="false" customHeight="true" outlineLevel="0" collapsed="false">
      <c r="A4554" s="8" t="s">
        <v>191</v>
      </c>
      <c r="B4554" s="8" t="s">
        <v>1179</v>
      </c>
      <c r="C4554" s="8" t="n">
        <v>2</v>
      </c>
      <c r="D4554" s="8" t="n">
        <v>144.68</v>
      </c>
      <c r="E4554" s="8" t="n">
        <v>0</v>
      </c>
      <c r="F4554" s="8" t="n">
        <v>0</v>
      </c>
    </row>
    <row r="4555" customFormat="false" ht="15" hidden="false" customHeight="true" outlineLevel="0" collapsed="false">
      <c r="A4555" s="8" t="s">
        <v>291</v>
      </c>
      <c r="B4555" s="8" t="s">
        <v>1286</v>
      </c>
      <c r="C4555" s="8" t="n">
        <v>2</v>
      </c>
      <c r="D4555" s="8" t="n">
        <v>129.78</v>
      </c>
      <c r="E4555" s="8" t="n">
        <v>0</v>
      </c>
      <c r="F4555" s="8" t="n">
        <v>0</v>
      </c>
    </row>
    <row r="4556" customFormat="false" ht="15" hidden="false" customHeight="true" outlineLevel="0" collapsed="false">
      <c r="A4556" s="8" t="s">
        <v>190</v>
      </c>
      <c r="B4556" s="8" t="s">
        <v>1224</v>
      </c>
      <c r="C4556" s="8" t="n">
        <v>4</v>
      </c>
      <c r="D4556" s="8" t="n">
        <v>97.72</v>
      </c>
      <c r="E4556" s="8" t="n">
        <v>1</v>
      </c>
      <c r="F4556" s="8" t="n">
        <v>24.43</v>
      </c>
    </row>
    <row r="4557" customFormat="false" ht="15" hidden="false" customHeight="true" outlineLevel="0" collapsed="false">
      <c r="A4557" s="8" t="s">
        <v>183</v>
      </c>
      <c r="B4557" s="8" t="s">
        <v>1224</v>
      </c>
      <c r="C4557" s="8" t="n">
        <v>1</v>
      </c>
      <c r="D4557" s="8" t="n">
        <v>24.43</v>
      </c>
      <c r="E4557" s="8" t="n">
        <v>1</v>
      </c>
      <c r="F4557" s="8" t="n">
        <v>24.43</v>
      </c>
    </row>
    <row r="4558" customFormat="false" ht="15" hidden="false" customHeight="true" outlineLevel="0" collapsed="false">
      <c r="A4558" s="8" t="s">
        <v>161</v>
      </c>
      <c r="B4558" s="8" t="s">
        <v>1208</v>
      </c>
      <c r="C4558" s="8" t="n">
        <v>19</v>
      </c>
      <c r="D4558" s="8" t="n">
        <v>864.5</v>
      </c>
      <c r="E4558" s="8" t="n">
        <v>0</v>
      </c>
      <c r="F4558" s="8" t="n">
        <v>0</v>
      </c>
    </row>
    <row r="4559" customFormat="false" ht="15" hidden="false" customHeight="true" outlineLevel="0" collapsed="false">
      <c r="A4559" s="8" t="s">
        <v>166</v>
      </c>
      <c r="B4559" s="8" t="s">
        <v>1211</v>
      </c>
      <c r="C4559" s="8" t="n">
        <v>1</v>
      </c>
      <c r="D4559" s="8" t="n">
        <v>63.27</v>
      </c>
      <c r="E4559" s="8" t="n">
        <v>4</v>
      </c>
      <c r="F4559" s="8" t="n">
        <v>253.08</v>
      </c>
    </row>
    <row r="4560" customFormat="false" ht="15" hidden="false" customHeight="true" outlineLevel="0" collapsed="false">
      <c r="A4560" s="8" t="s">
        <v>164</v>
      </c>
      <c r="B4560" s="8" t="s">
        <v>1211</v>
      </c>
      <c r="C4560" s="8" t="n">
        <v>5</v>
      </c>
      <c r="D4560" s="8" t="n">
        <v>316.35</v>
      </c>
      <c r="E4560" s="8" t="n">
        <v>0</v>
      </c>
      <c r="F4560" s="8" t="n">
        <v>0</v>
      </c>
    </row>
    <row r="4561" customFormat="false" ht="15" hidden="false" customHeight="true" outlineLevel="0" collapsed="false">
      <c r="A4561" s="8" t="s">
        <v>187</v>
      </c>
      <c r="B4561" s="8" t="s">
        <v>1211</v>
      </c>
      <c r="C4561" s="8" t="n">
        <v>4</v>
      </c>
      <c r="D4561" s="8" t="n">
        <v>253.08</v>
      </c>
      <c r="E4561" s="8" t="n">
        <v>0</v>
      </c>
      <c r="F4561" s="8" t="n">
        <v>0</v>
      </c>
    </row>
    <row r="4562" customFormat="false" ht="15" hidden="false" customHeight="true" outlineLevel="0" collapsed="false">
      <c r="A4562" s="8" t="s">
        <v>263</v>
      </c>
      <c r="B4562" s="8" t="s">
        <v>407</v>
      </c>
      <c r="C4562" s="8" t="n">
        <v>0</v>
      </c>
      <c r="D4562" s="8" t="n">
        <v>0</v>
      </c>
      <c r="E4562" s="8" t="n">
        <v>1</v>
      </c>
      <c r="F4562" s="8" t="n">
        <v>12.82</v>
      </c>
    </row>
    <row r="4563" customFormat="false" ht="15" hidden="false" customHeight="true" outlineLevel="0" collapsed="false">
      <c r="A4563" s="8" t="s">
        <v>188</v>
      </c>
      <c r="B4563" s="8" t="s">
        <v>1225</v>
      </c>
      <c r="C4563" s="8" t="n">
        <v>4</v>
      </c>
      <c r="D4563" s="8" t="n">
        <v>115.72</v>
      </c>
      <c r="E4563" s="8" t="n">
        <v>0</v>
      </c>
      <c r="F4563" s="8" t="n">
        <v>0</v>
      </c>
    </row>
    <row r="4564" customFormat="false" ht="15" hidden="false" customHeight="true" outlineLevel="0" collapsed="false">
      <c r="A4564" s="8" t="s">
        <v>186</v>
      </c>
      <c r="B4564" s="8" t="s">
        <v>1225</v>
      </c>
      <c r="C4564" s="8" t="n">
        <v>9</v>
      </c>
      <c r="D4564" s="8" t="n">
        <v>260.37</v>
      </c>
      <c r="E4564" s="8" t="n">
        <v>0</v>
      </c>
      <c r="F4564" s="8" t="n">
        <v>0</v>
      </c>
    </row>
    <row r="4565" customFormat="false" ht="15" hidden="false" customHeight="true" outlineLevel="0" collapsed="false">
      <c r="A4565" s="8" t="s">
        <v>210</v>
      </c>
      <c r="B4565" s="8" t="s">
        <v>1225</v>
      </c>
      <c r="C4565" s="8" t="n">
        <v>3</v>
      </c>
      <c r="D4565" s="8" t="n">
        <v>86.79</v>
      </c>
      <c r="E4565" s="8" t="n">
        <v>0</v>
      </c>
      <c r="F4565" s="8" t="n">
        <v>0</v>
      </c>
    </row>
    <row r="4566" customFormat="false" ht="15" hidden="false" customHeight="true" outlineLevel="0" collapsed="false">
      <c r="A4566" s="8" t="s">
        <v>238</v>
      </c>
      <c r="B4566" s="8" t="s">
        <v>1226</v>
      </c>
      <c r="C4566" s="8" t="n">
        <v>1</v>
      </c>
      <c r="D4566" s="8" t="n">
        <v>42.17</v>
      </c>
      <c r="E4566" s="8" t="n">
        <v>2</v>
      </c>
      <c r="F4566" s="8" t="n">
        <v>84.34</v>
      </c>
    </row>
    <row r="4567" customFormat="false" ht="15" hidden="false" customHeight="true" outlineLevel="0" collapsed="false">
      <c r="A4567" s="8" t="s">
        <v>201</v>
      </c>
      <c r="B4567" s="8" t="s">
        <v>1226</v>
      </c>
      <c r="C4567" s="8" t="n">
        <v>1</v>
      </c>
      <c r="D4567" s="8" t="n">
        <v>42.17</v>
      </c>
      <c r="E4567" s="8" t="n">
        <v>0</v>
      </c>
      <c r="F4567" s="8" t="n">
        <v>0</v>
      </c>
    </row>
    <row r="4568" customFormat="false" ht="15" hidden="false" customHeight="true" outlineLevel="0" collapsed="false">
      <c r="A4568" s="8" t="s">
        <v>214</v>
      </c>
      <c r="B4568" s="8" t="s">
        <v>1226</v>
      </c>
      <c r="C4568" s="8" t="n">
        <v>2</v>
      </c>
      <c r="D4568" s="8" t="n">
        <v>84.34</v>
      </c>
      <c r="E4568" s="8" t="n">
        <v>0</v>
      </c>
      <c r="F4568" s="8" t="n">
        <v>0</v>
      </c>
    </row>
    <row r="4569" customFormat="false" ht="15" hidden="false" customHeight="true" outlineLevel="0" collapsed="false">
      <c r="A4569" s="8" t="s">
        <v>271</v>
      </c>
      <c r="B4569" s="8" t="s">
        <v>1260</v>
      </c>
      <c r="C4569" s="8" t="n">
        <v>5</v>
      </c>
      <c r="D4569" s="8" t="n">
        <v>117</v>
      </c>
      <c r="E4569" s="8" t="n">
        <v>0</v>
      </c>
      <c r="F4569" s="8" t="n">
        <v>0</v>
      </c>
    </row>
    <row r="4570" customFormat="false" ht="15" hidden="false" customHeight="true" outlineLevel="0" collapsed="false">
      <c r="A4570" s="8" t="s">
        <v>202</v>
      </c>
      <c r="B4570" s="8" t="s">
        <v>1212</v>
      </c>
      <c r="C4570" s="8" t="n">
        <v>4</v>
      </c>
      <c r="D4570" s="8" t="n">
        <v>38</v>
      </c>
      <c r="E4570" s="8" t="n">
        <v>1</v>
      </c>
      <c r="F4570" s="8" t="n">
        <v>9.5</v>
      </c>
    </row>
    <row r="4571" customFormat="false" ht="15" hidden="false" customHeight="true" outlineLevel="0" collapsed="false">
      <c r="A4571" s="8" t="s">
        <v>243</v>
      </c>
      <c r="B4571" s="8" t="s">
        <v>1253</v>
      </c>
      <c r="C4571" s="8" t="n">
        <v>0</v>
      </c>
      <c r="D4571" s="8" t="n">
        <v>0</v>
      </c>
      <c r="E4571" s="8" t="n">
        <v>1</v>
      </c>
      <c r="F4571" s="8" t="n">
        <v>12.95</v>
      </c>
    </row>
    <row r="4572" customFormat="false" ht="15" hidden="false" customHeight="true" outlineLevel="0" collapsed="false">
      <c r="A4572" s="8" t="s">
        <v>172</v>
      </c>
      <c r="B4572" s="8" t="s">
        <v>1214</v>
      </c>
      <c r="C4572" s="8" t="n">
        <v>5</v>
      </c>
      <c r="D4572" s="8" t="n">
        <v>60.9</v>
      </c>
      <c r="E4572" s="8" t="n">
        <v>1</v>
      </c>
      <c r="F4572" s="8" t="n">
        <v>12.18</v>
      </c>
    </row>
    <row r="4573" customFormat="false" ht="15" hidden="false" customHeight="true" outlineLevel="0" collapsed="false">
      <c r="A4573" s="8" t="s">
        <v>232</v>
      </c>
      <c r="B4573" s="8" t="s">
        <v>1233</v>
      </c>
      <c r="C4573" s="8" t="n">
        <v>3</v>
      </c>
      <c r="D4573" s="8" t="n">
        <v>48.6</v>
      </c>
      <c r="E4573" s="8" t="n">
        <v>0</v>
      </c>
      <c r="F4573" s="8" t="n">
        <v>0</v>
      </c>
    </row>
    <row r="4574" customFormat="false" ht="15" hidden="false" customHeight="true" outlineLevel="0" collapsed="false">
      <c r="A4574" s="8" t="s">
        <v>215</v>
      </c>
      <c r="B4574" s="8" t="s">
        <v>1233</v>
      </c>
      <c r="C4574" s="8" t="n">
        <v>0</v>
      </c>
      <c r="D4574" s="8" t="n">
        <v>0</v>
      </c>
      <c r="E4574" s="8" t="n">
        <v>1</v>
      </c>
      <c r="F4574" s="8" t="n">
        <v>17.82</v>
      </c>
    </row>
    <row r="4575" customFormat="false" ht="15" hidden="false" customHeight="true" outlineLevel="0" collapsed="false">
      <c r="A4575" s="8" t="s">
        <v>225</v>
      </c>
      <c r="B4575" s="8" t="s">
        <v>1237</v>
      </c>
      <c r="C4575" s="8" t="n">
        <v>5</v>
      </c>
      <c r="D4575" s="8" t="n">
        <v>92</v>
      </c>
      <c r="E4575" s="8" t="n">
        <v>0</v>
      </c>
      <c r="F4575" s="8" t="n">
        <v>0</v>
      </c>
    </row>
    <row r="4576" customFormat="false" ht="15" hidden="false" customHeight="true" outlineLevel="0" collapsed="false">
      <c r="A4576" s="8" t="s">
        <v>217</v>
      </c>
      <c r="B4576" s="8" t="s">
        <v>1237</v>
      </c>
      <c r="C4576" s="8" t="n">
        <v>5</v>
      </c>
      <c r="D4576" s="8" t="n">
        <v>92</v>
      </c>
      <c r="E4576" s="8" t="n">
        <v>0</v>
      </c>
      <c r="F4576" s="8" t="n">
        <v>0</v>
      </c>
    </row>
    <row r="4577" customFormat="false" ht="15" hidden="false" customHeight="true" outlineLevel="0" collapsed="false">
      <c r="A4577" s="8" t="s">
        <v>322</v>
      </c>
      <c r="B4577" s="8" t="s">
        <v>1264</v>
      </c>
      <c r="C4577" s="8" t="n">
        <v>1</v>
      </c>
      <c r="D4577" s="8" t="n">
        <v>18.4</v>
      </c>
      <c r="E4577" s="8" t="n">
        <v>0</v>
      </c>
      <c r="F4577" s="8" t="n">
        <v>0</v>
      </c>
    </row>
    <row r="4578" customFormat="false" ht="15" hidden="false" customHeight="true" outlineLevel="0" collapsed="false">
      <c r="A4578" s="8" t="s">
        <v>364</v>
      </c>
      <c r="B4578" s="8" t="s">
        <v>1264</v>
      </c>
      <c r="C4578" s="8" t="n">
        <v>0</v>
      </c>
      <c r="D4578" s="8" t="n">
        <v>0</v>
      </c>
      <c r="E4578" s="8" t="n">
        <v>6</v>
      </c>
      <c r="F4578" s="8" t="n">
        <v>110.4</v>
      </c>
    </row>
    <row r="4579" customFormat="false" ht="15" hidden="false" customHeight="true" outlineLevel="0" collapsed="false">
      <c r="A4579" s="8" t="s">
        <v>168</v>
      </c>
      <c r="B4579" s="8" t="s">
        <v>1240</v>
      </c>
      <c r="C4579" s="8" t="n">
        <v>7</v>
      </c>
      <c r="D4579" s="8" t="n">
        <v>292.67</v>
      </c>
      <c r="E4579" s="8" t="n">
        <v>0</v>
      </c>
      <c r="F4579" s="8" t="n">
        <v>0</v>
      </c>
    </row>
    <row r="4580" customFormat="false" ht="15" hidden="false" customHeight="true" outlineLevel="0" collapsed="false">
      <c r="A4580" s="8" t="s">
        <v>209</v>
      </c>
      <c r="B4580" s="8" t="s">
        <v>1245</v>
      </c>
      <c r="C4580" s="8" t="n">
        <v>5</v>
      </c>
      <c r="D4580" s="8" t="n">
        <v>324.45</v>
      </c>
      <c r="E4580" s="8" t="n">
        <v>0</v>
      </c>
      <c r="F4580" s="8" t="n">
        <v>0</v>
      </c>
    </row>
    <row r="4581" customFormat="false" ht="15" hidden="false" customHeight="true" outlineLevel="0" collapsed="false">
      <c r="A4581" s="8" t="s">
        <v>180</v>
      </c>
      <c r="B4581" s="8" t="s">
        <v>1216</v>
      </c>
      <c r="C4581" s="8" t="n">
        <v>11</v>
      </c>
      <c r="D4581" s="8" t="n">
        <v>181.5</v>
      </c>
      <c r="E4581" s="8" t="n">
        <v>7</v>
      </c>
      <c r="F4581" s="8" t="n">
        <v>115.5</v>
      </c>
    </row>
    <row r="4582" customFormat="false" ht="15" hidden="false" customHeight="true" outlineLevel="0" collapsed="false">
      <c r="A4582" s="8" t="s">
        <v>189</v>
      </c>
      <c r="B4582" s="8" t="s">
        <v>1216</v>
      </c>
      <c r="C4582" s="8" t="n">
        <v>5</v>
      </c>
      <c r="D4582" s="8" t="n">
        <v>82.5</v>
      </c>
      <c r="E4582" s="8" t="n">
        <v>4</v>
      </c>
      <c r="F4582" s="8" t="n">
        <v>66</v>
      </c>
    </row>
    <row r="4583" customFormat="false" ht="15" hidden="false" customHeight="true" outlineLevel="0" collapsed="false">
      <c r="A4583" s="8" t="s">
        <v>199</v>
      </c>
      <c r="B4583" s="8" t="s">
        <v>1216</v>
      </c>
      <c r="C4583" s="8" t="n">
        <v>5</v>
      </c>
      <c r="D4583" s="8" t="n">
        <v>82.5</v>
      </c>
      <c r="E4583" s="8" t="n">
        <v>1</v>
      </c>
      <c r="F4583" s="8" t="n">
        <v>16.5</v>
      </c>
    </row>
    <row r="4584" customFormat="false" ht="15" hidden="false" customHeight="true" outlineLevel="0" collapsed="false">
      <c r="A4584" s="8" t="s">
        <v>250</v>
      </c>
      <c r="B4584" s="8" t="s">
        <v>1216</v>
      </c>
      <c r="C4584" s="8" t="n">
        <v>2</v>
      </c>
      <c r="D4584" s="8" t="n">
        <v>33</v>
      </c>
      <c r="E4584" s="8" t="n">
        <v>0</v>
      </c>
      <c r="F4584" s="8" t="n">
        <v>0</v>
      </c>
    </row>
    <row r="4585" customFormat="false" ht="15" hidden="false" customHeight="true" outlineLevel="0" collapsed="false">
      <c r="A4585" s="8" t="s">
        <v>198</v>
      </c>
      <c r="B4585" s="8" t="s">
        <v>1217</v>
      </c>
      <c r="C4585" s="8" t="n">
        <v>1</v>
      </c>
      <c r="D4585" s="8" t="n">
        <v>20.5</v>
      </c>
      <c r="E4585" s="8" t="n">
        <v>0</v>
      </c>
      <c r="F4585" s="8" t="n">
        <v>0</v>
      </c>
    </row>
    <row r="4586" customFormat="false" ht="15" hidden="false" customHeight="true" outlineLevel="0" collapsed="false">
      <c r="A4586" s="8" t="s">
        <v>193</v>
      </c>
      <c r="B4586" s="8" t="s">
        <v>1217</v>
      </c>
      <c r="C4586" s="8" t="n">
        <v>2</v>
      </c>
      <c r="D4586" s="8" t="n">
        <v>41</v>
      </c>
      <c r="E4586" s="8" t="n">
        <v>1</v>
      </c>
      <c r="F4586" s="8" t="n">
        <v>20.5</v>
      </c>
    </row>
    <row r="4587" customFormat="false" ht="15" hidden="false" customHeight="true" outlineLevel="0" collapsed="false">
      <c r="A4587" s="8" t="s">
        <v>205</v>
      </c>
      <c r="B4587" s="8" t="s">
        <v>1217</v>
      </c>
      <c r="C4587" s="8" t="n">
        <v>2</v>
      </c>
      <c r="D4587" s="8" t="n">
        <v>41</v>
      </c>
      <c r="E4587" s="8" t="n">
        <v>0</v>
      </c>
      <c r="F4587" s="8" t="n">
        <v>0</v>
      </c>
    </row>
    <row r="4588" customFormat="false" ht="15" hidden="false" customHeight="true" outlineLevel="0" collapsed="false">
      <c r="A4588" s="8" t="s">
        <v>330</v>
      </c>
      <c r="B4588" s="8" t="s">
        <v>1295</v>
      </c>
      <c r="C4588" s="8" t="n">
        <v>1</v>
      </c>
      <c r="D4588" s="8" t="n">
        <v>129.81</v>
      </c>
      <c r="E4588" s="8" t="n">
        <v>0</v>
      </c>
      <c r="F4588" s="8" t="n">
        <v>0</v>
      </c>
    </row>
    <row r="4589" customFormat="false" ht="15" hidden="false" customHeight="true" outlineLevel="0" collapsed="false">
      <c r="A4589" s="8" t="s">
        <v>95</v>
      </c>
      <c r="B4589" s="8" t="s">
        <v>1247</v>
      </c>
      <c r="C4589" s="8" t="n">
        <v>3</v>
      </c>
      <c r="D4589" s="8" t="n">
        <v>75</v>
      </c>
      <c r="E4589" s="8" t="n">
        <v>0</v>
      </c>
      <c r="F4589" s="8" t="n">
        <v>0</v>
      </c>
    </row>
    <row r="4590" customFormat="false" ht="15" hidden="false" customHeight="true" outlineLevel="0" collapsed="false">
      <c r="A4590" s="8" t="s">
        <v>113</v>
      </c>
      <c r="B4590" s="8" t="s">
        <v>1247</v>
      </c>
      <c r="C4590" s="8" t="n">
        <v>6</v>
      </c>
      <c r="D4590" s="8" t="n">
        <v>150</v>
      </c>
      <c r="E4590" s="8" t="n">
        <v>0</v>
      </c>
      <c r="F4590" s="8" t="n">
        <v>0</v>
      </c>
    </row>
    <row r="4591" customFormat="false" ht="15" hidden="false" customHeight="true" outlineLevel="0" collapsed="false">
      <c r="A4591" s="8" t="s">
        <v>99</v>
      </c>
      <c r="B4591" s="8" t="s">
        <v>1247</v>
      </c>
      <c r="C4591" s="8" t="n">
        <v>6</v>
      </c>
      <c r="D4591" s="8" t="n">
        <v>150</v>
      </c>
      <c r="E4591" s="8" t="n">
        <v>3</v>
      </c>
      <c r="F4591" s="8" t="n">
        <v>75</v>
      </c>
    </row>
    <row r="4592" customFormat="false" ht="15" hidden="false" customHeight="true" outlineLevel="0" collapsed="false">
      <c r="A4592" s="8" t="s">
        <v>120</v>
      </c>
      <c r="B4592" s="8" t="s">
        <v>1247</v>
      </c>
      <c r="C4592" s="8" t="n">
        <v>2</v>
      </c>
      <c r="D4592" s="8" t="n">
        <v>50</v>
      </c>
      <c r="E4592" s="8" t="n">
        <v>0</v>
      </c>
      <c r="F4592" s="8" t="n">
        <v>0</v>
      </c>
    </row>
    <row r="4593" customFormat="false" ht="15" hidden="false" customHeight="true" outlineLevel="0" collapsed="false">
      <c r="A4593" s="8" t="s">
        <v>178</v>
      </c>
      <c r="B4593" s="8" t="s">
        <v>1236</v>
      </c>
      <c r="C4593" s="8" t="n">
        <v>5</v>
      </c>
      <c r="D4593" s="8" t="n">
        <v>175</v>
      </c>
      <c r="E4593" s="8" t="n">
        <v>0</v>
      </c>
      <c r="F4593" s="8" t="n">
        <v>0</v>
      </c>
    </row>
    <row r="4594" customFormat="false" ht="15" hidden="false" customHeight="true" outlineLevel="0" collapsed="false">
      <c r="A4594" s="8" t="s">
        <v>176</v>
      </c>
      <c r="B4594" s="8" t="s">
        <v>1236</v>
      </c>
      <c r="C4594" s="8" t="n">
        <v>0</v>
      </c>
      <c r="D4594" s="8" t="n">
        <v>0</v>
      </c>
      <c r="E4594" s="8" t="n">
        <v>1</v>
      </c>
      <c r="F4594" s="8" t="n">
        <v>35</v>
      </c>
    </row>
    <row r="4595" customFormat="false" ht="15" hidden="false" customHeight="true" outlineLevel="0" collapsed="false">
      <c r="A4595" s="8" t="s">
        <v>235</v>
      </c>
      <c r="B4595" s="8" t="s">
        <v>1236</v>
      </c>
      <c r="C4595" s="8" t="n">
        <v>1</v>
      </c>
      <c r="D4595" s="8" t="n">
        <v>35</v>
      </c>
      <c r="E4595" s="8" t="n">
        <v>0</v>
      </c>
      <c r="F4595" s="8" t="n">
        <v>0</v>
      </c>
    </row>
    <row r="4596" customFormat="false" ht="15" hidden="false" customHeight="true" outlineLevel="0" collapsed="false">
      <c r="A4596" s="8" t="s">
        <v>224</v>
      </c>
      <c r="B4596" s="8" t="s">
        <v>1236</v>
      </c>
      <c r="C4596" s="8" t="n">
        <v>2</v>
      </c>
      <c r="D4596" s="8" t="n">
        <v>70</v>
      </c>
      <c r="E4596" s="8" t="n">
        <v>0</v>
      </c>
      <c r="F4596" s="8" t="n">
        <v>0</v>
      </c>
    </row>
    <row r="4597" customFormat="false" ht="15" hidden="false" customHeight="true" outlineLevel="0" collapsed="false">
      <c r="A4597" s="8" t="s">
        <v>240</v>
      </c>
      <c r="B4597" s="8" t="s">
        <v>769</v>
      </c>
      <c r="C4597" s="8" t="n">
        <v>2</v>
      </c>
      <c r="D4597" s="8" t="n">
        <v>34</v>
      </c>
      <c r="E4597" s="8" t="n">
        <v>0</v>
      </c>
      <c r="F4597" s="8" t="n">
        <v>0</v>
      </c>
    </row>
    <row r="4598" customFormat="false" ht="15" hidden="false" customHeight="true" outlineLevel="0" collapsed="false">
      <c r="A4598" s="8" t="s">
        <v>234</v>
      </c>
      <c r="B4598" s="8" t="s">
        <v>769</v>
      </c>
      <c r="C4598" s="8" t="n">
        <v>3</v>
      </c>
      <c r="D4598" s="8" t="n">
        <v>51</v>
      </c>
      <c r="E4598" s="8" t="n">
        <v>0</v>
      </c>
      <c r="F4598" s="8" t="n">
        <v>0</v>
      </c>
    </row>
    <row r="4599" customFormat="false" ht="15" hidden="false" customHeight="true" outlineLevel="0" collapsed="false">
      <c r="A4599" s="8" t="s">
        <v>300</v>
      </c>
      <c r="B4599" s="8" t="s">
        <v>769</v>
      </c>
      <c r="C4599" s="8" t="n">
        <v>4</v>
      </c>
      <c r="D4599" s="8" t="n">
        <v>68</v>
      </c>
      <c r="E4599" s="8" t="n">
        <v>0</v>
      </c>
      <c r="F4599" s="8" t="n">
        <v>0</v>
      </c>
    </row>
    <row r="4600" customFormat="false" ht="15" hidden="false" customHeight="true" outlineLevel="0" collapsed="false">
      <c r="A4600" s="8" t="s">
        <v>328</v>
      </c>
      <c r="B4600" s="8" t="s">
        <v>769</v>
      </c>
      <c r="C4600" s="8" t="n">
        <v>2</v>
      </c>
      <c r="D4600" s="8" t="n">
        <v>34</v>
      </c>
      <c r="E4600" s="8" t="n">
        <v>0</v>
      </c>
      <c r="F4600" s="8" t="n">
        <v>0</v>
      </c>
    </row>
    <row r="4601" customFormat="false" ht="15" hidden="false" customHeight="true" outlineLevel="0" collapsed="false">
      <c r="A4601" s="8" t="s">
        <v>182</v>
      </c>
      <c r="B4601" s="8" t="s">
        <v>799</v>
      </c>
      <c r="C4601" s="8" t="n">
        <v>17</v>
      </c>
      <c r="D4601" s="8" t="n">
        <v>340</v>
      </c>
      <c r="E4601" s="8" t="n">
        <v>0</v>
      </c>
      <c r="F4601" s="8" t="n">
        <v>0</v>
      </c>
    </row>
    <row r="4602" customFormat="false" ht="15" hidden="false" customHeight="true" outlineLevel="0" collapsed="false">
      <c r="A4602" s="8" t="s">
        <v>200</v>
      </c>
      <c r="B4602" s="8" t="s">
        <v>1279</v>
      </c>
      <c r="C4602" s="8" t="n">
        <v>1</v>
      </c>
      <c r="D4602" s="8" t="n">
        <v>77.24</v>
      </c>
      <c r="E4602" s="8" t="n">
        <v>0</v>
      </c>
      <c r="F4602" s="8" t="n">
        <v>0</v>
      </c>
    </row>
    <row r="4603" customFormat="false" ht="15" hidden="false" customHeight="true" outlineLevel="0" collapsed="false">
      <c r="A4603" s="8" t="s">
        <v>207</v>
      </c>
      <c r="B4603" s="8" t="s">
        <v>1222</v>
      </c>
      <c r="C4603" s="8" t="n">
        <v>1</v>
      </c>
      <c r="D4603" s="8" t="n">
        <v>65</v>
      </c>
      <c r="E4603" s="8" t="n">
        <v>0</v>
      </c>
      <c r="F4603" s="8" t="n">
        <v>0</v>
      </c>
    </row>
    <row r="4604" customFormat="false" ht="15" hidden="false" customHeight="true" outlineLevel="0" collapsed="false">
      <c r="A4604" s="8" t="s">
        <v>304</v>
      </c>
      <c r="B4604" s="8" t="s">
        <v>1268</v>
      </c>
      <c r="C4604" s="8" t="n">
        <v>1</v>
      </c>
      <c r="D4604" s="8" t="n">
        <v>113.58</v>
      </c>
      <c r="E4604" s="8" t="n">
        <v>0</v>
      </c>
      <c r="F4604" s="8" t="n">
        <v>0</v>
      </c>
    </row>
    <row r="4605" customFormat="false" ht="15" hidden="false" customHeight="true" outlineLevel="0" collapsed="false">
      <c r="A4605" s="8" t="s">
        <v>161</v>
      </c>
      <c r="B4605" s="8" t="s">
        <v>1208</v>
      </c>
      <c r="C4605" s="8" t="n">
        <v>1</v>
      </c>
      <c r="D4605" s="8" t="n">
        <v>45.5</v>
      </c>
      <c r="E4605" s="8" t="n">
        <v>0</v>
      </c>
      <c r="F4605" s="8" t="n">
        <v>0</v>
      </c>
    </row>
    <row r="4606" customFormat="false" ht="15" hidden="false" customHeight="true" outlineLevel="0" collapsed="false">
      <c r="A4606" s="8" t="s">
        <v>162</v>
      </c>
      <c r="B4606" s="8" t="s">
        <v>1209</v>
      </c>
      <c r="C4606" s="8" t="n">
        <v>1</v>
      </c>
      <c r="D4606" s="8" t="n">
        <v>77.8</v>
      </c>
      <c r="E4606" s="8" t="n">
        <v>0</v>
      </c>
      <c r="F4606" s="8" t="n">
        <v>0</v>
      </c>
    </row>
    <row r="4607" customFormat="false" ht="15" hidden="false" customHeight="true" outlineLevel="0" collapsed="false">
      <c r="A4607" s="8" t="s">
        <v>166</v>
      </c>
      <c r="B4607" s="8" t="s">
        <v>1211</v>
      </c>
      <c r="C4607" s="8" t="n">
        <v>1</v>
      </c>
      <c r="D4607" s="8" t="n">
        <v>63.27</v>
      </c>
      <c r="E4607" s="8" t="n">
        <v>0</v>
      </c>
      <c r="F4607" s="8" t="n">
        <v>0</v>
      </c>
    </row>
    <row r="4608" customFormat="false" ht="15" hidden="false" customHeight="true" outlineLevel="0" collapsed="false">
      <c r="A4608" s="8" t="s">
        <v>222</v>
      </c>
      <c r="B4608" s="8" t="s">
        <v>1211</v>
      </c>
      <c r="C4608" s="8" t="n">
        <v>2</v>
      </c>
      <c r="D4608" s="8" t="n">
        <v>126.54</v>
      </c>
      <c r="E4608" s="8" t="n">
        <v>0</v>
      </c>
      <c r="F4608" s="8" t="n">
        <v>0</v>
      </c>
    </row>
    <row r="4609" customFormat="false" ht="15" hidden="false" customHeight="true" outlineLevel="0" collapsed="false">
      <c r="A4609" s="8" t="s">
        <v>187</v>
      </c>
      <c r="B4609" s="8" t="s">
        <v>1211</v>
      </c>
      <c r="C4609" s="8" t="n">
        <v>1</v>
      </c>
      <c r="D4609" s="8" t="n">
        <v>63.27</v>
      </c>
      <c r="E4609" s="8" t="n">
        <v>0</v>
      </c>
      <c r="F4609" s="8" t="n">
        <v>0</v>
      </c>
    </row>
    <row r="4610" customFormat="false" ht="15" hidden="false" customHeight="true" outlineLevel="0" collapsed="false">
      <c r="A4610" s="8" t="s">
        <v>186</v>
      </c>
      <c r="B4610" s="8" t="s">
        <v>1225</v>
      </c>
      <c r="C4610" s="8" t="n">
        <v>1</v>
      </c>
      <c r="D4610" s="8" t="n">
        <v>28.93</v>
      </c>
      <c r="E4610" s="8" t="n">
        <v>0</v>
      </c>
      <c r="F4610" s="8" t="n">
        <v>0</v>
      </c>
    </row>
    <row r="4611" customFormat="false" ht="15" hidden="false" customHeight="true" outlineLevel="0" collapsed="false">
      <c r="A4611" s="8" t="s">
        <v>210</v>
      </c>
      <c r="B4611" s="8" t="s">
        <v>1225</v>
      </c>
      <c r="C4611" s="8" t="n">
        <v>1</v>
      </c>
      <c r="D4611" s="8" t="n">
        <v>28.93</v>
      </c>
      <c r="E4611" s="8" t="n">
        <v>0</v>
      </c>
      <c r="F4611" s="8" t="n">
        <v>0</v>
      </c>
    </row>
    <row r="4612" customFormat="false" ht="15" hidden="false" customHeight="true" outlineLevel="0" collapsed="false">
      <c r="A4612" s="8" t="s">
        <v>309</v>
      </c>
      <c r="B4612" s="8" t="s">
        <v>1226</v>
      </c>
      <c r="C4612" s="8" t="n">
        <v>1</v>
      </c>
      <c r="D4612" s="8" t="n">
        <v>42.17</v>
      </c>
      <c r="E4612" s="8" t="n">
        <v>0</v>
      </c>
      <c r="F4612" s="8" t="n">
        <v>0</v>
      </c>
    </row>
    <row r="4613" customFormat="false" ht="15" hidden="false" customHeight="true" outlineLevel="0" collapsed="false">
      <c r="A4613" s="8" t="s">
        <v>241</v>
      </c>
      <c r="B4613" s="8" t="s">
        <v>1227</v>
      </c>
      <c r="C4613" s="8" t="n">
        <v>1</v>
      </c>
      <c r="D4613" s="8" t="n">
        <v>17</v>
      </c>
      <c r="E4613" s="8" t="n">
        <v>0</v>
      </c>
      <c r="F4613" s="8" t="n">
        <v>0</v>
      </c>
    </row>
    <row r="4614" customFormat="false" ht="15" hidden="false" customHeight="true" outlineLevel="0" collapsed="false">
      <c r="A4614" s="8" t="s">
        <v>287</v>
      </c>
      <c r="B4614" s="8" t="s">
        <v>1227</v>
      </c>
      <c r="C4614" s="8" t="n">
        <v>1</v>
      </c>
      <c r="D4614" s="8" t="n">
        <v>17</v>
      </c>
      <c r="E4614" s="8" t="n">
        <v>0</v>
      </c>
      <c r="F4614" s="8" t="n">
        <v>0</v>
      </c>
    </row>
    <row r="4615" customFormat="false" ht="15" hidden="false" customHeight="true" outlineLevel="0" collapsed="false">
      <c r="A4615" s="8" t="s">
        <v>271</v>
      </c>
      <c r="B4615" s="8" t="s">
        <v>1260</v>
      </c>
      <c r="C4615" s="8" t="n">
        <v>1</v>
      </c>
      <c r="D4615" s="8" t="n">
        <v>23.4</v>
      </c>
      <c r="E4615" s="8" t="n">
        <v>0</v>
      </c>
      <c r="F4615" s="8" t="n">
        <v>0</v>
      </c>
    </row>
    <row r="4616" customFormat="false" ht="15" hidden="false" customHeight="true" outlineLevel="0" collapsed="false">
      <c r="A4616" s="8" t="s">
        <v>244</v>
      </c>
      <c r="B4616" s="8" t="s">
        <v>1213</v>
      </c>
      <c r="C4616" s="8" t="n">
        <v>3</v>
      </c>
      <c r="D4616" s="8" t="n">
        <v>28.5</v>
      </c>
      <c r="E4616" s="8" t="n">
        <v>0</v>
      </c>
      <c r="F4616" s="8" t="n">
        <v>0</v>
      </c>
    </row>
    <row r="4617" customFormat="false" ht="15" hidden="false" customHeight="true" outlineLevel="0" collapsed="false">
      <c r="A4617" s="8" t="s">
        <v>243</v>
      </c>
      <c r="B4617" s="8" t="s">
        <v>1253</v>
      </c>
      <c r="C4617" s="8" t="n">
        <v>3</v>
      </c>
      <c r="D4617" s="8" t="n">
        <v>38.85</v>
      </c>
      <c r="E4617" s="8" t="n">
        <v>0</v>
      </c>
      <c r="F4617" s="8" t="n">
        <v>0</v>
      </c>
    </row>
    <row r="4618" customFormat="false" ht="15" hidden="false" customHeight="true" outlineLevel="0" collapsed="false">
      <c r="A4618" s="8" t="s">
        <v>308</v>
      </c>
      <c r="B4618" s="8" t="s">
        <v>1229</v>
      </c>
      <c r="C4618" s="8" t="n">
        <v>1</v>
      </c>
      <c r="D4618" s="8" t="n">
        <v>8.08</v>
      </c>
      <c r="E4618" s="8" t="n">
        <v>0</v>
      </c>
      <c r="F4618" s="8" t="n">
        <v>0</v>
      </c>
    </row>
    <row r="4619" customFormat="false" ht="15" hidden="false" customHeight="true" outlineLevel="0" collapsed="false">
      <c r="A4619" s="8" t="s">
        <v>172</v>
      </c>
      <c r="B4619" s="8" t="s">
        <v>1214</v>
      </c>
      <c r="C4619" s="8" t="n">
        <v>5</v>
      </c>
      <c r="D4619" s="8" t="n">
        <v>60.9</v>
      </c>
      <c r="E4619" s="8" t="n">
        <v>0</v>
      </c>
      <c r="F4619" s="8" t="n">
        <v>0</v>
      </c>
    </row>
    <row r="4620" customFormat="false" ht="15" hidden="false" customHeight="true" outlineLevel="0" collapsed="false">
      <c r="A4620" s="8" t="s">
        <v>205</v>
      </c>
      <c r="B4620" s="8" t="s">
        <v>1217</v>
      </c>
      <c r="C4620" s="8" t="n">
        <v>1</v>
      </c>
      <c r="D4620" s="8" t="n">
        <v>20.5</v>
      </c>
      <c r="E4620" s="8" t="n">
        <v>0</v>
      </c>
      <c r="F4620" s="8" t="n">
        <v>0</v>
      </c>
    </row>
    <row r="4621" customFormat="false" ht="15" hidden="false" customHeight="true" outlineLevel="0" collapsed="false">
      <c r="A4621" s="8" t="s">
        <v>178</v>
      </c>
      <c r="B4621" s="8" t="s">
        <v>1236</v>
      </c>
      <c r="C4621" s="8" t="n">
        <v>1</v>
      </c>
      <c r="D4621" s="8" t="n">
        <v>35</v>
      </c>
      <c r="E4621" s="8" t="n">
        <v>0</v>
      </c>
      <c r="F4621" s="8" t="n">
        <v>0</v>
      </c>
    </row>
    <row r="4622" customFormat="false" ht="15" hidden="false" customHeight="true" outlineLevel="0" collapsed="false">
      <c r="A4622" s="8" t="s">
        <v>176</v>
      </c>
      <c r="B4622" s="8" t="s">
        <v>1236</v>
      </c>
      <c r="C4622" s="8" t="n">
        <v>1</v>
      </c>
      <c r="D4622" s="8" t="n">
        <v>35</v>
      </c>
      <c r="E4622" s="8" t="n">
        <v>0</v>
      </c>
      <c r="F4622" s="8" t="n">
        <v>0</v>
      </c>
    </row>
    <row r="4623" customFormat="false" ht="15" hidden="false" customHeight="true" outlineLevel="0" collapsed="false">
      <c r="A4623" s="8" t="s">
        <v>167</v>
      </c>
      <c r="B4623" s="8" t="s">
        <v>1238</v>
      </c>
      <c r="C4623" s="8" t="n">
        <v>5</v>
      </c>
      <c r="D4623" s="8" t="n">
        <v>67</v>
      </c>
      <c r="E4623" s="8" t="n">
        <v>0</v>
      </c>
      <c r="F4623" s="8" t="n">
        <v>0</v>
      </c>
    </row>
    <row r="4624" customFormat="false" ht="15" hidden="false" customHeight="true" outlineLevel="0" collapsed="false">
      <c r="A4624" s="8" t="s">
        <v>258</v>
      </c>
      <c r="B4624" s="8" t="s">
        <v>562</v>
      </c>
      <c r="C4624" s="8" t="n">
        <v>1</v>
      </c>
      <c r="D4624" s="8" t="n">
        <v>36</v>
      </c>
      <c r="E4624" s="8" t="n">
        <v>0</v>
      </c>
      <c r="F4624" s="8" t="n">
        <v>0</v>
      </c>
    </row>
    <row r="4625" customFormat="false" ht="15" hidden="false" customHeight="true" outlineLevel="0" collapsed="false">
      <c r="A4625" s="8" t="s">
        <v>203</v>
      </c>
      <c r="B4625" s="8" t="s">
        <v>1177</v>
      </c>
      <c r="C4625" s="8" t="n">
        <v>1</v>
      </c>
      <c r="D4625" s="8" t="n">
        <v>18.5</v>
      </c>
      <c r="E4625" s="8" t="n">
        <v>0</v>
      </c>
      <c r="F4625" s="8" t="n">
        <v>0</v>
      </c>
    </row>
    <row r="4626" customFormat="false" ht="15" hidden="false" customHeight="true" outlineLevel="0" collapsed="false">
      <c r="A4626" s="8" t="s">
        <v>197</v>
      </c>
      <c r="B4626" s="8" t="s">
        <v>1222</v>
      </c>
      <c r="C4626" s="8" t="n">
        <v>2</v>
      </c>
      <c r="D4626" s="8" t="n">
        <v>130</v>
      </c>
      <c r="E4626" s="8" t="n">
        <v>0</v>
      </c>
      <c r="F4626" s="8" t="n">
        <v>0</v>
      </c>
    </row>
    <row r="4627" customFormat="false" ht="15" hidden="false" customHeight="true" outlineLevel="0" collapsed="false">
      <c r="A4627" s="8" t="s">
        <v>207</v>
      </c>
      <c r="B4627" s="8" t="s">
        <v>1222</v>
      </c>
      <c r="C4627" s="8" t="n">
        <v>0</v>
      </c>
      <c r="D4627" s="8" t="n">
        <v>0</v>
      </c>
      <c r="E4627" s="8" t="n">
        <v>1</v>
      </c>
      <c r="F4627" s="8" t="n">
        <v>65</v>
      </c>
    </row>
    <row r="4628" customFormat="false" ht="15" hidden="false" customHeight="true" outlineLevel="0" collapsed="false">
      <c r="A4628" s="8" t="s">
        <v>163</v>
      </c>
      <c r="B4628" s="8" t="s">
        <v>897</v>
      </c>
      <c r="C4628" s="8" t="n">
        <v>5</v>
      </c>
      <c r="D4628" s="8" t="n">
        <v>325</v>
      </c>
      <c r="E4628" s="8" t="n">
        <v>0</v>
      </c>
      <c r="F4628" s="8" t="n">
        <v>0</v>
      </c>
    </row>
    <row r="4629" customFormat="false" ht="15" hidden="false" customHeight="true" outlineLevel="0" collapsed="false">
      <c r="A4629" s="8" t="s">
        <v>181</v>
      </c>
      <c r="B4629" s="8" t="s">
        <v>897</v>
      </c>
      <c r="C4629" s="8" t="n">
        <v>2</v>
      </c>
      <c r="D4629" s="8" t="n">
        <v>130</v>
      </c>
      <c r="E4629" s="8" t="n">
        <v>2</v>
      </c>
      <c r="F4629" s="8" t="n">
        <v>130</v>
      </c>
    </row>
    <row r="4630" customFormat="false" ht="15" hidden="false" customHeight="true" outlineLevel="0" collapsed="false">
      <c r="A4630" s="8" t="s">
        <v>165</v>
      </c>
      <c r="B4630" s="8" t="s">
        <v>897</v>
      </c>
      <c r="C4630" s="8" t="n">
        <v>2</v>
      </c>
      <c r="D4630" s="8" t="n">
        <v>130</v>
      </c>
      <c r="E4630" s="8" t="n">
        <v>3</v>
      </c>
      <c r="F4630" s="8" t="n">
        <v>195</v>
      </c>
    </row>
    <row r="4631" customFormat="false" ht="15" hidden="false" customHeight="true" outlineLevel="0" collapsed="false">
      <c r="A4631" s="8" t="s">
        <v>184</v>
      </c>
      <c r="B4631" s="8" t="s">
        <v>897</v>
      </c>
      <c r="C4631" s="8" t="n">
        <v>0</v>
      </c>
      <c r="D4631" s="8" t="n">
        <v>0</v>
      </c>
      <c r="E4631" s="8" t="n">
        <v>1</v>
      </c>
      <c r="F4631" s="8" t="n">
        <v>65</v>
      </c>
    </row>
    <row r="4632" customFormat="false" ht="15" hidden="false" customHeight="true" outlineLevel="0" collapsed="false">
      <c r="A4632" s="8" t="s">
        <v>190</v>
      </c>
      <c r="B4632" s="8" t="s">
        <v>1224</v>
      </c>
      <c r="C4632" s="8" t="n">
        <v>3</v>
      </c>
      <c r="D4632" s="8" t="n">
        <v>73.29</v>
      </c>
      <c r="E4632" s="8" t="n">
        <v>3</v>
      </c>
      <c r="F4632" s="8" t="n">
        <v>73.29</v>
      </c>
    </row>
    <row r="4633" customFormat="false" ht="15" hidden="false" customHeight="true" outlineLevel="0" collapsed="false">
      <c r="A4633" s="8" t="s">
        <v>183</v>
      </c>
      <c r="B4633" s="8" t="s">
        <v>1224</v>
      </c>
      <c r="C4633" s="8" t="n">
        <v>4</v>
      </c>
      <c r="D4633" s="8" t="n">
        <v>97.72</v>
      </c>
      <c r="E4633" s="8" t="n">
        <v>1</v>
      </c>
      <c r="F4633" s="8" t="n">
        <v>24.43</v>
      </c>
    </row>
    <row r="4634" customFormat="false" ht="15" hidden="false" customHeight="true" outlineLevel="0" collapsed="false">
      <c r="A4634" s="8" t="s">
        <v>218</v>
      </c>
      <c r="B4634" s="8" t="s">
        <v>1224</v>
      </c>
      <c r="C4634" s="8" t="n">
        <v>5</v>
      </c>
      <c r="D4634" s="8" t="n">
        <v>122.15</v>
      </c>
      <c r="E4634" s="8" t="n">
        <v>0</v>
      </c>
      <c r="F4634" s="8" t="n">
        <v>0</v>
      </c>
    </row>
    <row r="4635" customFormat="false" ht="15" hidden="false" customHeight="true" outlineLevel="0" collapsed="false">
      <c r="A4635" s="8" t="s">
        <v>231</v>
      </c>
      <c r="B4635" s="8" t="s">
        <v>1224</v>
      </c>
      <c r="C4635" s="8" t="n">
        <v>1</v>
      </c>
      <c r="D4635" s="8" t="n">
        <v>24.43</v>
      </c>
      <c r="E4635" s="8" t="n">
        <v>0</v>
      </c>
      <c r="F4635" s="8" t="n">
        <v>0</v>
      </c>
    </row>
    <row r="4636" customFormat="false" ht="15" hidden="false" customHeight="true" outlineLevel="0" collapsed="false">
      <c r="A4636" s="8" t="s">
        <v>161</v>
      </c>
      <c r="B4636" s="8" t="s">
        <v>1208</v>
      </c>
      <c r="C4636" s="8" t="n">
        <v>5</v>
      </c>
      <c r="D4636" s="8" t="n">
        <v>227.5</v>
      </c>
      <c r="E4636" s="8" t="n">
        <v>0</v>
      </c>
      <c r="F4636" s="8" t="n">
        <v>0</v>
      </c>
    </row>
    <row r="4637" customFormat="false" ht="15" hidden="false" customHeight="true" outlineLevel="0" collapsed="false">
      <c r="A4637" s="8" t="s">
        <v>162</v>
      </c>
      <c r="B4637" s="8" t="s">
        <v>1209</v>
      </c>
      <c r="C4637" s="8" t="n">
        <v>10</v>
      </c>
      <c r="D4637" s="8" t="n">
        <v>778</v>
      </c>
      <c r="E4637" s="8" t="n">
        <v>4</v>
      </c>
      <c r="F4637" s="8" t="n">
        <v>311.2</v>
      </c>
    </row>
    <row r="4638" customFormat="false" ht="15" hidden="false" customHeight="true" outlineLevel="0" collapsed="false">
      <c r="A4638" s="8" t="s">
        <v>171</v>
      </c>
      <c r="B4638" s="8" t="s">
        <v>1210</v>
      </c>
      <c r="C4638" s="8" t="n">
        <v>0</v>
      </c>
      <c r="D4638" s="8" t="n">
        <v>0</v>
      </c>
      <c r="E4638" s="8" t="n">
        <v>1</v>
      </c>
      <c r="F4638" s="8" t="n">
        <v>47.23</v>
      </c>
    </row>
    <row r="4639" customFormat="false" ht="15" hidden="false" customHeight="true" outlineLevel="0" collapsed="false">
      <c r="A4639" s="8" t="s">
        <v>174</v>
      </c>
      <c r="B4639" s="8" t="s">
        <v>1210</v>
      </c>
      <c r="C4639" s="8" t="n">
        <v>1</v>
      </c>
      <c r="D4639" s="8" t="n">
        <v>47.23</v>
      </c>
      <c r="E4639" s="8" t="n">
        <v>1</v>
      </c>
      <c r="F4639" s="8" t="n">
        <v>47.23</v>
      </c>
    </row>
    <row r="4640" customFormat="false" ht="15" hidden="false" customHeight="true" outlineLevel="0" collapsed="false">
      <c r="A4640" s="8" t="s">
        <v>166</v>
      </c>
      <c r="B4640" s="8" t="s">
        <v>1211</v>
      </c>
      <c r="C4640" s="8" t="n">
        <v>4</v>
      </c>
      <c r="D4640" s="8" t="n">
        <v>253.08</v>
      </c>
      <c r="E4640" s="8" t="n">
        <v>0</v>
      </c>
      <c r="F4640" s="8" t="n">
        <v>0</v>
      </c>
    </row>
    <row r="4641" customFormat="false" ht="15" hidden="false" customHeight="true" outlineLevel="0" collapsed="false">
      <c r="A4641" s="8" t="s">
        <v>164</v>
      </c>
      <c r="B4641" s="8" t="s">
        <v>1211</v>
      </c>
      <c r="C4641" s="8" t="n">
        <v>6</v>
      </c>
      <c r="D4641" s="8" t="n">
        <v>379.62</v>
      </c>
      <c r="E4641" s="8" t="n">
        <v>2</v>
      </c>
      <c r="F4641" s="8" t="n">
        <v>126.54</v>
      </c>
    </row>
    <row r="4642" customFormat="false" ht="15" hidden="false" customHeight="true" outlineLevel="0" collapsed="false">
      <c r="A4642" s="8" t="s">
        <v>187</v>
      </c>
      <c r="B4642" s="8" t="s">
        <v>1211</v>
      </c>
      <c r="C4642" s="8" t="n">
        <v>1</v>
      </c>
      <c r="D4642" s="8" t="n">
        <v>63.27</v>
      </c>
      <c r="E4642" s="8" t="n">
        <v>0</v>
      </c>
      <c r="F4642" s="8" t="n">
        <v>0</v>
      </c>
    </row>
    <row r="4643" customFormat="false" ht="15" hidden="false" customHeight="true" outlineLevel="0" collapsed="false">
      <c r="A4643" s="8" t="s">
        <v>270</v>
      </c>
      <c r="B4643" s="8" t="s">
        <v>1251</v>
      </c>
      <c r="C4643" s="8" t="n">
        <v>5</v>
      </c>
      <c r="D4643" s="8" t="n">
        <v>49.1</v>
      </c>
      <c r="E4643" s="8" t="n">
        <v>0</v>
      </c>
      <c r="F4643" s="8" t="n">
        <v>0</v>
      </c>
    </row>
    <row r="4644" customFormat="false" ht="15" hidden="false" customHeight="true" outlineLevel="0" collapsed="false">
      <c r="A4644" s="8" t="s">
        <v>263</v>
      </c>
      <c r="B4644" s="8" t="s">
        <v>407</v>
      </c>
      <c r="C4644" s="8" t="n">
        <v>2</v>
      </c>
      <c r="D4644" s="8" t="n">
        <v>25.64</v>
      </c>
      <c r="E4644" s="8" t="n">
        <v>0</v>
      </c>
      <c r="F4644" s="8" t="n">
        <v>0</v>
      </c>
    </row>
    <row r="4645" customFormat="false" ht="15" hidden="false" customHeight="true" outlineLevel="0" collapsed="false">
      <c r="A4645" s="8" t="s">
        <v>188</v>
      </c>
      <c r="B4645" s="8" t="s">
        <v>1225</v>
      </c>
      <c r="C4645" s="8" t="n">
        <v>2</v>
      </c>
      <c r="D4645" s="8" t="n">
        <v>57.86</v>
      </c>
      <c r="E4645" s="8" t="n">
        <v>0</v>
      </c>
      <c r="F4645" s="8" t="n">
        <v>0</v>
      </c>
    </row>
    <row r="4646" customFormat="false" ht="15" hidden="false" customHeight="true" outlineLevel="0" collapsed="false">
      <c r="A4646" s="8" t="s">
        <v>186</v>
      </c>
      <c r="B4646" s="8" t="s">
        <v>1225</v>
      </c>
      <c r="C4646" s="8" t="n">
        <v>0</v>
      </c>
      <c r="D4646" s="8" t="n">
        <v>0</v>
      </c>
      <c r="E4646" s="8" t="n">
        <v>2</v>
      </c>
      <c r="F4646" s="8" t="n">
        <v>57.86</v>
      </c>
    </row>
    <row r="4647" customFormat="false" ht="15" hidden="false" customHeight="true" outlineLevel="0" collapsed="false">
      <c r="A4647" s="8" t="s">
        <v>239</v>
      </c>
      <c r="B4647" s="8" t="s">
        <v>1225</v>
      </c>
      <c r="C4647" s="8" t="n">
        <v>1</v>
      </c>
      <c r="D4647" s="8" t="n">
        <v>28.93</v>
      </c>
      <c r="E4647" s="8" t="n">
        <v>0</v>
      </c>
      <c r="F4647" s="8" t="n">
        <v>0</v>
      </c>
    </row>
    <row r="4648" customFormat="false" ht="15" hidden="false" customHeight="true" outlineLevel="0" collapsed="false">
      <c r="A4648" s="8" t="s">
        <v>210</v>
      </c>
      <c r="B4648" s="8" t="s">
        <v>1225</v>
      </c>
      <c r="C4648" s="8" t="n">
        <v>3</v>
      </c>
      <c r="D4648" s="8" t="n">
        <v>86.79</v>
      </c>
      <c r="E4648" s="8" t="n">
        <v>0</v>
      </c>
      <c r="F4648" s="8" t="n">
        <v>0</v>
      </c>
    </row>
    <row r="4649" customFormat="false" ht="15" hidden="false" customHeight="true" outlineLevel="0" collapsed="false">
      <c r="A4649" s="8" t="s">
        <v>241</v>
      </c>
      <c r="B4649" s="8" t="s">
        <v>1227</v>
      </c>
      <c r="C4649" s="8" t="n">
        <v>4</v>
      </c>
      <c r="D4649" s="8" t="n">
        <v>68</v>
      </c>
      <c r="E4649" s="8" t="n">
        <v>0</v>
      </c>
      <c r="F4649" s="8" t="n">
        <v>0</v>
      </c>
    </row>
    <row r="4650" customFormat="false" ht="15" hidden="false" customHeight="true" outlineLevel="0" collapsed="false">
      <c r="A4650" s="8" t="s">
        <v>219</v>
      </c>
      <c r="B4650" s="8" t="s">
        <v>1227</v>
      </c>
      <c r="C4650" s="8" t="n">
        <v>6</v>
      </c>
      <c r="D4650" s="8" t="n">
        <v>102</v>
      </c>
      <c r="E4650" s="8" t="n">
        <v>0</v>
      </c>
      <c r="F4650" s="8" t="n">
        <v>0</v>
      </c>
    </row>
    <row r="4651" customFormat="false" ht="15" hidden="false" customHeight="true" outlineLevel="0" collapsed="false">
      <c r="A4651" s="8" t="s">
        <v>292</v>
      </c>
      <c r="B4651" s="8" t="s">
        <v>1227</v>
      </c>
      <c r="C4651" s="8" t="n">
        <v>1</v>
      </c>
      <c r="D4651" s="8" t="n">
        <v>17</v>
      </c>
      <c r="E4651" s="8" t="n">
        <v>2</v>
      </c>
      <c r="F4651" s="8" t="n">
        <v>34</v>
      </c>
    </row>
    <row r="4652" customFormat="false" ht="15" hidden="false" customHeight="true" outlineLevel="0" collapsed="false">
      <c r="A4652" s="8" t="s">
        <v>223</v>
      </c>
      <c r="B4652" s="8" t="s">
        <v>1227</v>
      </c>
      <c r="C4652" s="8" t="n">
        <v>4</v>
      </c>
      <c r="D4652" s="8" t="n">
        <v>68</v>
      </c>
      <c r="E4652" s="8" t="n">
        <v>0</v>
      </c>
      <c r="F4652" s="8" t="n">
        <v>0</v>
      </c>
    </row>
    <row r="4653" customFormat="false" ht="15" hidden="false" customHeight="true" outlineLevel="0" collapsed="false">
      <c r="A4653" s="8" t="s">
        <v>237</v>
      </c>
      <c r="B4653" s="8" t="s">
        <v>1259</v>
      </c>
      <c r="C4653" s="8" t="n">
        <v>4</v>
      </c>
      <c r="D4653" s="8" t="n">
        <v>73.8</v>
      </c>
      <c r="E4653" s="8" t="n">
        <v>0</v>
      </c>
      <c r="F4653" s="8" t="n">
        <v>0</v>
      </c>
    </row>
    <row r="4654" customFormat="false" ht="15" hidden="false" customHeight="true" outlineLevel="0" collapsed="false">
      <c r="A4654" s="8" t="s">
        <v>271</v>
      </c>
      <c r="B4654" s="8" t="s">
        <v>1260</v>
      </c>
      <c r="C4654" s="8" t="n">
        <v>1</v>
      </c>
      <c r="D4654" s="8" t="n">
        <v>23.4</v>
      </c>
      <c r="E4654" s="8" t="n">
        <v>2</v>
      </c>
      <c r="F4654" s="8" t="n">
        <v>46.8</v>
      </c>
    </row>
    <row r="4655" customFormat="false" ht="15" hidden="false" customHeight="true" outlineLevel="0" collapsed="false">
      <c r="A4655" s="8" t="s">
        <v>266</v>
      </c>
      <c r="B4655" s="8" t="s">
        <v>1228</v>
      </c>
      <c r="C4655" s="8" t="n">
        <v>1</v>
      </c>
      <c r="D4655" s="8" t="n">
        <v>19.92</v>
      </c>
      <c r="E4655" s="8" t="n">
        <v>1</v>
      </c>
      <c r="F4655" s="8" t="n">
        <v>19.92</v>
      </c>
    </row>
    <row r="4656" customFormat="false" ht="15" hidden="false" customHeight="true" outlineLevel="0" collapsed="false">
      <c r="A4656" s="8" t="s">
        <v>246</v>
      </c>
      <c r="B4656" s="8" t="s">
        <v>1261</v>
      </c>
      <c r="C4656" s="8" t="n">
        <v>4</v>
      </c>
      <c r="D4656" s="8" t="n">
        <v>69.4</v>
      </c>
      <c r="E4656" s="8" t="n">
        <v>0</v>
      </c>
      <c r="F4656" s="8" t="n">
        <v>0</v>
      </c>
    </row>
    <row r="4657" customFormat="false" ht="15" hidden="false" customHeight="true" outlineLevel="0" collapsed="false">
      <c r="A4657" s="8" t="s">
        <v>202</v>
      </c>
      <c r="B4657" s="8" t="s">
        <v>1212</v>
      </c>
      <c r="C4657" s="8" t="n">
        <v>8</v>
      </c>
      <c r="D4657" s="8" t="n">
        <v>76</v>
      </c>
      <c r="E4657" s="8" t="n">
        <v>0</v>
      </c>
      <c r="F4657" s="8" t="n">
        <v>0</v>
      </c>
    </row>
    <row r="4658" customFormat="false" ht="15" hidden="false" customHeight="true" outlineLevel="0" collapsed="false">
      <c r="A4658" s="8" t="s">
        <v>244</v>
      </c>
      <c r="B4658" s="8" t="s">
        <v>1213</v>
      </c>
      <c r="C4658" s="8" t="n">
        <v>4</v>
      </c>
      <c r="D4658" s="8" t="n">
        <v>38</v>
      </c>
      <c r="E4658" s="8" t="n">
        <v>3</v>
      </c>
      <c r="F4658" s="8" t="n">
        <v>28.5</v>
      </c>
    </row>
    <row r="4659" customFormat="false" ht="15" hidden="false" customHeight="true" outlineLevel="0" collapsed="false">
      <c r="A4659" s="8" t="s">
        <v>243</v>
      </c>
      <c r="B4659" s="8" t="s">
        <v>1253</v>
      </c>
      <c r="C4659" s="8" t="n">
        <v>16</v>
      </c>
      <c r="D4659" s="8" t="n">
        <v>207.2</v>
      </c>
      <c r="E4659" s="8" t="n">
        <v>3</v>
      </c>
      <c r="F4659" s="8" t="n">
        <v>38.85</v>
      </c>
    </row>
    <row r="4660" customFormat="false" ht="15" hidden="false" customHeight="true" outlineLevel="0" collapsed="false">
      <c r="A4660" s="8" t="s">
        <v>251</v>
      </c>
      <c r="B4660" s="8" t="s">
        <v>1262</v>
      </c>
      <c r="C4660" s="8" t="n">
        <v>5</v>
      </c>
      <c r="D4660" s="8" t="n">
        <v>48.55</v>
      </c>
      <c r="E4660" s="8" t="n">
        <v>2</v>
      </c>
      <c r="F4660" s="8" t="n">
        <v>19.42</v>
      </c>
    </row>
    <row r="4661" customFormat="false" ht="15" hidden="false" customHeight="true" outlineLevel="0" collapsed="false">
      <c r="A4661" s="8" t="s">
        <v>308</v>
      </c>
      <c r="B4661" s="8" t="s">
        <v>1229</v>
      </c>
      <c r="C4661" s="8" t="n">
        <v>0</v>
      </c>
      <c r="D4661" s="8" t="n">
        <v>0</v>
      </c>
      <c r="E4661" s="8" t="n">
        <v>4</v>
      </c>
      <c r="F4661" s="8" t="n">
        <v>32.32</v>
      </c>
    </row>
    <row r="4662" customFormat="false" ht="15" hidden="false" customHeight="true" outlineLevel="0" collapsed="false">
      <c r="A4662" s="8" t="s">
        <v>172</v>
      </c>
      <c r="B4662" s="8" t="s">
        <v>1214</v>
      </c>
      <c r="C4662" s="8" t="n">
        <v>30</v>
      </c>
      <c r="D4662" s="8" t="n">
        <v>365.4</v>
      </c>
      <c r="E4662" s="8" t="n">
        <v>0</v>
      </c>
      <c r="F4662" s="8" t="n">
        <v>0</v>
      </c>
    </row>
    <row r="4663" customFormat="false" ht="15" hidden="false" customHeight="true" outlineLevel="0" collapsed="false">
      <c r="A4663" s="8" t="s">
        <v>242</v>
      </c>
      <c r="B4663" s="8" t="s">
        <v>1230</v>
      </c>
      <c r="C4663" s="8" t="n">
        <v>2</v>
      </c>
      <c r="D4663" s="8" t="n">
        <v>77.4</v>
      </c>
      <c r="E4663" s="8" t="n">
        <v>0</v>
      </c>
      <c r="F4663" s="8" t="n">
        <v>0</v>
      </c>
    </row>
    <row r="4664" customFormat="false" ht="15" hidden="false" customHeight="true" outlineLevel="0" collapsed="false">
      <c r="A4664" s="8" t="s">
        <v>261</v>
      </c>
      <c r="B4664" s="8" t="s">
        <v>1215</v>
      </c>
      <c r="C4664" s="8" t="n">
        <v>7</v>
      </c>
      <c r="D4664" s="8" t="n">
        <v>148.47</v>
      </c>
      <c r="E4664" s="8" t="n">
        <v>0</v>
      </c>
      <c r="F4664" s="8" t="n">
        <v>0</v>
      </c>
    </row>
    <row r="4665" customFormat="false" ht="15" hidden="false" customHeight="true" outlineLevel="0" collapsed="false">
      <c r="A4665" s="8" t="s">
        <v>269</v>
      </c>
      <c r="B4665" s="8" t="s">
        <v>1231</v>
      </c>
      <c r="C4665" s="8" t="n">
        <v>6</v>
      </c>
      <c r="D4665" s="8" t="n">
        <v>67.98</v>
      </c>
      <c r="E4665" s="8" t="n">
        <v>0</v>
      </c>
      <c r="F4665" s="8" t="n">
        <v>0</v>
      </c>
    </row>
    <row r="4666" customFormat="false" ht="15" hidden="false" customHeight="true" outlineLevel="0" collapsed="false">
      <c r="A4666" s="8" t="s">
        <v>232</v>
      </c>
      <c r="B4666" s="8" t="s">
        <v>1233</v>
      </c>
      <c r="C4666" s="8" t="n">
        <v>3</v>
      </c>
      <c r="D4666" s="8" t="n">
        <v>48.6</v>
      </c>
      <c r="E4666" s="8" t="n">
        <v>2</v>
      </c>
      <c r="F4666" s="8" t="n">
        <v>32.4</v>
      </c>
    </row>
    <row r="4667" customFormat="false" ht="15" hidden="false" customHeight="true" outlineLevel="0" collapsed="false">
      <c r="A4667" s="8" t="s">
        <v>215</v>
      </c>
      <c r="B4667" s="8" t="s">
        <v>1233</v>
      </c>
      <c r="C4667" s="8" t="n">
        <v>5</v>
      </c>
      <c r="D4667" s="8" t="n">
        <v>89.1</v>
      </c>
      <c r="E4667" s="8" t="n">
        <v>2</v>
      </c>
      <c r="F4667" s="8" t="n">
        <v>35.64</v>
      </c>
    </row>
    <row r="4668" customFormat="false" ht="15" hidden="false" customHeight="true" outlineLevel="0" collapsed="false">
      <c r="A4668" s="8" t="s">
        <v>255</v>
      </c>
      <c r="B4668" s="8" t="s">
        <v>1273</v>
      </c>
      <c r="C4668" s="8" t="n">
        <v>8</v>
      </c>
      <c r="D4668" s="8" t="n">
        <v>65.6</v>
      </c>
      <c r="E4668" s="8" t="n">
        <v>2</v>
      </c>
      <c r="F4668" s="8" t="n">
        <v>16.4</v>
      </c>
    </row>
    <row r="4669" customFormat="false" ht="15" hidden="false" customHeight="true" outlineLevel="0" collapsed="false">
      <c r="A4669" s="8" t="s">
        <v>194</v>
      </c>
      <c r="B4669" s="8" t="s">
        <v>1239</v>
      </c>
      <c r="C4669" s="8" t="n">
        <v>10</v>
      </c>
      <c r="D4669" s="8" t="n">
        <v>98.2</v>
      </c>
      <c r="E4669" s="8" t="n">
        <v>2</v>
      </c>
      <c r="F4669" s="8" t="n">
        <v>19.64</v>
      </c>
    </row>
    <row r="4670" customFormat="false" ht="15" hidden="false" customHeight="true" outlineLevel="0" collapsed="false">
      <c r="A4670" s="8" t="s">
        <v>279</v>
      </c>
      <c r="B4670" s="8" t="s">
        <v>1274</v>
      </c>
      <c r="C4670" s="8" t="n">
        <v>5</v>
      </c>
      <c r="D4670" s="8" t="n">
        <v>49.1</v>
      </c>
      <c r="E4670" s="8" t="n">
        <v>3</v>
      </c>
      <c r="F4670" s="8" t="n">
        <v>29.46</v>
      </c>
    </row>
    <row r="4671" customFormat="false" ht="15" hidden="false" customHeight="true" outlineLevel="0" collapsed="false">
      <c r="A4671" s="8" t="s">
        <v>299</v>
      </c>
      <c r="B4671" s="8" t="s">
        <v>1263</v>
      </c>
      <c r="C4671" s="8" t="n">
        <v>2</v>
      </c>
      <c r="D4671" s="8" t="n">
        <v>107.06</v>
      </c>
      <c r="E4671" s="8" t="n">
        <v>1</v>
      </c>
      <c r="F4671" s="8" t="n">
        <v>53.53</v>
      </c>
    </row>
    <row r="4672" customFormat="false" ht="15" hidden="false" customHeight="true" outlineLevel="0" collapsed="false">
      <c r="A4672" s="8" t="s">
        <v>265</v>
      </c>
      <c r="B4672" s="8" t="s">
        <v>621</v>
      </c>
      <c r="C4672" s="8" t="n">
        <v>3</v>
      </c>
      <c r="D4672" s="8" t="n">
        <v>126</v>
      </c>
      <c r="E4672" s="8" t="n">
        <v>2</v>
      </c>
      <c r="F4672" s="8" t="n">
        <v>84</v>
      </c>
    </row>
    <row r="4673" customFormat="false" ht="15" hidden="false" customHeight="true" outlineLevel="0" collapsed="false">
      <c r="A4673" s="8" t="s">
        <v>276</v>
      </c>
      <c r="B4673" s="8" t="s">
        <v>621</v>
      </c>
      <c r="C4673" s="8" t="n">
        <v>3</v>
      </c>
      <c r="D4673" s="8" t="n">
        <v>126</v>
      </c>
      <c r="E4673" s="8" t="n">
        <v>1</v>
      </c>
      <c r="F4673" s="8" t="n">
        <v>42</v>
      </c>
    </row>
    <row r="4674" customFormat="false" ht="15" hidden="false" customHeight="true" outlineLevel="0" collapsed="false">
      <c r="A4674" s="8" t="s">
        <v>326</v>
      </c>
      <c r="B4674" s="8" t="s">
        <v>1281</v>
      </c>
      <c r="C4674" s="8" t="n">
        <v>2</v>
      </c>
      <c r="D4674" s="8" t="n">
        <v>47.2</v>
      </c>
      <c r="E4674" s="8" t="n">
        <v>0</v>
      </c>
      <c r="F4674" s="8" t="n">
        <v>0</v>
      </c>
    </row>
    <row r="4675" customFormat="false" ht="15" hidden="false" customHeight="true" outlineLevel="0" collapsed="false">
      <c r="A4675" s="8" t="s">
        <v>338</v>
      </c>
      <c r="B4675" s="8" t="s">
        <v>1281</v>
      </c>
      <c r="C4675" s="8" t="n">
        <v>4</v>
      </c>
      <c r="D4675" s="8" t="n">
        <v>94.4</v>
      </c>
      <c r="E4675" s="8" t="n">
        <v>3</v>
      </c>
      <c r="F4675" s="8" t="n">
        <v>70.8</v>
      </c>
    </row>
    <row r="4676" customFormat="false" ht="15" hidden="false" customHeight="true" outlineLevel="0" collapsed="false">
      <c r="A4676" s="8" t="s">
        <v>331</v>
      </c>
      <c r="B4676" s="8" t="s">
        <v>1255</v>
      </c>
      <c r="C4676" s="8" t="n">
        <v>2</v>
      </c>
      <c r="D4676" s="8" t="n">
        <v>47.2</v>
      </c>
      <c r="E4676" s="8" t="n">
        <v>2</v>
      </c>
      <c r="F4676" s="8" t="n">
        <v>47.2</v>
      </c>
    </row>
    <row r="4677" customFormat="false" ht="15" hidden="false" customHeight="true" outlineLevel="0" collapsed="false">
      <c r="A4677" s="8" t="s">
        <v>342</v>
      </c>
      <c r="B4677" s="8" t="s">
        <v>1255</v>
      </c>
      <c r="C4677" s="8" t="n">
        <v>3</v>
      </c>
      <c r="D4677" s="8" t="n">
        <v>70.8</v>
      </c>
      <c r="E4677" s="8" t="n">
        <v>3</v>
      </c>
      <c r="F4677" s="8" t="n">
        <v>70.8</v>
      </c>
    </row>
    <row r="4678" customFormat="false" ht="15" hidden="false" customHeight="true" outlineLevel="0" collapsed="false">
      <c r="A4678" s="8" t="s">
        <v>225</v>
      </c>
      <c r="B4678" s="8" t="s">
        <v>1237</v>
      </c>
      <c r="C4678" s="8" t="n">
        <v>36</v>
      </c>
      <c r="D4678" s="8" t="n">
        <v>662.4</v>
      </c>
      <c r="E4678" s="8" t="n">
        <v>0</v>
      </c>
      <c r="F4678" s="8" t="n">
        <v>0</v>
      </c>
    </row>
    <row r="4679" customFormat="false" ht="15" hidden="false" customHeight="true" outlineLevel="0" collapsed="false">
      <c r="A4679" s="8" t="s">
        <v>217</v>
      </c>
      <c r="B4679" s="8" t="s">
        <v>1237</v>
      </c>
      <c r="C4679" s="8" t="n">
        <v>2</v>
      </c>
      <c r="D4679" s="8" t="n">
        <v>36.8</v>
      </c>
      <c r="E4679" s="8" t="n">
        <v>5</v>
      </c>
      <c r="F4679" s="8" t="n">
        <v>92</v>
      </c>
    </row>
    <row r="4680" customFormat="false" ht="15" hidden="false" customHeight="true" outlineLevel="0" collapsed="false">
      <c r="A4680" s="8" t="s">
        <v>316</v>
      </c>
      <c r="B4680" s="8" t="s">
        <v>1294</v>
      </c>
      <c r="C4680" s="8" t="n">
        <v>8</v>
      </c>
      <c r="D4680" s="8" t="n">
        <v>147.2</v>
      </c>
      <c r="E4680" s="8" t="n">
        <v>3</v>
      </c>
      <c r="F4680" s="8" t="n">
        <v>55.2</v>
      </c>
    </row>
    <row r="4681" customFormat="false" ht="15" hidden="false" customHeight="true" outlineLevel="0" collapsed="false">
      <c r="A4681" s="8" t="s">
        <v>335</v>
      </c>
      <c r="B4681" s="8" t="s">
        <v>1294</v>
      </c>
      <c r="C4681" s="8" t="n">
        <v>1</v>
      </c>
      <c r="D4681" s="8" t="n">
        <v>18.4</v>
      </c>
      <c r="E4681" s="8" t="n">
        <v>0</v>
      </c>
      <c r="F4681" s="8" t="n">
        <v>0</v>
      </c>
    </row>
    <row r="4682" customFormat="false" ht="15" hidden="false" customHeight="true" outlineLevel="0" collapsed="false">
      <c r="A4682" s="8" t="s">
        <v>322</v>
      </c>
      <c r="B4682" s="8" t="s">
        <v>1264</v>
      </c>
      <c r="C4682" s="8" t="n">
        <v>0</v>
      </c>
      <c r="D4682" s="8" t="n">
        <v>0</v>
      </c>
      <c r="E4682" s="8" t="n">
        <v>3</v>
      </c>
      <c r="F4682" s="8" t="n">
        <v>55.2</v>
      </c>
    </row>
    <row r="4683" customFormat="false" ht="15" hidden="false" customHeight="true" outlineLevel="0" collapsed="false">
      <c r="A4683" s="8" t="s">
        <v>364</v>
      </c>
      <c r="B4683" s="8" t="s">
        <v>1264</v>
      </c>
      <c r="C4683" s="8" t="n">
        <v>0</v>
      </c>
      <c r="D4683" s="8" t="n">
        <v>0</v>
      </c>
      <c r="E4683" s="8" t="n">
        <v>2</v>
      </c>
      <c r="F4683" s="8" t="n">
        <v>36.8</v>
      </c>
    </row>
    <row r="4684" customFormat="false" ht="15" hidden="false" customHeight="true" outlineLevel="0" collapsed="false">
      <c r="A4684" s="8" t="s">
        <v>325</v>
      </c>
      <c r="B4684" s="8" t="s">
        <v>1264</v>
      </c>
      <c r="C4684" s="8" t="n">
        <v>9</v>
      </c>
      <c r="D4684" s="8" t="n">
        <v>165.6</v>
      </c>
      <c r="E4684" s="8" t="n">
        <v>0</v>
      </c>
      <c r="F4684" s="8" t="n">
        <v>0</v>
      </c>
    </row>
    <row r="4685" customFormat="false" ht="15" hidden="false" customHeight="true" outlineLevel="0" collapsed="false">
      <c r="A4685" s="8" t="s">
        <v>192</v>
      </c>
      <c r="B4685" s="8" t="s">
        <v>1240</v>
      </c>
      <c r="C4685" s="8" t="n">
        <v>4</v>
      </c>
      <c r="D4685" s="8" t="n">
        <v>167.24</v>
      </c>
      <c r="E4685" s="8" t="n">
        <v>0</v>
      </c>
      <c r="F4685" s="8" t="n">
        <v>0</v>
      </c>
    </row>
    <row r="4686" customFormat="false" ht="15" hidden="false" customHeight="true" outlineLevel="0" collapsed="false">
      <c r="A4686" s="8" t="s">
        <v>168</v>
      </c>
      <c r="B4686" s="8" t="s">
        <v>1240</v>
      </c>
      <c r="C4686" s="8" t="n">
        <v>10</v>
      </c>
      <c r="D4686" s="8" t="n">
        <v>418.1</v>
      </c>
      <c r="E4686" s="8" t="n">
        <v>0</v>
      </c>
      <c r="F4686" s="8" t="n">
        <v>0</v>
      </c>
    </row>
    <row r="4687" customFormat="false" ht="15" hidden="false" customHeight="true" outlineLevel="0" collapsed="false">
      <c r="A4687" s="8" t="s">
        <v>169</v>
      </c>
      <c r="B4687" s="8" t="s">
        <v>1240</v>
      </c>
      <c r="C4687" s="8" t="n">
        <v>2</v>
      </c>
      <c r="D4687" s="8" t="n">
        <v>83.62</v>
      </c>
      <c r="E4687" s="8" t="n">
        <v>0</v>
      </c>
      <c r="F4687" s="8" t="n">
        <v>0</v>
      </c>
    </row>
    <row r="4688" customFormat="false" ht="15" hidden="false" customHeight="true" outlineLevel="0" collapsed="false">
      <c r="A4688" s="8" t="s">
        <v>180</v>
      </c>
      <c r="B4688" s="8" t="s">
        <v>1216</v>
      </c>
      <c r="C4688" s="8" t="n">
        <v>4</v>
      </c>
      <c r="D4688" s="8" t="n">
        <v>66</v>
      </c>
      <c r="E4688" s="8" t="n">
        <v>0</v>
      </c>
      <c r="F4688" s="8" t="n">
        <v>0</v>
      </c>
    </row>
    <row r="4689" customFormat="false" ht="15" hidden="false" customHeight="true" outlineLevel="0" collapsed="false">
      <c r="A4689" s="8" t="s">
        <v>189</v>
      </c>
      <c r="B4689" s="8" t="s">
        <v>1216</v>
      </c>
      <c r="C4689" s="8" t="n">
        <v>4</v>
      </c>
      <c r="D4689" s="8" t="n">
        <v>66</v>
      </c>
      <c r="E4689" s="8" t="n">
        <v>0</v>
      </c>
      <c r="F4689" s="8" t="n">
        <v>0</v>
      </c>
    </row>
    <row r="4690" customFormat="false" ht="15" hidden="false" customHeight="true" outlineLevel="0" collapsed="false">
      <c r="A4690" s="8" t="s">
        <v>199</v>
      </c>
      <c r="B4690" s="8" t="s">
        <v>1216</v>
      </c>
      <c r="C4690" s="8" t="n">
        <v>5</v>
      </c>
      <c r="D4690" s="8" t="n">
        <v>82.5</v>
      </c>
      <c r="E4690" s="8" t="n">
        <v>3</v>
      </c>
      <c r="F4690" s="8" t="n">
        <v>49.5</v>
      </c>
    </row>
    <row r="4691" customFormat="false" ht="15" hidden="false" customHeight="true" outlineLevel="0" collapsed="false">
      <c r="A4691" s="8" t="s">
        <v>250</v>
      </c>
      <c r="B4691" s="8" t="s">
        <v>1216</v>
      </c>
      <c r="C4691" s="8" t="n">
        <v>0</v>
      </c>
      <c r="D4691" s="8" t="n">
        <v>0</v>
      </c>
      <c r="E4691" s="8" t="n">
        <v>2</v>
      </c>
      <c r="F4691" s="8" t="n">
        <v>33</v>
      </c>
    </row>
    <row r="4692" customFormat="false" ht="15" hidden="false" customHeight="true" outlineLevel="0" collapsed="false">
      <c r="A4692" s="8" t="s">
        <v>198</v>
      </c>
      <c r="B4692" s="8" t="s">
        <v>1217</v>
      </c>
      <c r="C4692" s="8" t="n">
        <v>2</v>
      </c>
      <c r="D4692" s="8" t="n">
        <v>41</v>
      </c>
      <c r="E4692" s="8" t="n">
        <v>2</v>
      </c>
      <c r="F4692" s="8" t="n">
        <v>41</v>
      </c>
    </row>
    <row r="4693" customFormat="false" ht="15" hidden="false" customHeight="true" outlineLevel="0" collapsed="false">
      <c r="A4693" s="8" t="s">
        <v>193</v>
      </c>
      <c r="B4693" s="8" t="s">
        <v>1217</v>
      </c>
      <c r="C4693" s="8" t="n">
        <v>3</v>
      </c>
      <c r="D4693" s="8" t="n">
        <v>61.5</v>
      </c>
      <c r="E4693" s="8" t="n">
        <v>0</v>
      </c>
      <c r="F4693" s="8" t="n">
        <v>0</v>
      </c>
    </row>
    <row r="4694" customFormat="false" ht="15" hidden="false" customHeight="true" outlineLevel="0" collapsed="false">
      <c r="A4694" s="8" t="s">
        <v>205</v>
      </c>
      <c r="B4694" s="8" t="s">
        <v>1217</v>
      </c>
      <c r="C4694" s="8" t="n">
        <v>5</v>
      </c>
      <c r="D4694" s="8" t="n">
        <v>102.5</v>
      </c>
      <c r="E4694" s="8" t="n">
        <v>0</v>
      </c>
      <c r="F4694" s="8" t="n">
        <v>0</v>
      </c>
    </row>
    <row r="4695" customFormat="false" ht="15" hidden="false" customHeight="true" outlineLevel="0" collapsed="false">
      <c r="A4695" s="8" t="s">
        <v>256</v>
      </c>
      <c r="B4695" s="8" t="s">
        <v>1217</v>
      </c>
      <c r="C4695" s="8" t="n">
        <v>8</v>
      </c>
      <c r="D4695" s="8" t="n">
        <v>164</v>
      </c>
      <c r="E4695" s="8" t="n">
        <v>0</v>
      </c>
      <c r="F4695" s="8" t="n">
        <v>0</v>
      </c>
    </row>
    <row r="4696" customFormat="false" ht="15" hidden="false" customHeight="true" outlineLevel="0" collapsed="false">
      <c r="A4696" s="8" t="s">
        <v>369</v>
      </c>
      <c r="B4696" s="8" t="s">
        <v>767</v>
      </c>
      <c r="C4696" s="8" t="n">
        <v>1</v>
      </c>
      <c r="D4696" s="8" t="n">
        <v>21</v>
      </c>
      <c r="E4696" s="8" t="n">
        <v>0</v>
      </c>
      <c r="F4696" s="8" t="n">
        <v>0</v>
      </c>
    </row>
    <row r="4697" customFormat="false" ht="15" hidden="false" customHeight="true" outlineLevel="0" collapsed="false">
      <c r="A4697" s="8" t="s">
        <v>306</v>
      </c>
      <c r="B4697" s="8" t="s">
        <v>1283</v>
      </c>
      <c r="C4697" s="8" t="n">
        <v>1</v>
      </c>
      <c r="D4697" s="8" t="n">
        <v>195.73</v>
      </c>
      <c r="E4697" s="8" t="n">
        <v>0</v>
      </c>
      <c r="F4697" s="8" t="n">
        <v>0</v>
      </c>
    </row>
    <row r="4698" customFormat="false" ht="15" hidden="false" customHeight="true" outlineLevel="0" collapsed="false">
      <c r="A4698" s="8" t="s">
        <v>257</v>
      </c>
      <c r="B4698" s="8" t="s">
        <v>1284</v>
      </c>
      <c r="C4698" s="8" t="n">
        <v>4</v>
      </c>
      <c r="D4698" s="8" t="n">
        <v>129.72</v>
      </c>
      <c r="E4698" s="8" t="n">
        <v>0</v>
      </c>
      <c r="F4698" s="8" t="n">
        <v>0</v>
      </c>
    </row>
    <row r="4699" customFormat="false" ht="15" hidden="false" customHeight="true" outlineLevel="0" collapsed="false">
      <c r="A4699" s="8" t="s">
        <v>178</v>
      </c>
      <c r="B4699" s="8" t="s">
        <v>1236</v>
      </c>
      <c r="C4699" s="8" t="n">
        <v>4</v>
      </c>
      <c r="D4699" s="8" t="n">
        <v>140</v>
      </c>
      <c r="E4699" s="8" t="n">
        <v>0</v>
      </c>
      <c r="F4699" s="8" t="n">
        <v>0</v>
      </c>
    </row>
    <row r="4700" customFormat="false" ht="15" hidden="false" customHeight="true" outlineLevel="0" collapsed="false">
      <c r="A4700" s="8" t="s">
        <v>176</v>
      </c>
      <c r="B4700" s="8" t="s">
        <v>1236</v>
      </c>
      <c r="C4700" s="8" t="n">
        <v>4</v>
      </c>
      <c r="D4700" s="8" t="n">
        <v>140</v>
      </c>
      <c r="E4700" s="8" t="n">
        <v>5</v>
      </c>
      <c r="F4700" s="8" t="n">
        <v>175</v>
      </c>
    </row>
    <row r="4701" customFormat="false" ht="15" hidden="false" customHeight="true" outlineLevel="0" collapsed="false">
      <c r="A4701" s="8" t="s">
        <v>224</v>
      </c>
      <c r="B4701" s="8" t="s">
        <v>1236</v>
      </c>
      <c r="C4701" s="8" t="n">
        <v>1</v>
      </c>
      <c r="D4701" s="8" t="n">
        <v>35</v>
      </c>
      <c r="E4701" s="8" t="n">
        <v>0</v>
      </c>
      <c r="F4701" s="8" t="n">
        <v>0</v>
      </c>
    </row>
    <row r="4702" customFormat="false" ht="15" hidden="false" customHeight="true" outlineLevel="0" collapsed="false">
      <c r="A4702" s="8" t="s">
        <v>240</v>
      </c>
      <c r="B4702" s="8" t="s">
        <v>769</v>
      </c>
      <c r="C4702" s="8" t="n">
        <v>4</v>
      </c>
      <c r="D4702" s="8" t="n">
        <v>68</v>
      </c>
      <c r="E4702" s="8" t="n">
        <v>1</v>
      </c>
      <c r="F4702" s="8" t="n">
        <v>17</v>
      </c>
    </row>
    <row r="4703" customFormat="false" ht="15" hidden="false" customHeight="true" outlineLevel="0" collapsed="false">
      <c r="A4703" s="8" t="s">
        <v>234</v>
      </c>
      <c r="B4703" s="8" t="s">
        <v>769</v>
      </c>
      <c r="C4703" s="8" t="n">
        <v>5</v>
      </c>
      <c r="D4703" s="8" t="n">
        <v>85</v>
      </c>
      <c r="E4703" s="8" t="n">
        <v>2</v>
      </c>
      <c r="F4703" s="8" t="n">
        <v>34</v>
      </c>
    </row>
    <row r="4704" customFormat="false" ht="15" hidden="false" customHeight="true" outlineLevel="0" collapsed="false">
      <c r="A4704" s="8" t="s">
        <v>300</v>
      </c>
      <c r="B4704" s="8" t="s">
        <v>769</v>
      </c>
      <c r="C4704" s="8" t="n">
        <v>2</v>
      </c>
      <c r="D4704" s="8" t="n">
        <v>34</v>
      </c>
      <c r="E4704" s="8" t="n">
        <v>1</v>
      </c>
      <c r="F4704" s="8" t="n">
        <v>17</v>
      </c>
    </row>
    <row r="4705" customFormat="false" ht="15" hidden="false" customHeight="true" outlineLevel="0" collapsed="false">
      <c r="A4705" s="8" t="s">
        <v>367</v>
      </c>
      <c r="B4705" s="8" t="s">
        <v>769</v>
      </c>
      <c r="C4705" s="8" t="n">
        <v>1</v>
      </c>
      <c r="D4705" s="8" t="n">
        <v>17</v>
      </c>
      <c r="E4705" s="8" t="n">
        <v>0</v>
      </c>
      <c r="F4705" s="8" t="n">
        <v>0</v>
      </c>
    </row>
    <row r="4706" customFormat="false" ht="15" hidden="false" customHeight="true" outlineLevel="0" collapsed="false">
      <c r="A4706" s="8" t="s">
        <v>182</v>
      </c>
      <c r="B4706" s="8" t="s">
        <v>799</v>
      </c>
      <c r="C4706" s="8" t="n">
        <v>24</v>
      </c>
      <c r="D4706" s="8" t="n">
        <v>480</v>
      </c>
      <c r="E4706" s="8" t="n">
        <v>0</v>
      </c>
      <c r="F4706" s="8" t="n">
        <v>0</v>
      </c>
    </row>
    <row r="4707" customFormat="false" ht="15" hidden="false" customHeight="true" outlineLevel="0" collapsed="false">
      <c r="A4707" s="8" t="s">
        <v>274</v>
      </c>
      <c r="B4707" s="8" t="s">
        <v>1219</v>
      </c>
      <c r="C4707" s="8" t="n">
        <v>4</v>
      </c>
      <c r="D4707" s="8" t="n">
        <v>34.92</v>
      </c>
      <c r="E4707" s="8" t="n">
        <v>0</v>
      </c>
      <c r="F4707" s="8" t="n">
        <v>0</v>
      </c>
    </row>
    <row r="4708" customFormat="false" ht="15" hidden="false" customHeight="true" outlineLevel="0" collapsed="false">
      <c r="A4708" s="8" t="s">
        <v>170</v>
      </c>
      <c r="B4708" s="8" t="s">
        <v>1220</v>
      </c>
      <c r="C4708" s="8" t="n">
        <v>6</v>
      </c>
      <c r="D4708" s="8" t="n">
        <v>88.8</v>
      </c>
      <c r="E4708" s="8" t="n">
        <v>6</v>
      </c>
      <c r="F4708" s="8" t="n">
        <v>88.8</v>
      </c>
    </row>
    <row r="4709" customFormat="false" ht="15" hidden="false" customHeight="true" outlineLevel="0" collapsed="false">
      <c r="A4709" s="8" t="s">
        <v>167</v>
      </c>
      <c r="B4709" s="8" t="s">
        <v>1238</v>
      </c>
      <c r="C4709" s="8" t="n">
        <v>3</v>
      </c>
      <c r="D4709" s="8" t="n">
        <v>40.2</v>
      </c>
      <c r="E4709" s="8" t="n">
        <v>0</v>
      </c>
      <c r="F4709" s="8" t="n">
        <v>0</v>
      </c>
    </row>
    <row r="4710" customFormat="false" ht="15" hidden="false" customHeight="true" outlineLevel="0" collapsed="false">
      <c r="A4710" s="8" t="s">
        <v>334</v>
      </c>
      <c r="B4710" s="8" t="s">
        <v>1276</v>
      </c>
      <c r="C4710" s="8" t="n">
        <v>1</v>
      </c>
      <c r="D4710" s="8" t="n">
        <v>16.2</v>
      </c>
      <c r="E4710" s="8" t="n">
        <v>1</v>
      </c>
      <c r="F4710" s="8" t="n">
        <v>16.2</v>
      </c>
    </row>
    <row r="4711" customFormat="false" ht="15" hidden="false" customHeight="true" outlineLevel="0" collapsed="false">
      <c r="A4711" s="8" t="s">
        <v>294</v>
      </c>
      <c r="B4711" s="8" t="s">
        <v>1289</v>
      </c>
      <c r="C4711" s="8" t="n">
        <v>2</v>
      </c>
      <c r="D4711" s="8" t="n">
        <v>28.9</v>
      </c>
      <c r="E4711" s="8" t="n">
        <v>0</v>
      </c>
      <c r="F4711" s="8" t="n">
        <v>0</v>
      </c>
    </row>
    <row r="4712" customFormat="false" ht="15" hidden="false" customHeight="true" outlineLevel="0" collapsed="false">
      <c r="A4712" s="8" t="s">
        <v>315</v>
      </c>
      <c r="B4712" s="8" t="s">
        <v>1266</v>
      </c>
      <c r="C4712" s="8" t="n">
        <v>2</v>
      </c>
      <c r="D4712" s="8" t="n">
        <v>31.82</v>
      </c>
      <c r="E4712" s="8" t="n">
        <v>0</v>
      </c>
      <c r="F4712" s="8" t="n">
        <v>0</v>
      </c>
    </row>
    <row r="4713" customFormat="false" ht="15" hidden="false" customHeight="true" outlineLevel="0" collapsed="false">
      <c r="A4713" s="8" t="s">
        <v>264</v>
      </c>
      <c r="B4713" s="8" t="s">
        <v>1221</v>
      </c>
      <c r="C4713" s="8" t="n">
        <v>0</v>
      </c>
      <c r="D4713" s="8" t="n">
        <v>0</v>
      </c>
      <c r="E4713" s="8" t="n">
        <v>3</v>
      </c>
      <c r="F4713" s="8" t="n">
        <v>17.43</v>
      </c>
    </row>
    <row r="4714" customFormat="false" ht="15" hidden="false" customHeight="true" outlineLevel="0" collapsed="false">
      <c r="A4714" s="8" t="s">
        <v>252</v>
      </c>
      <c r="B4714" s="8" t="s">
        <v>1177</v>
      </c>
      <c r="C4714" s="8" t="n">
        <v>7</v>
      </c>
      <c r="D4714" s="8" t="n">
        <v>116.2</v>
      </c>
      <c r="E4714" s="8" t="n">
        <v>2</v>
      </c>
      <c r="F4714" s="8" t="n">
        <v>33.2</v>
      </c>
    </row>
    <row r="4715" customFormat="false" ht="15" hidden="false" customHeight="true" outlineLevel="0" collapsed="false">
      <c r="A4715" s="8" t="s">
        <v>203</v>
      </c>
      <c r="B4715" s="8" t="s">
        <v>1177</v>
      </c>
      <c r="C4715" s="8" t="n">
        <v>7</v>
      </c>
      <c r="D4715" s="8" t="n">
        <v>129.5</v>
      </c>
      <c r="E4715" s="8" t="n">
        <v>10</v>
      </c>
      <c r="F4715" s="8" t="n">
        <v>185</v>
      </c>
    </row>
    <row r="4716" customFormat="false" ht="15" hidden="false" customHeight="true" outlineLevel="0" collapsed="false">
      <c r="A4716" s="8" t="s">
        <v>211</v>
      </c>
      <c r="B4716" s="8" t="s">
        <v>1250</v>
      </c>
      <c r="C4716" s="8" t="n">
        <v>3</v>
      </c>
      <c r="D4716" s="8" t="n">
        <v>75</v>
      </c>
      <c r="E4716" s="8" t="n">
        <v>2</v>
      </c>
      <c r="F4716" s="8" t="n">
        <v>50</v>
      </c>
    </row>
    <row r="4717" customFormat="false" ht="15" hidden="false" customHeight="true" outlineLevel="0" collapsed="false">
      <c r="A4717" s="8" t="s">
        <v>248</v>
      </c>
      <c r="B4717" s="8" t="s">
        <v>1242</v>
      </c>
      <c r="C4717" s="8" t="n">
        <v>3</v>
      </c>
      <c r="D4717" s="8" t="n">
        <v>63</v>
      </c>
      <c r="E4717" s="8" t="n">
        <v>8</v>
      </c>
      <c r="F4717" s="8" t="n">
        <v>168</v>
      </c>
    </row>
    <row r="4718" customFormat="false" ht="15" hidden="false" customHeight="true" outlineLevel="0" collapsed="false">
      <c r="A4718" s="8" t="s">
        <v>226</v>
      </c>
      <c r="B4718" s="8" t="s">
        <v>566</v>
      </c>
      <c r="C4718" s="8" t="n">
        <v>7</v>
      </c>
      <c r="D4718" s="8" t="n">
        <v>145.6</v>
      </c>
      <c r="E4718" s="8" t="n">
        <v>4</v>
      </c>
      <c r="F4718" s="8" t="n">
        <v>83.2</v>
      </c>
    </row>
    <row r="4719" customFormat="false" ht="15" hidden="false" customHeight="true" outlineLevel="0" collapsed="false">
      <c r="A4719" s="8" t="s">
        <v>208</v>
      </c>
      <c r="B4719" s="8" t="s">
        <v>1179</v>
      </c>
      <c r="C4719" s="8" t="n">
        <v>1</v>
      </c>
      <c r="D4719" s="8" t="n">
        <v>72.34</v>
      </c>
      <c r="E4719" s="8" t="n">
        <v>0</v>
      </c>
      <c r="F4719" s="8" t="n">
        <v>0</v>
      </c>
    </row>
    <row r="4720" customFormat="false" ht="15" hidden="false" customHeight="true" outlineLevel="0" collapsed="false">
      <c r="A4720" s="8" t="s">
        <v>191</v>
      </c>
      <c r="B4720" s="8" t="s">
        <v>1179</v>
      </c>
      <c r="C4720" s="8" t="n">
        <v>2</v>
      </c>
      <c r="D4720" s="8" t="n">
        <v>144.68</v>
      </c>
      <c r="E4720" s="8" t="n">
        <v>0</v>
      </c>
      <c r="F4720" s="8" t="n">
        <v>0</v>
      </c>
    </row>
    <row r="4721" customFormat="false" ht="15" hidden="false" customHeight="true" outlineLevel="0" collapsed="false">
      <c r="A4721" s="8" t="s">
        <v>327</v>
      </c>
      <c r="B4721" s="8" t="s">
        <v>1282</v>
      </c>
      <c r="C4721" s="8" t="n">
        <v>0</v>
      </c>
      <c r="D4721" s="8" t="n">
        <v>0</v>
      </c>
      <c r="E4721" s="8" t="n">
        <v>2</v>
      </c>
      <c r="F4721" s="8" t="n">
        <v>214.18</v>
      </c>
    </row>
    <row r="4722" customFormat="false" ht="15" hidden="false" customHeight="true" outlineLevel="0" collapsed="false">
      <c r="A4722" s="8" t="s">
        <v>216</v>
      </c>
      <c r="B4722" s="8" t="s">
        <v>1223</v>
      </c>
      <c r="C4722" s="8" t="n">
        <v>6</v>
      </c>
      <c r="D4722" s="8" t="n">
        <v>466.8</v>
      </c>
      <c r="E4722" s="8" t="n">
        <v>0</v>
      </c>
      <c r="F4722" s="8" t="n">
        <v>0</v>
      </c>
    </row>
    <row r="4723" customFormat="false" ht="15" hidden="false" customHeight="true" outlineLevel="0" collapsed="false">
      <c r="A4723" s="8" t="s">
        <v>190</v>
      </c>
      <c r="B4723" s="8" t="s">
        <v>1224</v>
      </c>
      <c r="C4723" s="8" t="n">
        <v>2</v>
      </c>
      <c r="D4723" s="8" t="n">
        <v>48.86</v>
      </c>
      <c r="E4723" s="8" t="n">
        <v>0</v>
      </c>
      <c r="F4723" s="8" t="n">
        <v>0</v>
      </c>
    </row>
    <row r="4724" customFormat="false" ht="15" hidden="false" customHeight="true" outlineLevel="0" collapsed="false">
      <c r="A4724" s="8" t="s">
        <v>183</v>
      </c>
      <c r="B4724" s="8" t="s">
        <v>1224</v>
      </c>
      <c r="C4724" s="8" t="n">
        <v>2</v>
      </c>
      <c r="D4724" s="8" t="n">
        <v>48.86</v>
      </c>
      <c r="E4724" s="8" t="n">
        <v>2</v>
      </c>
      <c r="F4724" s="8" t="n">
        <v>48.86</v>
      </c>
    </row>
    <row r="4725" customFormat="false" ht="15" hidden="false" customHeight="true" outlineLevel="0" collapsed="false">
      <c r="A4725" s="8" t="s">
        <v>218</v>
      </c>
      <c r="B4725" s="8" t="s">
        <v>1224</v>
      </c>
      <c r="C4725" s="8" t="n">
        <v>4</v>
      </c>
      <c r="D4725" s="8" t="n">
        <v>97.72</v>
      </c>
      <c r="E4725" s="8" t="n">
        <v>0</v>
      </c>
      <c r="F4725" s="8" t="n">
        <v>0</v>
      </c>
    </row>
    <row r="4726" customFormat="false" ht="15" hidden="false" customHeight="true" outlineLevel="0" collapsed="false">
      <c r="A4726" s="8" t="s">
        <v>166</v>
      </c>
      <c r="B4726" s="8" t="s">
        <v>1211</v>
      </c>
      <c r="C4726" s="8" t="n">
        <v>4</v>
      </c>
      <c r="D4726" s="8" t="n">
        <v>253.08</v>
      </c>
      <c r="E4726" s="8" t="n">
        <v>0</v>
      </c>
      <c r="F4726" s="8" t="n">
        <v>0</v>
      </c>
    </row>
    <row r="4727" customFormat="false" ht="15" hidden="false" customHeight="true" outlineLevel="0" collapsed="false">
      <c r="A4727" s="8" t="s">
        <v>307</v>
      </c>
      <c r="B4727" s="8" t="s">
        <v>1252</v>
      </c>
      <c r="C4727" s="8" t="n">
        <v>7</v>
      </c>
      <c r="D4727" s="8" t="n">
        <v>99.96</v>
      </c>
      <c r="E4727" s="8" t="n">
        <v>0</v>
      </c>
      <c r="F4727" s="8" t="n">
        <v>0</v>
      </c>
    </row>
    <row r="4728" customFormat="false" ht="15" hidden="false" customHeight="true" outlineLevel="0" collapsed="false">
      <c r="A4728" s="8" t="s">
        <v>188</v>
      </c>
      <c r="B4728" s="8" t="s">
        <v>1225</v>
      </c>
      <c r="C4728" s="8" t="n">
        <v>2</v>
      </c>
      <c r="D4728" s="8" t="n">
        <v>57.86</v>
      </c>
      <c r="E4728" s="8" t="n">
        <v>0</v>
      </c>
      <c r="F4728" s="8" t="n">
        <v>0</v>
      </c>
    </row>
    <row r="4729" customFormat="false" ht="15" hidden="false" customHeight="true" outlineLevel="0" collapsed="false">
      <c r="A4729" s="8" t="s">
        <v>186</v>
      </c>
      <c r="B4729" s="8" t="s">
        <v>1225</v>
      </c>
      <c r="C4729" s="8" t="n">
        <v>4</v>
      </c>
      <c r="D4729" s="8" t="n">
        <v>115.72</v>
      </c>
      <c r="E4729" s="8" t="n">
        <v>0</v>
      </c>
      <c r="F4729" s="8" t="n">
        <v>0</v>
      </c>
    </row>
    <row r="4730" customFormat="false" ht="15" hidden="false" customHeight="true" outlineLevel="0" collapsed="false">
      <c r="A4730" s="8" t="s">
        <v>239</v>
      </c>
      <c r="B4730" s="8" t="s">
        <v>1225</v>
      </c>
      <c r="C4730" s="8" t="n">
        <v>2</v>
      </c>
      <c r="D4730" s="8" t="n">
        <v>57.86</v>
      </c>
      <c r="E4730" s="8" t="n">
        <v>0</v>
      </c>
      <c r="F4730" s="8" t="n">
        <v>0</v>
      </c>
    </row>
    <row r="4731" customFormat="false" ht="15" hidden="false" customHeight="true" outlineLevel="0" collapsed="false">
      <c r="A4731" s="8" t="s">
        <v>210</v>
      </c>
      <c r="B4731" s="8" t="s">
        <v>1225</v>
      </c>
      <c r="C4731" s="8" t="n">
        <v>6</v>
      </c>
      <c r="D4731" s="8" t="n">
        <v>173.58</v>
      </c>
      <c r="E4731" s="8" t="n">
        <v>0</v>
      </c>
      <c r="F4731" s="8" t="n">
        <v>0</v>
      </c>
    </row>
    <row r="4732" customFormat="false" ht="15" hidden="false" customHeight="true" outlineLevel="0" collapsed="false">
      <c r="A4732" s="8" t="s">
        <v>241</v>
      </c>
      <c r="B4732" s="8" t="s">
        <v>1227</v>
      </c>
      <c r="C4732" s="8" t="n">
        <v>2</v>
      </c>
      <c r="D4732" s="8" t="n">
        <v>34</v>
      </c>
      <c r="E4732" s="8" t="n">
        <v>0</v>
      </c>
      <c r="F4732" s="8" t="n">
        <v>0</v>
      </c>
    </row>
    <row r="4733" customFormat="false" ht="15" hidden="false" customHeight="true" outlineLevel="0" collapsed="false">
      <c r="A4733" s="8" t="s">
        <v>219</v>
      </c>
      <c r="B4733" s="8" t="s">
        <v>1227</v>
      </c>
      <c r="C4733" s="8" t="n">
        <v>5</v>
      </c>
      <c r="D4733" s="8" t="n">
        <v>85</v>
      </c>
      <c r="E4733" s="8" t="n">
        <v>0</v>
      </c>
      <c r="F4733" s="8" t="n">
        <v>0</v>
      </c>
    </row>
    <row r="4734" customFormat="false" ht="15" hidden="false" customHeight="true" outlineLevel="0" collapsed="false">
      <c r="A4734" s="8" t="s">
        <v>223</v>
      </c>
      <c r="B4734" s="8" t="s">
        <v>1227</v>
      </c>
      <c r="C4734" s="8" t="n">
        <v>4</v>
      </c>
      <c r="D4734" s="8" t="n">
        <v>68</v>
      </c>
      <c r="E4734" s="8" t="n">
        <v>0</v>
      </c>
      <c r="F4734" s="8" t="n">
        <v>0</v>
      </c>
    </row>
    <row r="4735" customFormat="false" ht="15" hidden="false" customHeight="true" outlineLevel="0" collapsed="false">
      <c r="A4735" s="8" t="s">
        <v>368</v>
      </c>
      <c r="B4735" s="8" t="s">
        <v>1227</v>
      </c>
      <c r="C4735" s="8" t="n">
        <v>1</v>
      </c>
      <c r="D4735" s="8" t="n">
        <v>17</v>
      </c>
      <c r="E4735" s="8" t="n">
        <v>0</v>
      </c>
      <c r="F4735" s="8" t="n">
        <v>0</v>
      </c>
    </row>
    <row r="4736" customFormat="false" ht="15" hidden="false" customHeight="true" outlineLevel="0" collapsed="false">
      <c r="A4736" s="8" t="s">
        <v>287</v>
      </c>
      <c r="B4736" s="8" t="s">
        <v>1227</v>
      </c>
      <c r="C4736" s="8" t="n">
        <v>4</v>
      </c>
      <c r="D4736" s="8" t="n">
        <v>68</v>
      </c>
      <c r="E4736" s="8" t="n">
        <v>0</v>
      </c>
      <c r="F4736" s="8" t="n">
        <v>0</v>
      </c>
    </row>
    <row r="4737" customFormat="false" ht="15" hidden="false" customHeight="true" outlineLevel="0" collapsed="false">
      <c r="A4737" s="8" t="s">
        <v>237</v>
      </c>
      <c r="B4737" s="8" t="s">
        <v>1259</v>
      </c>
      <c r="C4737" s="8" t="n">
        <v>1</v>
      </c>
      <c r="D4737" s="8" t="n">
        <v>18.45</v>
      </c>
      <c r="E4737" s="8" t="n">
        <v>0</v>
      </c>
      <c r="F4737" s="8" t="n">
        <v>0</v>
      </c>
    </row>
    <row r="4738" customFormat="false" ht="15" hidden="false" customHeight="true" outlineLevel="0" collapsed="false">
      <c r="A4738" s="8" t="s">
        <v>271</v>
      </c>
      <c r="B4738" s="8" t="s">
        <v>1260</v>
      </c>
      <c r="C4738" s="8" t="n">
        <v>5</v>
      </c>
      <c r="D4738" s="8" t="n">
        <v>117</v>
      </c>
      <c r="E4738" s="8" t="n">
        <v>0</v>
      </c>
      <c r="F4738" s="8" t="n">
        <v>0</v>
      </c>
    </row>
    <row r="4739" customFormat="false" ht="15" hidden="false" customHeight="true" outlineLevel="0" collapsed="false">
      <c r="A4739" s="8" t="s">
        <v>202</v>
      </c>
      <c r="B4739" s="8" t="s">
        <v>1212</v>
      </c>
      <c r="C4739" s="8" t="n">
        <v>6</v>
      </c>
      <c r="D4739" s="8" t="n">
        <v>57</v>
      </c>
      <c r="E4739" s="8" t="n">
        <v>0</v>
      </c>
      <c r="F4739" s="8" t="n">
        <v>0</v>
      </c>
    </row>
    <row r="4740" customFormat="false" ht="15" hidden="false" customHeight="true" outlineLevel="0" collapsed="false">
      <c r="A4740" s="8" t="s">
        <v>281</v>
      </c>
      <c r="B4740" s="8" t="s">
        <v>1254</v>
      </c>
      <c r="C4740" s="8" t="n">
        <v>3</v>
      </c>
      <c r="D4740" s="8" t="n">
        <v>41.52</v>
      </c>
      <c r="E4740" s="8" t="n">
        <v>0</v>
      </c>
      <c r="F4740" s="8" t="n">
        <v>0</v>
      </c>
    </row>
    <row r="4741" customFormat="false" ht="15" hidden="false" customHeight="true" outlineLevel="0" collapsed="false">
      <c r="A4741" s="8" t="s">
        <v>232</v>
      </c>
      <c r="B4741" s="8" t="s">
        <v>1233</v>
      </c>
      <c r="C4741" s="8" t="n">
        <v>2</v>
      </c>
      <c r="D4741" s="8" t="n">
        <v>32.4</v>
      </c>
      <c r="E4741" s="8" t="n">
        <v>2</v>
      </c>
      <c r="F4741" s="8" t="n">
        <v>32.4</v>
      </c>
    </row>
    <row r="4742" customFormat="false" ht="15" hidden="false" customHeight="true" outlineLevel="0" collapsed="false">
      <c r="A4742" s="8" t="s">
        <v>215</v>
      </c>
      <c r="B4742" s="8" t="s">
        <v>1233</v>
      </c>
      <c r="C4742" s="8" t="n">
        <v>7</v>
      </c>
      <c r="D4742" s="8" t="n">
        <v>124.74</v>
      </c>
      <c r="E4742" s="8" t="n">
        <v>0</v>
      </c>
      <c r="F4742" s="8" t="n">
        <v>0</v>
      </c>
    </row>
    <row r="4743" customFormat="false" ht="15" hidden="false" customHeight="true" outlineLevel="0" collapsed="false">
      <c r="A4743" s="8" t="s">
        <v>193</v>
      </c>
      <c r="B4743" s="8" t="s">
        <v>1217</v>
      </c>
      <c r="C4743" s="8" t="n">
        <v>2</v>
      </c>
      <c r="D4743" s="8" t="n">
        <v>41</v>
      </c>
      <c r="E4743" s="8" t="n">
        <v>0</v>
      </c>
      <c r="F4743" s="8" t="n">
        <v>0</v>
      </c>
    </row>
    <row r="4744" customFormat="false" ht="15" hidden="false" customHeight="true" outlineLevel="0" collapsed="false">
      <c r="A4744" s="8" t="s">
        <v>205</v>
      </c>
      <c r="B4744" s="8" t="s">
        <v>1217</v>
      </c>
      <c r="C4744" s="8" t="n">
        <v>2</v>
      </c>
      <c r="D4744" s="8" t="n">
        <v>41</v>
      </c>
      <c r="E4744" s="8" t="n">
        <v>0</v>
      </c>
      <c r="F4744" s="8" t="n">
        <v>0</v>
      </c>
    </row>
    <row r="4745" customFormat="false" ht="15" hidden="false" customHeight="true" outlineLevel="0" collapsed="false">
      <c r="A4745" s="8" t="s">
        <v>296</v>
      </c>
      <c r="B4745" s="8" t="s">
        <v>1295</v>
      </c>
      <c r="C4745" s="8" t="n">
        <v>1</v>
      </c>
      <c r="D4745" s="8" t="n">
        <v>129.81</v>
      </c>
      <c r="E4745" s="8" t="n">
        <v>0</v>
      </c>
      <c r="F4745" s="8" t="n">
        <v>0</v>
      </c>
    </row>
    <row r="4746" customFormat="false" ht="15" hidden="false" customHeight="true" outlineLevel="0" collapsed="false">
      <c r="A4746" s="8" t="s">
        <v>260</v>
      </c>
      <c r="B4746" s="8" t="s">
        <v>1285</v>
      </c>
      <c r="C4746" s="8" t="n">
        <v>1</v>
      </c>
      <c r="D4746" s="8" t="n">
        <v>136.3</v>
      </c>
      <c r="E4746" s="8" t="n">
        <v>0</v>
      </c>
      <c r="F4746" s="8" t="n">
        <v>0</v>
      </c>
    </row>
    <row r="4747" customFormat="false" ht="15" hidden="false" customHeight="true" outlineLevel="0" collapsed="false">
      <c r="A4747" s="8" t="s">
        <v>228</v>
      </c>
      <c r="B4747" s="8" t="s">
        <v>1275</v>
      </c>
      <c r="C4747" s="8" t="n">
        <v>30</v>
      </c>
      <c r="D4747" s="8" t="n">
        <v>427.5</v>
      </c>
      <c r="E4747" s="8" t="n">
        <v>0</v>
      </c>
      <c r="F4747" s="8" t="n">
        <v>0</v>
      </c>
    </row>
    <row r="4748" customFormat="false" ht="15" hidden="false" customHeight="true" outlineLevel="0" collapsed="false">
      <c r="A4748" s="8" t="s">
        <v>247</v>
      </c>
      <c r="B4748" s="8" t="s">
        <v>769</v>
      </c>
      <c r="C4748" s="8" t="n">
        <v>2</v>
      </c>
      <c r="D4748" s="8" t="n">
        <v>34</v>
      </c>
      <c r="E4748" s="8" t="n">
        <v>0</v>
      </c>
      <c r="F4748" s="8" t="n">
        <v>0</v>
      </c>
    </row>
    <row r="4749" customFormat="false" ht="15" hidden="false" customHeight="true" outlineLevel="0" collapsed="false">
      <c r="A4749" s="8" t="s">
        <v>167</v>
      </c>
      <c r="B4749" s="8" t="s">
        <v>1238</v>
      </c>
      <c r="C4749" s="8" t="n">
        <v>36</v>
      </c>
      <c r="D4749" s="8" t="n">
        <v>482.4</v>
      </c>
      <c r="E4749" s="8" t="n">
        <v>0</v>
      </c>
      <c r="F4749" s="8" t="n">
        <v>0</v>
      </c>
    </row>
    <row r="4750" customFormat="false" ht="15" hidden="false" customHeight="true" outlineLevel="0" collapsed="false">
      <c r="A4750" s="8" t="s">
        <v>175</v>
      </c>
      <c r="B4750" s="8" t="s">
        <v>1244</v>
      </c>
      <c r="C4750" s="8" t="n">
        <v>1</v>
      </c>
      <c r="D4750" s="8" t="n">
        <v>175.5</v>
      </c>
      <c r="E4750" s="8" t="n">
        <v>0</v>
      </c>
      <c r="F4750" s="8" t="n">
        <v>0</v>
      </c>
    </row>
    <row r="4751" customFormat="false" ht="15" hidden="false" customHeight="true" outlineLevel="0" collapsed="false">
      <c r="A4751" s="8" t="s">
        <v>190</v>
      </c>
      <c r="B4751" s="8" t="s">
        <v>1224</v>
      </c>
      <c r="C4751" s="8" t="n">
        <v>1</v>
      </c>
      <c r="D4751" s="8" t="n">
        <v>24.43</v>
      </c>
      <c r="E4751" s="8" t="n">
        <v>2</v>
      </c>
      <c r="F4751" s="8" t="n">
        <v>48.86</v>
      </c>
    </row>
    <row r="4752" customFormat="false" ht="15" hidden="false" customHeight="true" outlineLevel="0" collapsed="false">
      <c r="A4752" s="8" t="s">
        <v>183</v>
      </c>
      <c r="B4752" s="8" t="s">
        <v>1224</v>
      </c>
      <c r="C4752" s="8" t="n">
        <v>2</v>
      </c>
      <c r="D4752" s="8" t="n">
        <v>48.86</v>
      </c>
      <c r="E4752" s="8" t="n">
        <v>0</v>
      </c>
      <c r="F4752" s="8" t="n">
        <v>0</v>
      </c>
    </row>
    <row r="4753" customFormat="false" ht="15" hidden="false" customHeight="true" outlineLevel="0" collapsed="false">
      <c r="A4753" s="8" t="s">
        <v>231</v>
      </c>
      <c r="B4753" s="8" t="s">
        <v>1224</v>
      </c>
      <c r="C4753" s="8" t="n">
        <v>0</v>
      </c>
      <c r="D4753" s="8" t="n">
        <v>0</v>
      </c>
      <c r="E4753" s="8" t="n">
        <v>2</v>
      </c>
      <c r="F4753" s="8" t="n">
        <v>48.86</v>
      </c>
    </row>
    <row r="4754" customFormat="false" ht="15" hidden="false" customHeight="true" outlineLevel="0" collapsed="false">
      <c r="A4754" s="8" t="s">
        <v>161</v>
      </c>
      <c r="B4754" s="8" t="s">
        <v>1208</v>
      </c>
      <c r="C4754" s="8" t="n">
        <v>2</v>
      </c>
      <c r="D4754" s="8" t="n">
        <v>91</v>
      </c>
      <c r="E4754" s="8" t="n">
        <v>0</v>
      </c>
      <c r="F4754" s="8" t="n">
        <v>0</v>
      </c>
    </row>
    <row r="4755" customFormat="false" ht="15" hidden="false" customHeight="true" outlineLevel="0" collapsed="false">
      <c r="A4755" s="8" t="s">
        <v>162</v>
      </c>
      <c r="B4755" s="8" t="s">
        <v>1209</v>
      </c>
      <c r="C4755" s="8" t="n">
        <v>1</v>
      </c>
      <c r="D4755" s="8" t="n">
        <v>77.8</v>
      </c>
      <c r="E4755" s="8" t="n">
        <v>0</v>
      </c>
      <c r="F4755" s="8" t="n">
        <v>0</v>
      </c>
    </row>
    <row r="4756" customFormat="false" ht="15" hidden="false" customHeight="true" outlineLevel="0" collapsed="false">
      <c r="A4756" s="8" t="s">
        <v>219</v>
      </c>
      <c r="B4756" s="8" t="s">
        <v>1227</v>
      </c>
      <c r="C4756" s="8" t="n">
        <v>0</v>
      </c>
      <c r="D4756" s="8" t="n">
        <v>0</v>
      </c>
      <c r="E4756" s="8" t="n">
        <v>1</v>
      </c>
      <c r="F4756" s="8" t="n">
        <v>17</v>
      </c>
    </row>
    <row r="4757" customFormat="false" ht="15" hidden="false" customHeight="true" outlineLevel="0" collapsed="false">
      <c r="A4757" s="8" t="s">
        <v>223</v>
      </c>
      <c r="B4757" s="8" t="s">
        <v>1227</v>
      </c>
      <c r="C4757" s="8" t="n">
        <v>0</v>
      </c>
      <c r="D4757" s="8" t="n">
        <v>0</v>
      </c>
      <c r="E4757" s="8" t="n">
        <v>1</v>
      </c>
      <c r="F4757" s="8" t="n">
        <v>17</v>
      </c>
    </row>
    <row r="4758" customFormat="false" ht="15" hidden="false" customHeight="true" outlineLevel="0" collapsed="false">
      <c r="A4758" s="8" t="s">
        <v>340</v>
      </c>
      <c r="B4758" s="8" t="s">
        <v>1267</v>
      </c>
      <c r="C4758" s="8" t="n">
        <v>1</v>
      </c>
      <c r="D4758" s="8" t="n">
        <v>128.71</v>
      </c>
      <c r="E4758" s="8" t="n">
        <v>0</v>
      </c>
      <c r="F4758" s="8" t="n">
        <v>0</v>
      </c>
    </row>
    <row r="4759" customFormat="false" ht="15" hidden="false" customHeight="true" outlineLevel="0" collapsed="false">
      <c r="A4759" s="8" t="s">
        <v>163</v>
      </c>
      <c r="B4759" s="8" t="s">
        <v>897</v>
      </c>
      <c r="C4759" s="8" t="n">
        <v>5</v>
      </c>
      <c r="D4759" s="8" t="n">
        <v>325</v>
      </c>
      <c r="E4759" s="8" t="n">
        <v>3</v>
      </c>
      <c r="F4759" s="8" t="n">
        <v>195</v>
      </c>
    </row>
    <row r="4760" customFormat="false" ht="15" hidden="false" customHeight="true" outlineLevel="0" collapsed="false">
      <c r="A4760" s="8" t="s">
        <v>290</v>
      </c>
      <c r="B4760" s="8" t="s">
        <v>897</v>
      </c>
      <c r="C4760" s="8" t="n">
        <v>2</v>
      </c>
      <c r="D4760" s="8" t="n">
        <v>130</v>
      </c>
      <c r="E4760" s="8" t="n">
        <v>0</v>
      </c>
      <c r="F4760" s="8" t="n">
        <v>0</v>
      </c>
    </row>
    <row r="4761" customFormat="false" ht="15" hidden="false" customHeight="true" outlineLevel="0" collapsed="false">
      <c r="A4761" s="8" t="s">
        <v>165</v>
      </c>
      <c r="B4761" s="8" t="s">
        <v>897</v>
      </c>
      <c r="C4761" s="8" t="n">
        <v>3</v>
      </c>
      <c r="D4761" s="8" t="n">
        <v>195</v>
      </c>
      <c r="E4761" s="8" t="n">
        <v>0</v>
      </c>
      <c r="F4761" s="8" t="n">
        <v>0</v>
      </c>
    </row>
    <row r="4762" customFormat="false" ht="15" hidden="false" customHeight="true" outlineLevel="0" collapsed="false">
      <c r="A4762" s="8" t="s">
        <v>216</v>
      </c>
      <c r="B4762" s="8" t="s">
        <v>1223</v>
      </c>
      <c r="C4762" s="8" t="n">
        <v>2</v>
      </c>
      <c r="D4762" s="8" t="n">
        <v>155.6</v>
      </c>
      <c r="E4762" s="8" t="n">
        <v>0</v>
      </c>
      <c r="F4762" s="8" t="n">
        <v>0</v>
      </c>
    </row>
    <row r="4763" customFormat="false" ht="15" hidden="false" customHeight="true" outlineLevel="0" collapsed="false">
      <c r="A4763" s="8" t="s">
        <v>236</v>
      </c>
      <c r="B4763" s="8" t="s">
        <v>1223</v>
      </c>
      <c r="C4763" s="8" t="n">
        <v>2</v>
      </c>
      <c r="D4763" s="8" t="n">
        <v>155.6</v>
      </c>
      <c r="E4763" s="8" t="n">
        <v>0</v>
      </c>
      <c r="F4763" s="8" t="n">
        <v>0</v>
      </c>
    </row>
    <row r="4764" customFormat="false" ht="15" hidden="false" customHeight="true" outlineLevel="0" collapsed="false">
      <c r="A4764" s="8" t="s">
        <v>190</v>
      </c>
      <c r="B4764" s="8" t="s">
        <v>1224</v>
      </c>
      <c r="C4764" s="8" t="n">
        <v>0</v>
      </c>
      <c r="D4764" s="8" t="n">
        <v>0</v>
      </c>
      <c r="E4764" s="8" t="n">
        <v>2</v>
      </c>
      <c r="F4764" s="8" t="n">
        <v>48.86</v>
      </c>
    </row>
    <row r="4765" customFormat="false" ht="15" hidden="false" customHeight="true" outlineLevel="0" collapsed="false">
      <c r="A4765" s="8" t="s">
        <v>218</v>
      </c>
      <c r="B4765" s="8" t="s">
        <v>1224</v>
      </c>
      <c r="C4765" s="8" t="n">
        <v>3</v>
      </c>
      <c r="D4765" s="8" t="n">
        <v>73.29</v>
      </c>
      <c r="E4765" s="8" t="n">
        <v>0</v>
      </c>
      <c r="F4765" s="8" t="n">
        <v>0</v>
      </c>
    </row>
    <row r="4766" customFormat="false" ht="15" hidden="false" customHeight="true" outlineLevel="0" collapsed="false">
      <c r="A4766" s="8" t="s">
        <v>231</v>
      </c>
      <c r="B4766" s="8" t="s">
        <v>1224</v>
      </c>
      <c r="C4766" s="8" t="n">
        <v>3</v>
      </c>
      <c r="D4766" s="8" t="n">
        <v>73.29</v>
      </c>
      <c r="E4766" s="8" t="n">
        <v>0</v>
      </c>
      <c r="F4766" s="8" t="n">
        <v>0</v>
      </c>
    </row>
    <row r="4767" customFormat="false" ht="15" hidden="false" customHeight="true" outlineLevel="0" collapsed="false">
      <c r="A4767" s="8" t="s">
        <v>171</v>
      </c>
      <c r="B4767" s="8" t="s">
        <v>1210</v>
      </c>
      <c r="C4767" s="8" t="n">
        <v>2</v>
      </c>
      <c r="D4767" s="8" t="n">
        <v>94.46</v>
      </c>
      <c r="E4767" s="8" t="n">
        <v>0</v>
      </c>
      <c r="F4767" s="8" t="n">
        <v>0</v>
      </c>
    </row>
    <row r="4768" customFormat="false" ht="15" hidden="false" customHeight="true" outlineLevel="0" collapsed="false">
      <c r="A4768" s="8" t="s">
        <v>164</v>
      </c>
      <c r="B4768" s="8" t="s">
        <v>1211</v>
      </c>
      <c r="C4768" s="8" t="n">
        <v>1</v>
      </c>
      <c r="D4768" s="8" t="n">
        <v>63.27</v>
      </c>
      <c r="E4768" s="8" t="n">
        <v>1</v>
      </c>
      <c r="F4768" s="8" t="n">
        <v>63.27</v>
      </c>
    </row>
    <row r="4769" customFormat="false" ht="15" hidden="false" customHeight="true" outlineLevel="0" collapsed="false">
      <c r="A4769" s="8" t="s">
        <v>188</v>
      </c>
      <c r="B4769" s="8" t="s">
        <v>1225</v>
      </c>
      <c r="C4769" s="8" t="n">
        <v>2</v>
      </c>
      <c r="D4769" s="8" t="n">
        <v>57.86</v>
      </c>
      <c r="E4769" s="8" t="n">
        <v>3</v>
      </c>
      <c r="F4769" s="8" t="n">
        <v>86.79</v>
      </c>
    </row>
    <row r="4770" customFormat="false" ht="15" hidden="false" customHeight="true" outlineLevel="0" collapsed="false">
      <c r="A4770" s="8" t="s">
        <v>186</v>
      </c>
      <c r="B4770" s="8" t="s">
        <v>1225</v>
      </c>
      <c r="C4770" s="8" t="n">
        <v>5</v>
      </c>
      <c r="D4770" s="8" t="n">
        <v>144.65</v>
      </c>
      <c r="E4770" s="8" t="n">
        <v>5</v>
      </c>
      <c r="F4770" s="8" t="n">
        <v>144.65</v>
      </c>
    </row>
    <row r="4771" customFormat="false" ht="15" hidden="false" customHeight="true" outlineLevel="0" collapsed="false">
      <c r="A4771" s="8" t="s">
        <v>239</v>
      </c>
      <c r="B4771" s="8" t="s">
        <v>1225</v>
      </c>
      <c r="C4771" s="8" t="n">
        <v>5</v>
      </c>
      <c r="D4771" s="8" t="n">
        <v>144.65</v>
      </c>
      <c r="E4771" s="8" t="n">
        <v>0</v>
      </c>
      <c r="F4771" s="8" t="n">
        <v>0</v>
      </c>
    </row>
    <row r="4772" customFormat="false" ht="15" hidden="false" customHeight="true" outlineLevel="0" collapsed="false">
      <c r="A4772" s="8" t="s">
        <v>210</v>
      </c>
      <c r="B4772" s="8" t="s">
        <v>1225</v>
      </c>
      <c r="C4772" s="8" t="n">
        <v>1</v>
      </c>
      <c r="D4772" s="8" t="n">
        <v>28.93</v>
      </c>
      <c r="E4772" s="8" t="n">
        <v>1</v>
      </c>
      <c r="F4772" s="8" t="n">
        <v>28.93</v>
      </c>
    </row>
    <row r="4773" customFormat="false" ht="15" hidden="false" customHeight="true" outlineLevel="0" collapsed="false">
      <c r="A4773" s="8" t="s">
        <v>320</v>
      </c>
      <c r="B4773" s="8" t="s">
        <v>1225</v>
      </c>
      <c r="C4773" s="8" t="n">
        <v>4</v>
      </c>
      <c r="D4773" s="8" t="n">
        <v>115.72</v>
      </c>
      <c r="E4773" s="8" t="n">
        <v>0</v>
      </c>
      <c r="F4773" s="8" t="n">
        <v>0</v>
      </c>
    </row>
    <row r="4774" customFormat="false" ht="15" hidden="false" customHeight="true" outlineLevel="0" collapsed="false">
      <c r="A4774" s="8" t="s">
        <v>219</v>
      </c>
      <c r="B4774" s="8" t="s">
        <v>1227</v>
      </c>
      <c r="C4774" s="8" t="n">
        <v>0</v>
      </c>
      <c r="D4774" s="8" t="n">
        <v>0</v>
      </c>
      <c r="E4774" s="8" t="n">
        <v>2</v>
      </c>
      <c r="F4774" s="8" t="n">
        <v>34</v>
      </c>
    </row>
    <row r="4775" customFormat="false" ht="15" hidden="false" customHeight="true" outlineLevel="0" collapsed="false">
      <c r="A4775" s="8" t="s">
        <v>292</v>
      </c>
      <c r="B4775" s="8" t="s">
        <v>1227</v>
      </c>
      <c r="C4775" s="8" t="n">
        <v>5</v>
      </c>
      <c r="D4775" s="8" t="n">
        <v>85</v>
      </c>
      <c r="E4775" s="8" t="n">
        <v>-2</v>
      </c>
      <c r="F4775" s="8" t="n">
        <v>-34</v>
      </c>
    </row>
    <row r="4776" customFormat="false" ht="15" hidden="false" customHeight="true" outlineLevel="0" collapsed="false">
      <c r="A4776" s="8" t="s">
        <v>287</v>
      </c>
      <c r="B4776" s="8" t="s">
        <v>1227</v>
      </c>
      <c r="C4776" s="8" t="n">
        <v>2</v>
      </c>
      <c r="D4776" s="8" t="n">
        <v>34</v>
      </c>
      <c r="E4776" s="8" t="n">
        <v>-2</v>
      </c>
      <c r="F4776" s="8" t="n">
        <v>-34</v>
      </c>
    </row>
    <row r="4777" customFormat="false" ht="15" hidden="false" customHeight="true" outlineLevel="0" collapsed="false">
      <c r="A4777" s="8" t="s">
        <v>237</v>
      </c>
      <c r="B4777" s="8" t="s">
        <v>1259</v>
      </c>
      <c r="C4777" s="8" t="n">
        <v>1</v>
      </c>
      <c r="D4777" s="8" t="n">
        <v>18.45</v>
      </c>
      <c r="E4777" s="8" t="n">
        <v>0</v>
      </c>
      <c r="F4777" s="8" t="n">
        <v>0</v>
      </c>
    </row>
    <row r="4778" customFormat="false" ht="15" hidden="false" customHeight="true" outlineLevel="0" collapsed="false">
      <c r="A4778" s="8" t="s">
        <v>202</v>
      </c>
      <c r="B4778" s="8" t="s">
        <v>1212</v>
      </c>
      <c r="C4778" s="8" t="n">
        <v>0</v>
      </c>
      <c r="D4778" s="8" t="n">
        <v>0</v>
      </c>
      <c r="E4778" s="8" t="n">
        <v>2</v>
      </c>
      <c r="F4778" s="8" t="n">
        <v>19</v>
      </c>
    </row>
    <row r="4779" customFormat="false" ht="15" hidden="false" customHeight="true" outlineLevel="0" collapsed="false">
      <c r="A4779" s="8" t="s">
        <v>213</v>
      </c>
      <c r="B4779" s="8" t="s">
        <v>1232</v>
      </c>
      <c r="C4779" s="8" t="n">
        <v>1</v>
      </c>
      <c r="D4779" s="8" t="n">
        <v>27.55</v>
      </c>
      <c r="E4779" s="8" t="n">
        <v>0</v>
      </c>
      <c r="F4779" s="8" t="n">
        <v>0</v>
      </c>
    </row>
    <row r="4780" customFormat="false" ht="15" hidden="false" customHeight="true" outlineLevel="0" collapsed="false">
      <c r="A4780" s="8" t="s">
        <v>194</v>
      </c>
      <c r="B4780" s="8" t="s">
        <v>1239</v>
      </c>
      <c r="C4780" s="8" t="n">
        <v>3</v>
      </c>
      <c r="D4780" s="8" t="n">
        <v>29.46</v>
      </c>
      <c r="E4780" s="8" t="n">
        <v>3</v>
      </c>
      <c r="F4780" s="8" t="n">
        <v>29.46</v>
      </c>
    </row>
    <row r="4781" customFormat="false" ht="15" hidden="false" customHeight="true" outlineLevel="0" collapsed="false">
      <c r="A4781" s="8" t="s">
        <v>192</v>
      </c>
      <c r="B4781" s="8" t="s">
        <v>1240</v>
      </c>
      <c r="C4781" s="8" t="n">
        <v>5</v>
      </c>
      <c r="D4781" s="8" t="n">
        <v>209.05</v>
      </c>
      <c r="E4781" s="8" t="n">
        <v>-3</v>
      </c>
      <c r="F4781" s="8" t="n">
        <v>-125.43</v>
      </c>
    </row>
    <row r="4782" customFormat="false" ht="15" hidden="false" customHeight="true" outlineLevel="0" collapsed="false">
      <c r="A4782" s="8" t="s">
        <v>168</v>
      </c>
      <c r="B4782" s="8" t="s">
        <v>1240</v>
      </c>
      <c r="C4782" s="8" t="n">
        <v>2</v>
      </c>
      <c r="D4782" s="8" t="n">
        <v>83.62</v>
      </c>
      <c r="E4782" s="8" t="n">
        <v>0</v>
      </c>
      <c r="F4782" s="8" t="n">
        <v>0</v>
      </c>
    </row>
    <row r="4783" customFormat="false" ht="15" hidden="false" customHeight="true" outlineLevel="0" collapsed="false">
      <c r="A4783" s="8" t="s">
        <v>169</v>
      </c>
      <c r="B4783" s="8" t="s">
        <v>1240</v>
      </c>
      <c r="C4783" s="8" t="n">
        <v>4</v>
      </c>
      <c r="D4783" s="8" t="n">
        <v>167.24</v>
      </c>
      <c r="E4783" s="8" t="n">
        <v>0</v>
      </c>
      <c r="F4783" s="8" t="n">
        <v>0</v>
      </c>
    </row>
    <row r="4784" customFormat="false" ht="15" hidden="false" customHeight="true" outlineLevel="0" collapsed="false">
      <c r="A4784" s="8" t="s">
        <v>180</v>
      </c>
      <c r="B4784" s="8" t="s">
        <v>1216</v>
      </c>
      <c r="C4784" s="8" t="n">
        <v>3</v>
      </c>
      <c r="D4784" s="8" t="n">
        <v>49.5</v>
      </c>
      <c r="E4784" s="8" t="n">
        <v>2</v>
      </c>
      <c r="F4784" s="8" t="n">
        <v>33</v>
      </c>
    </row>
    <row r="4785" customFormat="false" ht="15" hidden="false" customHeight="true" outlineLevel="0" collapsed="false">
      <c r="A4785" s="8" t="s">
        <v>189</v>
      </c>
      <c r="B4785" s="8" t="s">
        <v>1216</v>
      </c>
      <c r="C4785" s="8" t="n">
        <v>5</v>
      </c>
      <c r="D4785" s="8" t="n">
        <v>82.5</v>
      </c>
      <c r="E4785" s="8" t="n">
        <v>0</v>
      </c>
      <c r="F4785" s="8" t="n">
        <v>0</v>
      </c>
    </row>
    <row r="4786" customFormat="false" ht="15" hidden="false" customHeight="true" outlineLevel="0" collapsed="false">
      <c r="A4786" s="8" t="s">
        <v>267</v>
      </c>
      <c r="B4786" s="8" t="s">
        <v>1216</v>
      </c>
      <c r="C4786" s="8" t="n">
        <v>5</v>
      </c>
      <c r="D4786" s="8" t="n">
        <v>82.5</v>
      </c>
      <c r="E4786" s="8" t="n">
        <v>0</v>
      </c>
      <c r="F4786" s="8" t="n">
        <v>0</v>
      </c>
    </row>
    <row r="4787" customFormat="false" ht="15" hidden="false" customHeight="true" outlineLevel="0" collapsed="false">
      <c r="A4787" s="8" t="s">
        <v>199</v>
      </c>
      <c r="B4787" s="8" t="s">
        <v>1216</v>
      </c>
      <c r="C4787" s="8" t="n">
        <v>4</v>
      </c>
      <c r="D4787" s="8" t="n">
        <v>66</v>
      </c>
      <c r="E4787" s="8" t="n">
        <v>-1</v>
      </c>
      <c r="F4787" s="8" t="n">
        <v>-16.5</v>
      </c>
    </row>
    <row r="4788" customFormat="false" ht="15" hidden="false" customHeight="true" outlineLevel="0" collapsed="false">
      <c r="A4788" s="8" t="s">
        <v>198</v>
      </c>
      <c r="B4788" s="8" t="s">
        <v>1217</v>
      </c>
      <c r="C4788" s="8" t="n">
        <v>2</v>
      </c>
      <c r="D4788" s="8" t="n">
        <v>41</v>
      </c>
      <c r="E4788" s="8" t="n">
        <v>2</v>
      </c>
      <c r="F4788" s="8" t="n">
        <v>41</v>
      </c>
    </row>
    <row r="4789" customFormat="false" ht="15" hidden="false" customHeight="true" outlineLevel="0" collapsed="false">
      <c r="A4789" s="8" t="s">
        <v>193</v>
      </c>
      <c r="B4789" s="8" t="s">
        <v>1217</v>
      </c>
      <c r="C4789" s="8" t="n">
        <v>3</v>
      </c>
      <c r="D4789" s="8" t="n">
        <v>61.5</v>
      </c>
      <c r="E4789" s="8" t="n">
        <v>0</v>
      </c>
      <c r="F4789" s="8" t="n">
        <v>0</v>
      </c>
    </row>
    <row r="4790" customFormat="false" ht="15" hidden="false" customHeight="true" outlineLevel="0" collapsed="false">
      <c r="A4790" s="8" t="s">
        <v>302</v>
      </c>
      <c r="B4790" s="8" t="s">
        <v>1217</v>
      </c>
      <c r="C4790" s="8" t="n">
        <v>2</v>
      </c>
      <c r="D4790" s="8" t="n">
        <v>41</v>
      </c>
      <c r="E4790" s="8" t="n">
        <v>0</v>
      </c>
      <c r="F4790" s="8" t="n">
        <v>0</v>
      </c>
    </row>
    <row r="4791" customFormat="false" ht="15" hidden="false" customHeight="true" outlineLevel="0" collapsed="false">
      <c r="A4791" s="8" t="s">
        <v>205</v>
      </c>
      <c r="B4791" s="8" t="s">
        <v>1217</v>
      </c>
      <c r="C4791" s="8" t="n">
        <v>3</v>
      </c>
      <c r="D4791" s="8" t="n">
        <v>61.5</v>
      </c>
      <c r="E4791" s="8" t="n">
        <v>1</v>
      </c>
      <c r="F4791" s="8" t="n">
        <v>20.5</v>
      </c>
    </row>
    <row r="4792" customFormat="false" ht="15" hidden="false" customHeight="true" outlineLevel="0" collapsed="false">
      <c r="A4792" s="8" t="s">
        <v>256</v>
      </c>
      <c r="B4792" s="8" t="s">
        <v>1217</v>
      </c>
      <c r="C4792" s="8" t="n">
        <v>2</v>
      </c>
      <c r="D4792" s="8" t="n">
        <v>41</v>
      </c>
      <c r="E4792" s="8" t="n">
        <v>0</v>
      </c>
      <c r="F4792" s="8" t="n">
        <v>0</v>
      </c>
    </row>
    <row r="4793" customFormat="false" ht="15" hidden="false" customHeight="true" outlineLevel="0" collapsed="false">
      <c r="A4793" s="8" t="s">
        <v>277</v>
      </c>
      <c r="B4793" s="8" t="s">
        <v>1285</v>
      </c>
      <c r="C4793" s="8" t="n">
        <v>2</v>
      </c>
      <c r="D4793" s="8" t="n">
        <v>272.6</v>
      </c>
      <c r="E4793" s="8" t="n">
        <v>0</v>
      </c>
      <c r="F4793" s="8" t="n">
        <v>0</v>
      </c>
    </row>
    <row r="4794" customFormat="false" ht="15" hidden="false" customHeight="true" outlineLevel="0" collapsed="false">
      <c r="A4794" s="8" t="s">
        <v>260</v>
      </c>
      <c r="B4794" s="8" t="s">
        <v>1285</v>
      </c>
      <c r="C4794" s="8" t="n">
        <v>3</v>
      </c>
      <c r="D4794" s="8" t="n">
        <v>408.9</v>
      </c>
      <c r="E4794" s="8" t="n">
        <v>0</v>
      </c>
      <c r="F4794" s="8" t="n">
        <v>0</v>
      </c>
    </row>
    <row r="4795" customFormat="false" ht="15" hidden="false" customHeight="true" outlineLevel="0" collapsed="false">
      <c r="A4795" s="8" t="s">
        <v>240</v>
      </c>
      <c r="B4795" s="8" t="s">
        <v>769</v>
      </c>
      <c r="C4795" s="8" t="n">
        <v>3</v>
      </c>
      <c r="D4795" s="8" t="n">
        <v>51</v>
      </c>
      <c r="E4795" s="8" t="n">
        <v>2</v>
      </c>
      <c r="F4795" s="8" t="n">
        <v>34</v>
      </c>
    </row>
    <row r="4796" customFormat="false" ht="15" hidden="false" customHeight="true" outlineLevel="0" collapsed="false">
      <c r="A4796" s="8" t="s">
        <v>234</v>
      </c>
      <c r="B4796" s="8" t="s">
        <v>769</v>
      </c>
      <c r="C4796" s="8" t="n">
        <v>3</v>
      </c>
      <c r="D4796" s="8" t="n">
        <v>51</v>
      </c>
      <c r="E4796" s="8" t="n">
        <v>0</v>
      </c>
      <c r="F4796" s="8" t="n">
        <v>0</v>
      </c>
    </row>
    <row r="4797" customFormat="false" ht="15" hidden="false" customHeight="true" outlineLevel="0" collapsed="false">
      <c r="A4797" s="8" t="s">
        <v>247</v>
      </c>
      <c r="B4797" s="8" t="s">
        <v>769</v>
      </c>
      <c r="C4797" s="8" t="n">
        <v>8</v>
      </c>
      <c r="D4797" s="8" t="n">
        <v>136</v>
      </c>
      <c r="E4797" s="8" t="n">
        <v>0</v>
      </c>
      <c r="F4797" s="8" t="n">
        <v>0</v>
      </c>
    </row>
    <row r="4798" customFormat="false" ht="15" hidden="false" customHeight="true" outlineLevel="0" collapsed="false">
      <c r="A4798" s="8" t="s">
        <v>300</v>
      </c>
      <c r="B4798" s="8" t="s">
        <v>769</v>
      </c>
      <c r="C4798" s="8" t="n">
        <v>0</v>
      </c>
      <c r="D4798" s="8" t="n">
        <v>0</v>
      </c>
      <c r="E4798" s="8" t="n">
        <v>2</v>
      </c>
      <c r="F4798" s="8" t="n">
        <v>34</v>
      </c>
    </row>
    <row r="4799" customFormat="false" ht="15" hidden="false" customHeight="true" outlineLevel="0" collapsed="false">
      <c r="A4799" s="8" t="s">
        <v>328</v>
      </c>
      <c r="B4799" s="8" t="s">
        <v>769</v>
      </c>
      <c r="C4799" s="8" t="n">
        <v>2</v>
      </c>
      <c r="D4799" s="8" t="n">
        <v>34</v>
      </c>
      <c r="E4799" s="8" t="n">
        <v>3</v>
      </c>
      <c r="F4799" s="8" t="n">
        <v>51</v>
      </c>
    </row>
    <row r="4800" customFormat="false" ht="15" hidden="false" customHeight="true" outlineLevel="0" collapsed="false">
      <c r="A4800" s="8" t="s">
        <v>367</v>
      </c>
      <c r="B4800" s="8" t="s">
        <v>769</v>
      </c>
      <c r="C4800" s="8" t="n">
        <v>1</v>
      </c>
      <c r="D4800" s="8" t="n">
        <v>17</v>
      </c>
      <c r="E4800" s="8" t="n">
        <v>0</v>
      </c>
      <c r="F4800" s="8" t="n">
        <v>0</v>
      </c>
    </row>
    <row r="4801" customFormat="false" ht="15" hidden="false" customHeight="true" outlineLevel="0" collapsed="false">
      <c r="A4801" s="8" t="s">
        <v>167</v>
      </c>
      <c r="B4801" s="8" t="s">
        <v>1238</v>
      </c>
      <c r="C4801" s="8" t="n">
        <v>15</v>
      </c>
      <c r="D4801" s="8" t="n">
        <v>201</v>
      </c>
      <c r="E4801" s="8" t="n">
        <v>15</v>
      </c>
      <c r="F4801" s="8" t="n">
        <v>201</v>
      </c>
    </row>
    <row r="4802" customFormat="false" ht="15" hidden="false" customHeight="true" outlineLevel="0" collapsed="false">
      <c r="A4802" s="8" t="s">
        <v>200</v>
      </c>
      <c r="B4802" s="8" t="s">
        <v>1279</v>
      </c>
      <c r="C4802" s="8" t="n">
        <v>2</v>
      </c>
      <c r="D4802" s="8" t="n">
        <v>154.48</v>
      </c>
      <c r="E4802" s="8" t="n">
        <v>0</v>
      </c>
      <c r="F4802" s="8" t="n">
        <v>0</v>
      </c>
    </row>
    <row r="4803" customFormat="false" ht="15" hidden="false" customHeight="true" outlineLevel="0" collapsed="false">
      <c r="A4803" s="8" t="s">
        <v>175</v>
      </c>
      <c r="B4803" s="8" t="s">
        <v>1244</v>
      </c>
      <c r="C4803" s="8" t="n">
        <v>2</v>
      </c>
      <c r="D4803" s="8" t="n">
        <v>351</v>
      </c>
      <c r="E4803" s="8" t="n">
        <v>1</v>
      </c>
      <c r="F4803" s="8" t="n">
        <v>175.5</v>
      </c>
    </row>
    <row r="4804" customFormat="false" ht="15" hidden="false" customHeight="true" outlineLevel="0" collapsed="false">
      <c r="A4804" s="8" t="s">
        <v>173</v>
      </c>
      <c r="B4804" s="8" t="s">
        <v>1244</v>
      </c>
      <c r="C4804" s="8" t="n">
        <v>0</v>
      </c>
      <c r="D4804" s="8" t="n">
        <v>0</v>
      </c>
      <c r="E4804" s="8" t="n">
        <v>1</v>
      </c>
      <c r="F4804" s="8" t="n">
        <v>175.5</v>
      </c>
    </row>
    <row r="4805" customFormat="false" ht="15" hidden="false" customHeight="true" outlineLevel="0" collapsed="false">
      <c r="A4805" s="8" t="s">
        <v>208</v>
      </c>
      <c r="B4805" s="8" t="s">
        <v>1179</v>
      </c>
      <c r="C4805" s="8" t="n">
        <v>2</v>
      </c>
      <c r="D4805" s="8" t="n">
        <v>144.68</v>
      </c>
      <c r="E4805" s="8" t="n">
        <v>0</v>
      </c>
      <c r="F4805" s="8" t="n">
        <v>0</v>
      </c>
    </row>
    <row r="4806" customFormat="false" ht="15" hidden="false" customHeight="true" outlineLevel="0" collapsed="false">
      <c r="A4806" s="8" t="s">
        <v>191</v>
      </c>
      <c r="B4806" s="8" t="s">
        <v>1179</v>
      </c>
      <c r="C4806" s="8" t="n">
        <v>3</v>
      </c>
      <c r="D4806" s="8" t="n">
        <v>217.02</v>
      </c>
      <c r="E4806" s="8" t="n">
        <v>0</v>
      </c>
      <c r="F4806" s="8" t="n">
        <v>0</v>
      </c>
    </row>
    <row r="4807" customFormat="false" ht="15" hidden="false" customHeight="true" outlineLevel="0" collapsed="false">
      <c r="A4807" s="8" t="s">
        <v>190</v>
      </c>
      <c r="B4807" s="8" t="s">
        <v>1224</v>
      </c>
      <c r="C4807" s="8" t="n">
        <v>2</v>
      </c>
      <c r="D4807" s="8" t="n">
        <v>48.86</v>
      </c>
      <c r="E4807" s="8" t="n">
        <v>0</v>
      </c>
      <c r="F4807" s="8" t="n">
        <v>0</v>
      </c>
    </row>
    <row r="4808" customFormat="false" ht="15" hidden="false" customHeight="true" outlineLevel="0" collapsed="false">
      <c r="A4808" s="8" t="s">
        <v>183</v>
      </c>
      <c r="B4808" s="8" t="s">
        <v>1224</v>
      </c>
      <c r="C4808" s="8" t="n">
        <v>5</v>
      </c>
      <c r="D4808" s="8" t="n">
        <v>122.15</v>
      </c>
      <c r="E4808" s="8" t="n">
        <v>0</v>
      </c>
      <c r="F4808" s="8" t="n">
        <v>0</v>
      </c>
    </row>
    <row r="4809" customFormat="false" ht="15" hidden="false" customHeight="true" outlineLevel="0" collapsed="false">
      <c r="A4809" s="8" t="s">
        <v>218</v>
      </c>
      <c r="B4809" s="8" t="s">
        <v>1224</v>
      </c>
      <c r="C4809" s="8" t="n">
        <v>1</v>
      </c>
      <c r="D4809" s="8" t="n">
        <v>24.43</v>
      </c>
      <c r="E4809" s="8" t="n">
        <v>0</v>
      </c>
      <c r="F4809" s="8" t="n">
        <v>0</v>
      </c>
    </row>
    <row r="4810" customFormat="false" ht="15" hidden="false" customHeight="true" outlineLevel="0" collapsed="false">
      <c r="A4810" s="8" t="s">
        <v>161</v>
      </c>
      <c r="B4810" s="8" t="s">
        <v>1208</v>
      </c>
      <c r="C4810" s="8" t="n">
        <v>3</v>
      </c>
      <c r="D4810" s="8" t="n">
        <v>136.5</v>
      </c>
      <c r="E4810" s="8" t="n">
        <v>0</v>
      </c>
      <c r="F4810" s="8" t="n">
        <v>0</v>
      </c>
    </row>
    <row r="4811" customFormat="false" ht="15" hidden="false" customHeight="true" outlineLevel="0" collapsed="false">
      <c r="A4811" s="8" t="s">
        <v>171</v>
      </c>
      <c r="B4811" s="8" t="s">
        <v>1210</v>
      </c>
      <c r="C4811" s="8" t="n">
        <v>6</v>
      </c>
      <c r="D4811" s="8" t="n">
        <v>283.38</v>
      </c>
      <c r="E4811" s="8" t="n">
        <v>0</v>
      </c>
      <c r="F4811" s="8" t="n">
        <v>0</v>
      </c>
    </row>
    <row r="4812" customFormat="false" ht="15" hidden="false" customHeight="true" outlineLevel="0" collapsed="false">
      <c r="A4812" s="8" t="s">
        <v>164</v>
      </c>
      <c r="B4812" s="8" t="s">
        <v>1211</v>
      </c>
      <c r="C4812" s="8" t="n">
        <v>0</v>
      </c>
      <c r="D4812" s="8" t="n">
        <v>0</v>
      </c>
      <c r="E4812" s="8" t="n">
        <v>1</v>
      </c>
      <c r="F4812" s="8" t="n">
        <v>63.27</v>
      </c>
    </row>
    <row r="4813" customFormat="false" ht="15" hidden="false" customHeight="true" outlineLevel="0" collapsed="false">
      <c r="A4813" s="8" t="s">
        <v>188</v>
      </c>
      <c r="B4813" s="8" t="s">
        <v>1225</v>
      </c>
      <c r="C4813" s="8" t="n">
        <v>1</v>
      </c>
      <c r="D4813" s="8" t="n">
        <v>28.93</v>
      </c>
      <c r="E4813" s="8" t="n">
        <v>0</v>
      </c>
      <c r="F4813" s="8" t="n">
        <v>0</v>
      </c>
    </row>
    <row r="4814" customFormat="false" ht="15" hidden="false" customHeight="true" outlineLevel="0" collapsed="false">
      <c r="A4814" s="8" t="s">
        <v>186</v>
      </c>
      <c r="B4814" s="8" t="s">
        <v>1225</v>
      </c>
      <c r="C4814" s="8" t="n">
        <v>2</v>
      </c>
      <c r="D4814" s="8" t="n">
        <v>57.86</v>
      </c>
      <c r="E4814" s="8" t="n">
        <v>0</v>
      </c>
      <c r="F4814" s="8" t="n">
        <v>0</v>
      </c>
    </row>
    <row r="4815" customFormat="false" ht="15" hidden="false" customHeight="true" outlineLevel="0" collapsed="false">
      <c r="A4815" s="8" t="s">
        <v>210</v>
      </c>
      <c r="B4815" s="8" t="s">
        <v>1225</v>
      </c>
      <c r="C4815" s="8" t="n">
        <v>6</v>
      </c>
      <c r="D4815" s="8" t="n">
        <v>173.58</v>
      </c>
      <c r="E4815" s="8" t="n">
        <v>0</v>
      </c>
      <c r="F4815" s="8" t="n">
        <v>0</v>
      </c>
    </row>
    <row r="4816" customFormat="false" ht="15" hidden="false" customHeight="true" outlineLevel="0" collapsed="false">
      <c r="A4816" s="8" t="s">
        <v>229</v>
      </c>
      <c r="B4816" s="8" t="s">
        <v>881</v>
      </c>
      <c r="C4816" s="8" t="n">
        <v>4</v>
      </c>
      <c r="D4816" s="8" t="n">
        <v>164.8</v>
      </c>
      <c r="E4816" s="8" t="n">
        <v>0</v>
      </c>
      <c r="F4816" s="8" t="n">
        <v>0</v>
      </c>
    </row>
    <row r="4817" customFormat="false" ht="15" hidden="false" customHeight="true" outlineLevel="0" collapsed="false">
      <c r="A4817" s="8" t="s">
        <v>202</v>
      </c>
      <c r="B4817" s="8" t="s">
        <v>1212</v>
      </c>
      <c r="C4817" s="8" t="n">
        <v>4</v>
      </c>
      <c r="D4817" s="8" t="n">
        <v>38</v>
      </c>
      <c r="E4817" s="8" t="n">
        <v>0</v>
      </c>
      <c r="F4817" s="8" t="n">
        <v>0</v>
      </c>
    </row>
    <row r="4818" customFormat="false" ht="15" hidden="false" customHeight="true" outlineLevel="0" collapsed="false">
      <c r="A4818" s="8" t="s">
        <v>251</v>
      </c>
      <c r="B4818" s="8" t="s">
        <v>1262</v>
      </c>
      <c r="C4818" s="8" t="n">
        <v>9</v>
      </c>
      <c r="D4818" s="8" t="n">
        <v>87.39</v>
      </c>
      <c r="E4818" s="8" t="n">
        <v>0</v>
      </c>
      <c r="F4818" s="8" t="n">
        <v>0</v>
      </c>
    </row>
    <row r="4819" customFormat="false" ht="15" hidden="false" customHeight="true" outlineLevel="0" collapsed="false">
      <c r="A4819" s="8" t="s">
        <v>308</v>
      </c>
      <c r="B4819" s="8" t="s">
        <v>1229</v>
      </c>
      <c r="C4819" s="8" t="n">
        <v>7</v>
      </c>
      <c r="D4819" s="8" t="n">
        <v>56.56</v>
      </c>
      <c r="E4819" s="8" t="n">
        <v>0</v>
      </c>
      <c r="F4819" s="8" t="n">
        <v>0</v>
      </c>
    </row>
    <row r="4820" customFormat="false" ht="15" hidden="false" customHeight="true" outlineLevel="0" collapsed="false">
      <c r="A4820" s="8" t="s">
        <v>172</v>
      </c>
      <c r="B4820" s="8" t="s">
        <v>1214</v>
      </c>
      <c r="C4820" s="8" t="n">
        <v>10</v>
      </c>
      <c r="D4820" s="8" t="n">
        <v>121.8</v>
      </c>
      <c r="E4820" s="8" t="n">
        <v>0</v>
      </c>
      <c r="F4820" s="8" t="n">
        <v>0</v>
      </c>
    </row>
    <row r="4821" customFormat="false" ht="15" hidden="false" customHeight="true" outlineLevel="0" collapsed="false">
      <c r="A4821" s="8" t="s">
        <v>269</v>
      </c>
      <c r="B4821" s="8" t="s">
        <v>1231</v>
      </c>
      <c r="C4821" s="8" t="n">
        <v>3</v>
      </c>
      <c r="D4821" s="8" t="n">
        <v>33.99</v>
      </c>
      <c r="E4821" s="8" t="n">
        <v>0</v>
      </c>
      <c r="F4821" s="8" t="n">
        <v>0</v>
      </c>
    </row>
    <row r="4822" customFormat="false" ht="15" hidden="false" customHeight="true" outlineLevel="0" collapsed="false">
      <c r="A4822" s="8" t="s">
        <v>281</v>
      </c>
      <c r="B4822" s="8" t="s">
        <v>1254</v>
      </c>
      <c r="C4822" s="8" t="n">
        <v>3</v>
      </c>
      <c r="D4822" s="8" t="n">
        <v>41.52</v>
      </c>
      <c r="E4822" s="8" t="n">
        <v>0</v>
      </c>
      <c r="F4822" s="8" t="n">
        <v>0</v>
      </c>
    </row>
    <row r="4823" customFormat="false" ht="15" hidden="false" customHeight="true" outlineLevel="0" collapsed="false">
      <c r="A4823" s="8" t="s">
        <v>232</v>
      </c>
      <c r="B4823" s="8" t="s">
        <v>1233</v>
      </c>
      <c r="C4823" s="8" t="n">
        <v>0</v>
      </c>
      <c r="D4823" s="8" t="n">
        <v>0</v>
      </c>
      <c r="E4823" s="8" t="n">
        <v>1</v>
      </c>
      <c r="F4823" s="8" t="n">
        <v>16.2</v>
      </c>
    </row>
    <row r="4824" customFormat="false" ht="15" hidden="false" customHeight="true" outlineLevel="0" collapsed="false">
      <c r="A4824" s="8" t="s">
        <v>215</v>
      </c>
      <c r="B4824" s="8" t="s">
        <v>1233</v>
      </c>
      <c r="C4824" s="8" t="n">
        <v>0</v>
      </c>
      <c r="D4824" s="8" t="n">
        <v>0</v>
      </c>
      <c r="E4824" s="8" t="n">
        <v>1</v>
      </c>
      <c r="F4824" s="8" t="n">
        <v>17.82</v>
      </c>
    </row>
    <row r="4825" customFormat="false" ht="15" hidden="false" customHeight="true" outlineLevel="0" collapsed="false">
      <c r="A4825" s="8" t="s">
        <v>194</v>
      </c>
      <c r="B4825" s="8" t="s">
        <v>1239</v>
      </c>
      <c r="C4825" s="8" t="n">
        <v>2</v>
      </c>
      <c r="D4825" s="8" t="n">
        <v>19.64</v>
      </c>
      <c r="E4825" s="8" t="n">
        <v>0</v>
      </c>
      <c r="F4825" s="8" t="n">
        <v>0</v>
      </c>
    </row>
    <row r="4826" customFormat="false" ht="15" hidden="false" customHeight="true" outlineLevel="0" collapsed="false">
      <c r="A4826" s="8" t="s">
        <v>265</v>
      </c>
      <c r="B4826" s="8" t="s">
        <v>621</v>
      </c>
      <c r="C4826" s="8" t="n">
        <v>0</v>
      </c>
      <c r="D4826" s="8" t="n">
        <v>0</v>
      </c>
      <c r="E4826" s="8" t="n">
        <v>1</v>
      </c>
      <c r="F4826" s="8" t="n">
        <v>42</v>
      </c>
    </row>
    <row r="4827" customFormat="false" ht="15" hidden="false" customHeight="true" outlineLevel="0" collapsed="false">
      <c r="A4827" s="8" t="s">
        <v>318</v>
      </c>
      <c r="B4827" s="8" t="s">
        <v>1256</v>
      </c>
      <c r="C4827" s="8" t="n">
        <v>4</v>
      </c>
      <c r="D4827" s="8" t="n">
        <v>94.4</v>
      </c>
      <c r="E4827" s="8" t="n">
        <v>0</v>
      </c>
      <c r="F4827" s="8" t="n">
        <v>0</v>
      </c>
    </row>
    <row r="4828" customFormat="false" ht="15" hidden="false" customHeight="true" outlineLevel="0" collapsed="false">
      <c r="A4828" s="8" t="s">
        <v>285</v>
      </c>
      <c r="B4828" s="8" t="s">
        <v>1237</v>
      </c>
      <c r="C4828" s="8" t="n">
        <v>2</v>
      </c>
      <c r="D4828" s="8" t="n">
        <v>36.8</v>
      </c>
      <c r="E4828" s="8" t="n">
        <v>0</v>
      </c>
      <c r="F4828" s="8" t="n">
        <v>0</v>
      </c>
    </row>
    <row r="4829" customFormat="false" ht="15" hidden="false" customHeight="true" outlineLevel="0" collapsed="false">
      <c r="A4829" s="8" t="s">
        <v>322</v>
      </c>
      <c r="B4829" s="8" t="s">
        <v>1264</v>
      </c>
      <c r="C4829" s="8" t="n">
        <v>3</v>
      </c>
      <c r="D4829" s="8" t="n">
        <v>55.2</v>
      </c>
      <c r="E4829" s="8" t="n">
        <v>4</v>
      </c>
      <c r="F4829" s="8" t="n">
        <v>73.6</v>
      </c>
    </row>
    <row r="4830" customFormat="false" ht="15" hidden="false" customHeight="true" outlineLevel="0" collapsed="false">
      <c r="A4830" s="8" t="s">
        <v>325</v>
      </c>
      <c r="B4830" s="8" t="s">
        <v>1264</v>
      </c>
      <c r="C4830" s="8" t="n">
        <v>5</v>
      </c>
      <c r="D4830" s="8" t="n">
        <v>92</v>
      </c>
      <c r="E4830" s="8" t="n">
        <v>0</v>
      </c>
      <c r="F4830" s="8" t="n">
        <v>0</v>
      </c>
    </row>
    <row r="4831" customFormat="false" ht="15" hidden="false" customHeight="true" outlineLevel="0" collapsed="false">
      <c r="A4831" s="8" t="s">
        <v>209</v>
      </c>
      <c r="B4831" s="8" t="s">
        <v>1245</v>
      </c>
      <c r="C4831" s="8" t="n">
        <v>2</v>
      </c>
      <c r="D4831" s="8" t="n">
        <v>129.78</v>
      </c>
      <c r="E4831" s="8" t="n">
        <v>0</v>
      </c>
      <c r="F4831" s="8" t="n">
        <v>0</v>
      </c>
    </row>
    <row r="4832" customFormat="false" ht="15" hidden="false" customHeight="true" outlineLevel="0" collapsed="false">
      <c r="A4832" s="8" t="s">
        <v>180</v>
      </c>
      <c r="B4832" s="8" t="s">
        <v>1216</v>
      </c>
      <c r="C4832" s="8" t="n">
        <v>10</v>
      </c>
      <c r="D4832" s="8" t="n">
        <v>165</v>
      </c>
      <c r="E4832" s="8" t="n">
        <v>0</v>
      </c>
      <c r="F4832" s="8" t="n">
        <v>0</v>
      </c>
    </row>
    <row r="4833" customFormat="false" ht="15" hidden="false" customHeight="true" outlineLevel="0" collapsed="false">
      <c r="A4833" s="8" t="s">
        <v>189</v>
      </c>
      <c r="B4833" s="8" t="s">
        <v>1216</v>
      </c>
      <c r="C4833" s="8" t="n">
        <v>6</v>
      </c>
      <c r="D4833" s="8" t="n">
        <v>99</v>
      </c>
      <c r="E4833" s="8" t="n">
        <v>0</v>
      </c>
      <c r="F4833" s="8" t="n">
        <v>0</v>
      </c>
    </row>
    <row r="4834" customFormat="false" ht="15" hidden="false" customHeight="true" outlineLevel="0" collapsed="false">
      <c r="A4834" s="8" t="s">
        <v>267</v>
      </c>
      <c r="B4834" s="8" t="s">
        <v>1216</v>
      </c>
      <c r="C4834" s="8" t="n">
        <v>1</v>
      </c>
      <c r="D4834" s="8" t="n">
        <v>16.5</v>
      </c>
      <c r="E4834" s="8" t="n">
        <v>0</v>
      </c>
      <c r="F4834" s="8" t="n">
        <v>0</v>
      </c>
    </row>
    <row r="4835" customFormat="false" ht="15" hidden="false" customHeight="true" outlineLevel="0" collapsed="false">
      <c r="A4835" s="8" t="s">
        <v>178</v>
      </c>
      <c r="B4835" s="8" t="s">
        <v>1236</v>
      </c>
      <c r="C4835" s="8" t="n">
        <v>4</v>
      </c>
      <c r="D4835" s="8" t="n">
        <v>140</v>
      </c>
      <c r="E4835" s="8" t="n">
        <v>0</v>
      </c>
      <c r="F4835" s="8" t="n">
        <v>0</v>
      </c>
    </row>
    <row r="4836" customFormat="false" ht="15" hidden="false" customHeight="true" outlineLevel="0" collapsed="false">
      <c r="A4836" s="8" t="s">
        <v>234</v>
      </c>
      <c r="B4836" s="8" t="s">
        <v>769</v>
      </c>
      <c r="C4836" s="8" t="n">
        <v>1</v>
      </c>
      <c r="D4836" s="8" t="n">
        <v>17</v>
      </c>
      <c r="E4836" s="8" t="n">
        <v>0</v>
      </c>
      <c r="F4836" s="8" t="n">
        <v>0</v>
      </c>
    </row>
    <row r="4837" customFormat="false" ht="15" hidden="false" customHeight="true" outlineLevel="0" collapsed="false">
      <c r="A4837" s="8" t="s">
        <v>170</v>
      </c>
      <c r="B4837" s="8" t="s">
        <v>1220</v>
      </c>
      <c r="C4837" s="8" t="n">
        <v>24</v>
      </c>
      <c r="D4837" s="8" t="n">
        <v>355.2</v>
      </c>
      <c r="E4837" s="8" t="n">
        <v>0</v>
      </c>
      <c r="F4837" s="8" t="n">
        <v>0</v>
      </c>
    </row>
    <row r="4838" customFormat="false" ht="15" hidden="false" customHeight="true" outlineLevel="0" collapsed="false">
      <c r="A4838" s="8" t="s">
        <v>334</v>
      </c>
      <c r="B4838" s="8" t="s">
        <v>1276</v>
      </c>
      <c r="C4838" s="8" t="n">
        <v>0</v>
      </c>
      <c r="D4838" s="8" t="n">
        <v>0</v>
      </c>
      <c r="E4838" s="8" t="n">
        <v>3</v>
      </c>
      <c r="F4838" s="8" t="n">
        <v>48.6</v>
      </c>
    </row>
    <row r="4839" customFormat="false" ht="15" hidden="false" customHeight="true" outlineLevel="0" collapsed="false">
      <c r="A4839" s="8" t="s">
        <v>165</v>
      </c>
      <c r="B4839" s="8" t="s">
        <v>897</v>
      </c>
      <c r="C4839" s="8" t="n">
        <v>0</v>
      </c>
      <c r="D4839" s="8" t="n">
        <v>0</v>
      </c>
      <c r="E4839" s="8" t="n">
        <v>1</v>
      </c>
      <c r="F4839" s="8" t="n">
        <v>65</v>
      </c>
    </row>
    <row r="4840" customFormat="false" ht="15" hidden="false" customHeight="true" outlineLevel="0" collapsed="false">
      <c r="A4840" s="8" t="s">
        <v>329</v>
      </c>
      <c r="B4840" s="8" t="s">
        <v>1244</v>
      </c>
      <c r="C4840" s="8" t="n">
        <v>0</v>
      </c>
      <c r="D4840" s="8" t="n">
        <v>0</v>
      </c>
      <c r="E4840" s="8" t="n">
        <v>1</v>
      </c>
      <c r="F4840" s="8" t="n">
        <v>175.5</v>
      </c>
    </row>
    <row r="4841" customFormat="false" ht="15" hidden="false" customHeight="true" outlineLevel="0" collapsed="false">
      <c r="A4841" s="8" t="s">
        <v>173</v>
      </c>
      <c r="B4841" s="8" t="s">
        <v>1244</v>
      </c>
      <c r="C4841" s="8" t="n">
        <v>1</v>
      </c>
      <c r="D4841" s="8" t="n">
        <v>175.5</v>
      </c>
      <c r="E4841" s="8" t="n">
        <v>0</v>
      </c>
      <c r="F4841" s="8" t="n">
        <v>0</v>
      </c>
    </row>
    <row r="4842" customFormat="false" ht="15" hidden="false" customHeight="true" outlineLevel="0" collapsed="false">
      <c r="A4842" s="8" t="s">
        <v>177</v>
      </c>
      <c r="B4842" s="8" t="s">
        <v>1244</v>
      </c>
      <c r="C4842" s="8" t="n">
        <v>1</v>
      </c>
      <c r="D4842" s="8" t="n">
        <v>175.5</v>
      </c>
      <c r="E4842" s="8" t="n">
        <v>0</v>
      </c>
      <c r="F4842" s="8" t="n">
        <v>0</v>
      </c>
    </row>
    <row r="4843" customFormat="false" ht="15" hidden="false" customHeight="true" outlineLevel="0" collapsed="false">
      <c r="A4843" s="8" t="s">
        <v>208</v>
      </c>
      <c r="B4843" s="8" t="s">
        <v>1179</v>
      </c>
      <c r="C4843" s="8" t="n">
        <v>1</v>
      </c>
      <c r="D4843" s="8" t="n">
        <v>72.34</v>
      </c>
      <c r="E4843" s="8" t="n">
        <v>0</v>
      </c>
      <c r="F4843" s="8" t="n">
        <v>0</v>
      </c>
    </row>
    <row r="4844" customFormat="false" ht="15" hidden="false" customHeight="true" outlineLevel="0" collapsed="false">
      <c r="A4844" s="8" t="s">
        <v>191</v>
      </c>
      <c r="B4844" s="8" t="s">
        <v>1179</v>
      </c>
      <c r="C4844" s="8" t="n">
        <v>1</v>
      </c>
      <c r="D4844" s="8" t="n">
        <v>72.34</v>
      </c>
      <c r="E4844" s="8" t="n">
        <v>0</v>
      </c>
      <c r="F4844" s="8" t="n">
        <v>0</v>
      </c>
    </row>
    <row r="4845" customFormat="false" ht="15" hidden="false" customHeight="true" outlineLevel="0" collapsed="false">
      <c r="A4845" s="8" t="s">
        <v>204</v>
      </c>
      <c r="B4845" s="8" t="s">
        <v>1179</v>
      </c>
      <c r="C4845" s="8" t="n">
        <v>1</v>
      </c>
      <c r="D4845" s="8" t="n">
        <v>72.34</v>
      </c>
      <c r="E4845" s="8" t="n">
        <v>1</v>
      </c>
      <c r="F4845" s="8" t="n">
        <v>72.34</v>
      </c>
    </row>
    <row r="4846" customFormat="false" ht="15" hidden="false" customHeight="true" outlineLevel="0" collapsed="false">
      <c r="A4846" s="8" t="s">
        <v>304</v>
      </c>
      <c r="B4846" s="8" t="s">
        <v>1268</v>
      </c>
      <c r="C4846" s="8" t="n">
        <v>1</v>
      </c>
      <c r="D4846" s="8" t="n">
        <v>113.58</v>
      </c>
      <c r="E4846" s="8" t="n">
        <v>0</v>
      </c>
      <c r="F4846" s="8" t="n">
        <v>0</v>
      </c>
    </row>
    <row r="4847" customFormat="false" ht="15" hidden="false" customHeight="true" outlineLevel="0" collapsed="false">
      <c r="A4847" s="8" t="s">
        <v>372</v>
      </c>
      <c r="B4847" s="8" t="s">
        <v>1286</v>
      </c>
      <c r="C4847" s="8" t="n">
        <v>0</v>
      </c>
      <c r="D4847" s="8" t="n">
        <v>0</v>
      </c>
      <c r="E4847" s="8" t="n">
        <v>1</v>
      </c>
      <c r="F4847" s="8" t="n">
        <v>64.89</v>
      </c>
    </row>
    <row r="4848" customFormat="false" ht="15" hidden="false" customHeight="true" outlineLevel="0" collapsed="false">
      <c r="A4848" s="8" t="s">
        <v>190</v>
      </c>
      <c r="B4848" s="8" t="s">
        <v>1224</v>
      </c>
      <c r="C4848" s="8" t="n">
        <v>7</v>
      </c>
      <c r="D4848" s="8" t="n">
        <v>171.01</v>
      </c>
      <c r="E4848" s="8" t="n">
        <v>2</v>
      </c>
      <c r="F4848" s="8" t="n">
        <v>48.86</v>
      </c>
    </row>
    <row r="4849" customFormat="false" ht="15" hidden="false" customHeight="true" outlineLevel="0" collapsed="false">
      <c r="A4849" s="8" t="s">
        <v>183</v>
      </c>
      <c r="B4849" s="8" t="s">
        <v>1224</v>
      </c>
      <c r="C4849" s="8" t="n">
        <v>6</v>
      </c>
      <c r="D4849" s="8" t="n">
        <v>146.58</v>
      </c>
      <c r="E4849" s="8" t="n">
        <v>2</v>
      </c>
      <c r="F4849" s="8" t="n">
        <v>48.86</v>
      </c>
    </row>
    <row r="4850" customFormat="false" ht="15" hidden="false" customHeight="true" outlineLevel="0" collapsed="false">
      <c r="A4850" s="8" t="s">
        <v>218</v>
      </c>
      <c r="B4850" s="8" t="s">
        <v>1224</v>
      </c>
      <c r="C4850" s="8" t="n">
        <v>3</v>
      </c>
      <c r="D4850" s="8" t="n">
        <v>73.29</v>
      </c>
      <c r="E4850" s="8" t="n">
        <v>0</v>
      </c>
      <c r="F4850" s="8" t="n">
        <v>0</v>
      </c>
    </row>
    <row r="4851" customFormat="false" ht="15" hidden="false" customHeight="true" outlineLevel="0" collapsed="false">
      <c r="A4851" s="8" t="s">
        <v>161</v>
      </c>
      <c r="B4851" s="8" t="s">
        <v>1208</v>
      </c>
      <c r="C4851" s="8" t="n">
        <v>27</v>
      </c>
      <c r="D4851" s="8" t="n">
        <v>1228.5</v>
      </c>
      <c r="E4851" s="8" t="n">
        <v>8</v>
      </c>
      <c r="F4851" s="8" t="n">
        <v>364</v>
      </c>
    </row>
    <row r="4852" customFormat="false" ht="15" hidden="false" customHeight="true" outlineLevel="0" collapsed="false">
      <c r="A4852" s="8" t="s">
        <v>162</v>
      </c>
      <c r="B4852" s="8" t="s">
        <v>1209</v>
      </c>
      <c r="C4852" s="8" t="n">
        <v>8</v>
      </c>
      <c r="D4852" s="8" t="n">
        <v>622.4</v>
      </c>
      <c r="E4852" s="8" t="n">
        <v>2</v>
      </c>
      <c r="F4852" s="8" t="n">
        <v>155.6</v>
      </c>
    </row>
    <row r="4853" customFormat="false" ht="15" hidden="false" customHeight="true" outlineLevel="0" collapsed="false">
      <c r="A4853" s="8" t="s">
        <v>166</v>
      </c>
      <c r="B4853" s="8" t="s">
        <v>1211</v>
      </c>
      <c r="C4853" s="8" t="n">
        <v>8</v>
      </c>
      <c r="D4853" s="8" t="n">
        <v>506.16</v>
      </c>
      <c r="E4853" s="8" t="n">
        <v>-2</v>
      </c>
      <c r="F4853" s="8" t="n">
        <v>-126.54</v>
      </c>
    </row>
    <row r="4854" customFormat="false" ht="15" hidden="false" customHeight="true" outlineLevel="0" collapsed="false">
      <c r="A4854" s="8" t="s">
        <v>164</v>
      </c>
      <c r="B4854" s="8" t="s">
        <v>1211</v>
      </c>
      <c r="C4854" s="8" t="n">
        <v>2</v>
      </c>
      <c r="D4854" s="8" t="n">
        <v>126.54</v>
      </c>
      <c r="E4854" s="8" t="n">
        <v>3</v>
      </c>
      <c r="F4854" s="8" t="n">
        <v>189.81</v>
      </c>
    </row>
    <row r="4855" customFormat="false" ht="15" hidden="false" customHeight="true" outlineLevel="0" collapsed="false">
      <c r="A4855" s="8" t="s">
        <v>222</v>
      </c>
      <c r="B4855" s="8" t="s">
        <v>1211</v>
      </c>
      <c r="C4855" s="8" t="n">
        <v>0</v>
      </c>
      <c r="D4855" s="8" t="n">
        <v>0</v>
      </c>
      <c r="E4855" s="8" t="n">
        <v>1</v>
      </c>
      <c r="F4855" s="8" t="n">
        <v>63.27</v>
      </c>
    </row>
    <row r="4856" customFormat="false" ht="15" hidden="false" customHeight="true" outlineLevel="0" collapsed="false">
      <c r="A4856" s="8" t="s">
        <v>187</v>
      </c>
      <c r="B4856" s="8" t="s">
        <v>1211</v>
      </c>
      <c r="C4856" s="8" t="n">
        <v>2</v>
      </c>
      <c r="D4856" s="8" t="n">
        <v>126.54</v>
      </c>
      <c r="E4856" s="8" t="n">
        <v>1</v>
      </c>
      <c r="F4856" s="8" t="n">
        <v>63.27</v>
      </c>
    </row>
    <row r="4857" customFormat="false" ht="15" hidden="false" customHeight="true" outlineLevel="0" collapsed="false">
      <c r="A4857" s="8" t="s">
        <v>270</v>
      </c>
      <c r="B4857" s="8" t="s">
        <v>1251</v>
      </c>
      <c r="C4857" s="8" t="n">
        <v>11</v>
      </c>
      <c r="D4857" s="8" t="n">
        <v>108.02</v>
      </c>
      <c r="E4857" s="8" t="n">
        <v>5</v>
      </c>
      <c r="F4857" s="8" t="n">
        <v>49.1</v>
      </c>
    </row>
    <row r="4858" customFormat="false" ht="15" hidden="false" customHeight="true" outlineLevel="0" collapsed="false">
      <c r="A4858" s="8" t="s">
        <v>263</v>
      </c>
      <c r="B4858" s="8" t="s">
        <v>407</v>
      </c>
      <c r="C4858" s="8" t="n">
        <v>22</v>
      </c>
      <c r="D4858" s="8" t="n">
        <v>282.04</v>
      </c>
      <c r="E4858" s="8" t="n">
        <v>0</v>
      </c>
      <c r="F4858" s="8" t="n">
        <v>0</v>
      </c>
    </row>
    <row r="4859" customFormat="false" ht="15" hidden="false" customHeight="true" outlineLevel="0" collapsed="false">
      <c r="A4859" s="8" t="s">
        <v>188</v>
      </c>
      <c r="B4859" s="8" t="s">
        <v>1225</v>
      </c>
      <c r="C4859" s="8" t="n">
        <v>8</v>
      </c>
      <c r="D4859" s="8" t="n">
        <v>231.44</v>
      </c>
      <c r="E4859" s="8" t="n">
        <v>3</v>
      </c>
      <c r="F4859" s="8" t="n">
        <v>86.79</v>
      </c>
    </row>
    <row r="4860" customFormat="false" ht="15" hidden="false" customHeight="true" outlineLevel="0" collapsed="false">
      <c r="A4860" s="8" t="s">
        <v>210</v>
      </c>
      <c r="B4860" s="8" t="s">
        <v>1225</v>
      </c>
      <c r="C4860" s="8" t="n">
        <v>8</v>
      </c>
      <c r="D4860" s="8" t="n">
        <v>231.44</v>
      </c>
      <c r="E4860" s="8" t="n">
        <v>-1</v>
      </c>
      <c r="F4860" s="8" t="n">
        <v>-28.93</v>
      </c>
    </row>
    <row r="4861" customFormat="false" ht="15" hidden="false" customHeight="true" outlineLevel="0" collapsed="false">
      <c r="A4861" s="8" t="s">
        <v>278</v>
      </c>
      <c r="B4861" s="8" t="s">
        <v>1225</v>
      </c>
      <c r="C4861" s="8" t="n">
        <v>4</v>
      </c>
      <c r="D4861" s="8" t="n">
        <v>115.72</v>
      </c>
      <c r="E4861" s="8" t="n">
        <v>-1</v>
      </c>
      <c r="F4861" s="8" t="n">
        <v>-28.93</v>
      </c>
    </row>
    <row r="4862" customFormat="false" ht="15" hidden="false" customHeight="true" outlineLevel="0" collapsed="false">
      <c r="A4862" s="8" t="s">
        <v>201</v>
      </c>
      <c r="B4862" s="8" t="s">
        <v>1226</v>
      </c>
      <c r="C4862" s="8" t="n">
        <v>2</v>
      </c>
      <c r="D4862" s="8" t="n">
        <v>84.34</v>
      </c>
      <c r="E4862" s="8" t="n">
        <v>0</v>
      </c>
      <c r="F4862" s="8" t="n">
        <v>0</v>
      </c>
    </row>
    <row r="4863" customFormat="false" ht="15" hidden="false" customHeight="true" outlineLevel="0" collapsed="false">
      <c r="A4863" s="8" t="s">
        <v>314</v>
      </c>
      <c r="B4863" s="8" t="s">
        <v>1226</v>
      </c>
      <c r="C4863" s="8" t="n">
        <v>1</v>
      </c>
      <c r="D4863" s="8" t="n">
        <v>42.17</v>
      </c>
      <c r="E4863" s="8" t="n">
        <v>0</v>
      </c>
      <c r="F4863" s="8" t="n">
        <v>0</v>
      </c>
    </row>
    <row r="4864" customFormat="false" ht="15" hidden="false" customHeight="true" outlineLevel="0" collapsed="false">
      <c r="A4864" s="8" t="s">
        <v>241</v>
      </c>
      <c r="B4864" s="8" t="s">
        <v>1227</v>
      </c>
      <c r="C4864" s="8" t="n">
        <v>3</v>
      </c>
      <c r="D4864" s="8" t="n">
        <v>51</v>
      </c>
      <c r="E4864" s="8" t="n">
        <v>-1</v>
      </c>
      <c r="F4864" s="8" t="n">
        <v>-17</v>
      </c>
    </row>
    <row r="4865" customFormat="false" ht="15" hidden="false" customHeight="true" outlineLevel="0" collapsed="false">
      <c r="A4865" s="8" t="s">
        <v>219</v>
      </c>
      <c r="B4865" s="8" t="s">
        <v>1227</v>
      </c>
      <c r="C4865" s="8" t="n">
        <v>5</v>
      </c>
      <c r="D4865" s="8" t="n">
        <v>85</v>
      </c>
      <c r="E4865" s="8" t="n">
        <v>0</v>
      </c>
      <c r="F4865" s="8" t="n">
        <v>0</v>
      </c>
    </row>
    <row r="4866" customFormat="false" ht="15" hidden="false" customHeight="true" outlineLevel="0" collapsed="false">
      <c r="A4866" s="8" t="s">
        <v>292</v>
      </c>
      <c r="B4866" s="8" t="s">
        <v>1227</v>
      </c>
      <c r="C4866" s="8" t="n">
        <v>3</v>
      </c>
      <c r="D4866" s="8" t="n">
        <v>51</v>
      </c>
      <c r="E4866" s="8" t="n">
        <v>0</v>
      </c>
      <c r="F4866" s="8" t="n">
        <v>0</v>
      </c>
    </row>
    <row r="4867" customFormat="false" ht="15" hidden="false" customHeight="true" outlineLevel="0" collapsed="false">
      <c r="A4867" s="8" t="s">
        <v>223</v>
      </c>
      <c r="B4867" s="8" t="s">
        <v>1227</v>
      </c>
      <c r="C4867" s="8" t="n">
        <v>9</v>
      </c>
      <c r="D4867" s="8" t="n">
        <v>153</v>
      </c>
      <c r="E4867" s="8" t="n">
        <v>-1</v>
      </c>
      <c r="F4867" s="8" t="n">
        <v>-17</v>
      </c>
    </row>
    <row r="4868" customFormat="false" ht="15" hidden="false" customHeight="true" outlineLevel="0" collapsed="false">
      <c r="A4868" s="8" t="s">
        <v>287</v>
      </c>
      <c r="B4868" s="8" t="s">
        <v>1227</v>
      </c>
      <c r="C4868" s="8" t="n">
        <v>3</v>
      </c>
      <c r="D4868" s="8" t="n">
        <v>51</v>
      </c>
      <c r="E4868" s="8" t="n">
        <v>0</v>
      </c>
      <c r="F4868" s="8" t="n">
        <v>0</v>
      </c>
    </row>
    <row r="4869" customFormat="false" ht="15" hidden="false" customHeight="true" outlineLevel="0" collapsed="false">
      <c r="A4869" s="8" t="s">
        <v>246</v>
      </c>
      <c r="B4869" s="8" t="s">
        <v>1261</v>
      </c>
      <c r="C4869" s="8" t="n">
        <v>12</v>
      </c>
      <c r="D4869" s="8" t="n">
        <v>208.2</v>
      </c>
      <c r="E4869" s="8" t="n">
        <v>0</v>
      </c>
      <c r="F4869" s="8" t="n">
        <v>0</v>
      </c>
    </row>
    <row r="4870" customFormat="false" ht="15" hidden="false" customHeight="true" outlineLevel="0" collapsed="false">
      <c r="A4870" s="8" t="s">
        <v>202</v>
      </c>
      <c r="B4870" s="8" t="s">
        <v>1212</v>
      </c>
      <c r="C4870" s="8" t="n">
        <v>24</v>
      </c>
      <c r="D4870" s="8" t="n">
        <v>228</v>
      </c>
      <c r="E4870" s="8" t="n">
        <v>7</v>
      </c>
      <c r="F4870" s="8" t="n">
        <v>66.5</v>
      </c>
    </row>
    <row r="4871" customFormat="false" ht="15" hidden="false" customHeight="true" outlineLevel="0" collapsed="false">
      <c r="A4871" s="8" t="s">
        <v>244</v>
      </c>
      <c r="B4871" s="8" t="s">
        <v>1213</v>
      </c>
      <c r="C4871" s="8" t="n">
        <v>33</v>
      </c>
      <c r="D4871" s="8" t="n">
        <v>313.5</v>
      </c>
      <c r="E4871" s="8" t="n">
        <v>3</v>
      </c>
      <c r="F4871" s="8" t="n">
        <v>28.5</v>
      </c>
    </row>
    <row r="4872" customFormat="false" ht="15" hidden="false" customHeight="true" outlineLevel="0" collapsed="false">
      <c r="A4872" s="8" t="s">
        <v>243</v>
      </c>
      <c r="B4872" s="8" t="s">
        <v>1253</v>
      </c>
      <c r="C4872" s="8" t="n">
        <v>10</v>
      </c>
      <c r="D4872" s="8" t="n">
        <v>129.5</v>
      </c>
      <c r="E4872" s="8" t="n">
        <v>-2</v>
      </c>
      <c r="F4872" s="8" t="n">
        <v>-25.9</v>
      </c>
    </row>
    <row r="4873" customFormat="false" ht="15" hidden="false" customHeight="true" outlineLevel="0" collapsed="false">
      <c r="A4873" s="8" t="s">
        <v>251</v>
      </c>
      <c r="B4873" s="8" t="s">
        <v>1262</v>
      </c>
      <c r="C4873" s="8" t="n">
        <v>20</v>
      </c>
      <c r="D4873" s="8" t="n">
        <v>194.2</v>
      </c>
      <c r="E4873" s="8" t="n">
        <v>7</v>
      </c>
      <c r="F4873" s="8" t="n">
        <v>67.97</v>
      </c>
    </row>
    <row r="4874" customFormat="false" ht="15" hidden="false" customHeight="true" outlineLevel="0" collapsed="false">
      <c r="A4874" s="8" t="s">
        <v>308</v>
      </c>
      <c r="B4874" s="8" t="s">
        <v>1229</v>
      </c>
      <c r="C4874" s="8" t="n">
        <v>18</v>
      </c>
      <c r="D4874" s="8" t="n">
        <v>145.44</v>
      </c>
      <c r="E4874" s="8" t="n">
        <v>5</v>
      </c>
      <c r="F4874" s="8" t="n">
        <v>40.4</v>
      </c>
    </row>
    <row r="4875" customFormat="false" ht="15" hidden="false" customHeight="true" outlineLevel="0" collapsed="false">
      <c r="A4875" s="8" t="s">
        <v>172</v>
      </c>
      <c r="B4875" s="8" t="s">
        <v>1214</v>
      </c>
      <c r="C4875" s="8" t="n">
        <v>26</v>
      </c>
      <c r="D4875" s="8" t="n">
        <v>316.68</v>
      </c>
      <c r="E4875" s="8" t="n">
        <v>6</v>
      </c>
      <c r="F4875" s="8" t="n">
        <v>73.08</v>
      </c>
    </row>
    <row r="4876" customFormat="false" ht="15" hidden="false" customHeight="true" outlineLevel="0" collapsed="false">
      <c r="A4876" s="8" t="s">
        <v>261</v>
      </c>
      <c r="B4876" s="8" t="s">
        <v>1215</v>
      </c>
      <c r="C4876" s="8" t="n">
        <v>5</v>
      </c>
      <c r="D4876" s="8" t="n">
        <v>106.05</v>
      </c>
      <c r="E4876" s="8" t="n">
        <v>3</v>
      </c>
      <c r="F4876" s="8" t="n">
        <v>63.63</v>
      </c>
    </row>
    <row r="4877" customFormat="false" ht="15" hidden="false" customHeight="true" outlineLevel="0" collapsed="false">
      <c r="A4877" s="8" t="s">
        <v>232</v>
      </c>
      <c r="B4877" s="8" t="s">
        <v>1233</v>
      </c>
      <c r="C4877" s="8" t="n">
        <v>6</v>
      </c>
      <c r="D4877" s="8" t="n">
        <v>97.2</v>
      </c>
      <c r="E4877" s="8" t="n">
        <v>0</v>
      </c>
      <c r="F4877" s="8" t="n">
        <v>0</v>
      </c>
    </row>
    <row r="4878" customFormat="false" ht="15" hidden="false" customHeight="true" outlineLevel="0" collapsed="false">
      <c r="A4878" s="8" t="s">
        <v>215</v>
      </c>
      <c r="B4878" s="8" t="s">
        <v>1233</v>
      </c>
      <c r="C4878" s="8" t="n">
        <v>5</v>
      </c>
      <c r="D4878" s="8" t="n">
        <v>89.1</v>
      </c>
      <c r="E4878" s="8" t="n">
        <v>0</v>
      </c>
      <c r="F4878" s="8" t="n">
        <v>0</v>
      </c>
    </row>
    <row r="4879" customFormat="false" ht="15" hidden="false" customHeight="true" outlineLevel="0" collapsed="false">
      <c r="A4879" s="8" t="s">
        <v>255</v>
      </c>
      <c r="B4879" s="8" t="s">
        <v>1273</v>
      </c>
      <c r="C4879" s="8" t="n">
        <v>20</v>
      </c>
      <c r="D4879" s="8" t="n">
        <v>164</v>
      </c>
      <c r="E4879" s="8" t="n">
        <v>0</v>
      </c>
      <c r="F4879" s="8" t="n">
        <v>0</v>
      </c>
    </row>
    <row r="4880" customFormat="false" ht="15" hidden="false" customHeight="true" outlineLevel="0" collapsed="false">
      <c r="A4880" s="8" t="s">
        <v>194</v>
      </c>
      <c r="B4880" s="8" t="s">
        <v>1239</v>
      </c>
      <c r="C4880" s="8" t="n">
        <v>62</v>
      </c>
      <c r="D4880" s="8" t="n">
        <v>608.84</v>
      </c>
      <c r="E4880" s="8" t="n">
        <v>5</v>
      </c>
      <c r="F4880" s="8" t="n">
        <v>49.1</v>
      </c>
    </row>
    <row r="4881" customFormat="false" ht="15" hidden="false" customHeight="true" outlineLevel="0" collapsed="false">
      <c r="A4881" s="8" t="s">
        <v>285</v>
      </c>
      <c r="B4881" s="8" t="s">
        <v>1237</v>
      </c>
      <c r="C4881" s="8" t="n">
        <v>8</v>
      </c>
      <c r="D4881" s="8" t="n">
        <v>147.2</v>
      </c>
      <c r="E4881" s="8" t="n">
        <v>0</v>
      </c>
      <c r="F4881" s="8" t="n">
        <v>0</v>
      </c>
    </row>
    <row r="4882" customFormat="false" ht="15" hidden="false" customHeight="true" outlineLevel="0" collapsed="false">
      <c r="A4882" s="8" t="s">
        <v>217</v>
      </c>
      <c r="B4882" s="8" t="s">
        <v>1237</v>
      </c>
      <c r="C4882" s="8" t="n">
        <v>17</v>
      </c>
      <c r="D4882" s="8" t="n">
        <v>312.8</v>
      </c>
      <c r="E4882" s="8" t="n">
        <v>5</v>
      </c>
      <c r="F4882" s="8" t="n">
        <v>92</v>
      </c>
    </row>
    <row r="4883" customFormat="false" ht="15" hidden="false" customHeight="true" outlineLevel="0" collapsed="false">
      <c r="A4883" s="8" t="s">
        <v>313</v>
      </c>
      <c r="B4883" s="8" t="s">
        <v>1294</v>
      </c>
      <c r="C4883" s="8" t="n">
        <v>17</v>
      </c>
      <c r="D4883" s="8" t="n">
        <v>312.8</v>
      </c>
      <c r="E4883" s="8" t="n">
        <v>0</v>
      </c>
      <c r="F4883" s="8" t="n">
        <v>0</v>
      </c>
    </row>
    <row r="4884" customFormat="false" ht="15" hidden="false" customHeight="true" outlineLevel="0" collapsed="false">
      <c r="A4884" s="8" t="s">
        <v>316</v>
      </c>
      <c r="B4884" s="8" t="s">
        <v>1294</v>
      </c>
      <c r="C4884" s="8" t="n">
        <v>11</v>
      </c>
      <c r="D4884" s="8" t="n">
        <v>202.4</v>
      </c>
      <c r="E4884" s="8" t="n">
        <v>0</v>
      </c>
      <c r="F4884" s="8" t="n">
        <v>0</v>
      </c>
    </row>
    <row r="4885" customFormat="false" ht="15" hidden="false" customHeight="true" outlineLevel="0" collapsed="false">
      <c r="A4885" s="8" t="s">
        <v>335</v>
      </c>
      <c r="B4885" s="8" t="s">
        <v>1294</v>
      </c>
      <c r="C4885" s="8" t="n">
        <v>20</v>
      </c>
      <c r="D4885" s="8" t="n">
        <v>368</v>
      </c>
      <c r="E4885" s="8" t="n">
        <v>4</v>
      </c>
      <c r="F4885" s="8" t="n">
        <v>73.6</v>
      </c>
    </row>
    <row r="4886" customFormat="false" ht="15" hidden="false" customHeight="true" outlineLevel="0" collapsed="false">
      <c r="A4886" s="8" t="s">
        <v>322</v>
      </c>
      <c r="B4886" s="8" t="s">
        <v>1264</v>
      </c>
      <c r="C4886" s="8" t="n">
        <v>9</v>
      </c>
      <c r="D4886" s="8" t="n">
        <v>165.6</v>
      </c>
      <c r="E4886" s="8" t="n">
        <v>0</v>
      </c>
      <c r="F4886" s="8" t="n">
        <v>0</v>
      </c>
    </row>
    <row r="4887" customFormat="false" ht="15" hidden="false" customHeight="true" outlineLevel="0" collapsed="false">
      <c r="A4887" s="8" t="s">
        <v>364</v>
      </c>
      <c r="B4887" s="8" t="s">
        <v>1264</v>
      </c>
      <c r="C4887" s="8" t="n">
        <v>6</v>
      </c>
      <c r="D4887" s="8" t="n">
        <v>110.4</v>
      </c>
      <c r="E4887" s="8" t="n">
        <v>3</v>
      </c>
      <c r="F4887" s="8" t="n">
        <v>55.2</v>
      </c>
    </row>
    <row r="4888" customFormat="false" ht="15" hidden="false" customHeight="true" outlineLevel="0" collapsed="false">
      <c r="A4888" s="8" t="s">
        <v>325</v>
      </c>
      <c r="B4888" s="8" t="s">
        <v>1264</v>
      </c>
      <c r="C4888" s="8" t="n">
        <v>4</v>
      </c>
      <c r="D4888" s="8" t="n">
        <v>73.6</v>
      </c>
      <c r="E4888" s="8" t="n">
        <v>10</v>
      </c>
      <c r="F4888" s="8" t="n">
        <v>184</v>
      </c>
    </row>
    <row r="4889" customFormat="false" ht="15" hidden="false" customHeight="true" outlineLevel="0" collapsed="false">
      <c r="A4889" s="8" t="s">
        <v>192</v>
      </c>
      <c r="B4889" s="8" t="s">
        <v>1240</v>
      </c>
      <c r="C4889" s="8" t="n">
        <v>7</v>
      </c>
      <c r="D4889" s="8" t="n">
        <v>292.67</v>
      </c>
      <c r="E4889" s="8" t="n">
        <v>0</v>
      </c>
      <c r="F4889" s="8" t="n">
        <v>0</v>
      </c>
    </row>
    <row r="4890" customFormat="false" ht="15" hidden="false" customHeight="true" outlineLevel="0" collapsed="false">
      <c r="A4890" s="8" t="s">
        <v>168</v>
      </c>
      <c r="B4890" s="8" t="s">
        <v>1240</v>
      </c>
      <c r="C4890" s="8" t="n">
        <v>17</v>
      </c>
      <c r="D4890" s="8" t="n">
        <v>710.77</v>
      </c>
      <c r="E4890" s="8" t="n">
        <v>-2</v>
      </c>
      <c r="F4890" s="8" t="n">
        <v>-83.62</v>
      </c>
    </row>
    <row r="4891" customFormat="false" ht="15" hidden="false" customHeight="true" outlineLevel="0" collapsed="false">
      <c r="A4891" s="8" t="s">
        <v>169</v>
      </c>
      <c r="B4891" s="8" t="s">
        <v>1240</v>
      </c>
      <c r="C4891" s="8" t="n">
        <v>5</v>
      </c>
      <c r="D4891" s="8" t="n">
        <v>209.05</v>
      </c>
      <c r="E4891" s="8" t="n">
        <v>0</v>
      </c>
      <c r="F4891" s="8" t="n">
        <v>0</v>
      </c>
    </row>
    <row r="4892" customFormat="false" ht="15" hidden="false" customHeight="true" outlineLevel="0" collapsed="false">
      <c r="A4892" s="8" t="s">
        <v>180</v>
      </c>
      <c r="B4892" s="8" t="s">
        <v>1216</v>
      </c>
      <c r="C4892" s="8" t="n">
        <v>13</v>
      </c>
      <c r="D4892" s="8" t="n">
        <v>214.5</v>
      </c>
      <c r="E4892" s="8" t="n">
        <v>6</v>
      </c>
      <c r="F4892" s="8" t="n">
        <v>99</v>
      </c>
    </row>
    <row r="4893" customFormat="false" ht="15" hidden="false" customHeight="true" outlineLevel="0" collapsed="false">
      <c r="A4893" s="8" t="s">
        <v>189</v>
      </c>
      <c r="B4893" s="8" t="s">
        <v>1216</v>
      </c>
      <c r="C4893" s="8" t="n">
        <v>11</v>
      </c>
      <c r="D4893" s="8" t="n">
        <v>181.5</v>
      </c>
      <c r="E4893" s="8" t="n">
        <v>3</v>
      </c>
      <c r="F4893" s="8" t="n">
        <v>49.5</v>
      </c>
    </row>
    <row r="4894" customFormat="false" ht="15" hidden="false" customHeight="true" outlineLevel="0" collapsed="false">
      <c r="A4894" s="8" t="s">
        <v>267</v>
      </c>
      <c r="B4894" s="8" t="s">
        <v>1216</v>
      </c>
      <c r="C4894" s="8" t="n">
        <v>4</v>
      </c>
      <c r="D4894" s="8" t="n">
        <v>66</v>
      </c>
      <c r="E4894" s="8" t="n">
        <v>0</v>
      </c>
      <c r="F4894" s="8" t="n">
        <v>0</v>
      </c>
    </row>
    <row r="4895" customFormat="false" ht="15" hidden="false" customHeight="true" outlineLevel="0" collapsed="false">
      <c r="A4895" s="8" t="s">
        <v>199</v>
      </c>
      <c r="B4895" s="8" t="s">
        <v>1216</v>
      </c>
      <c r="C4895" s="8" t="n">
        <v>4</v>
      </c>
      <c r="D4895" s="8" t="n">
        <v>66</v>
      </c>
      <c r="E4895" s="8" t="n">
        <v>7</v>
      </c>
      <c r="F4895" s="8" t="n">
        <v>115.5</v>
      </c>
    </row>
    <row r="4896" customFormat="false" ht="15" hidden="false" customHeight="true" outlineLevel="0" collapsed="false">
      <c r="A4896" s="8" t="s">
        <v>250</v>
      </c>
      <c r="B4896" s="8" t="s">
        <v>1216</v>
      </c>
      <c r="C4896" s="8" t="n">
        <v>3</v>
      </c>
      <c r="D4896" s="8" t="n">
        <v>49.5</v>
      </c>
      <c r="E4896" s="8" t="n">
        <v>1</v>
      </c>
      <c r="F4896" s="8" t="n">
        <v>16.5</v>
      </c>
    </row>
    <row r="4897" customFormat="false" ht="15" hidden="false" customHeight="true" outlineLevel="0" collapsed="false">
      <c r="A4897" s="8" t="s">
        <v>198</v>
      </c>
      <c r="B4897" s="8" t="s">
        <v>1217</v>
      </c>
      <c r="C4897" s="8" t="n">
        <v>2</v>
      </c>
      <c r="D4897" s="8" t="n">
        <v>41</v>
      </c>
      <c r="E4897" s="8" t="n">
        <v>0</v>
      </c>
      <c r="F4897" s="8" t="n">
        <v>0</v>
      </c>
    </row>
    <row r="4898" customFormat="false" ht="15" hidden="false" customHeight="true" outlineLevel="0" collapsed="false">
      <c r="A4898" s="8" t="s">
        <v>193</v>
      </c>
      <c r="B4898" s="8" t="s">
        <v>1217</v>
      </c>
      <c r="C4898" s="8" t="n">
        <v>1</v>
      </c>
      <c r="D4898" s="8" t="n">
        <v>20.5</v>
      </c>
      <c r="E4898" s="8" t="n">
        <v>0</v>
      </c>
      <c r="F4898" s="8" t="n">
        <v>0</v>
      </c>
    </row>
    <row r="4899" customFormat="false" ht="15" hidden="false" customHeight="true" outlineLevel="0" collapsed="false">
      <c r="A4899" s="8" t="s">
        <v>302</v>
      </c>
      <c r="B4899" s="8" t="s">
        <v>1217</v>
      </c>
      <c r="C4899" s="8" t="n">
        <v>1</v>
      </c>
      <c r="D4899" s="8" t="n">
        <v>20.5</v>
      </c>
      <c r="E4899" s="8" t="n">
        <v>0</v>
      </c>
      <c r="F4899" s="8" t="n">
        <v>0</v>
      </c>
    </row>
    <row r="4900" customFormat="false" ht="15" hidden="false" customHeight="true" outlineLevel="0" collapsed="false">
      <c r="A4900" s="8" t="s">
        <v>205</v>
      </c>
      <c r="B4900" s="8" t="s">
        <v>1217</v>
      </c>
      <c r="C4900" s="8" t="n">
        <v>2</v>
      </c>
      <c r="D4900" s="8" t="n">
        <v>41</v>
      </c>
      <c r="E4900" s="8" t="n">
        <v>0</v>
      </c>
      <c r="F4900" s="8" t="n">
        <v>0</v>
      </c>
    </row>
    <row r="4901" customFormat="false" ht="15" hidden="false" customHeight="true" outlineLevel="0" collapsed="false">
      <c r="A4901" s="8" t="s">
        <v>354</v>
      </c>
      <c r="B4901" s="8" t="s">
        <v>767</v>
      </c>
      <c r="C4901" s="8" t="n">
        <v>2</v>
      </c>
      <c r="D4901" s="8" t="n">
        <v>42</v>
      </c>
      <c r="E4901" s="8" t="n">
        <v>0</v>
      </c>
      <c r="F4901" s="8" t="n">
        <v>0</v>
      </c>
    </row>
    <row r="4902" customFormat="false" ht="15" hidden="false" customHeight="true" outlineLevel="0" collapsed="false">
      <c r="A4902" s="8" t="s">
        <v>369</v>
      </c>
      <c r="B4902" s="8" t="s">
        <v>767</v>
      </c>
      <c r="C4902" s="8" t="n">
        <v>2</v>
      </c>
      <c r="D4902" s="8" t="n">
        <v>42</v>
      </c>
      <c r="E4902" s="8" t="n">
        <v>0</v>
      </c>
      <c r="F4902" s="8" t="n">
        <v>0</v>
      </c>
    </row>
    <row r="4903" customFormat="false" ht="15" hidden="false" customHeight="true" outlineLevel="0" collapsed="false">
      <c r="A4903" s="8" t="s">
        <v>95</v>
      </c>
      <c r="B4903" s="8" t="s">
        <v>1247</v>
      </c>
      <c r="C4903" s="8" t="n">
        <v>0</v>
      </c>
      <c r="D4903" s="8" t="n">
        <v>0</v>
      </c>
      <c r="E4903" s="8" t="n">
        <v>3</v>
      </c>
      <c r="F4903" s="8" t="n">
        <v>75</v>
      </c>
    </row>
    <row r="4904" customFormat="false" ht="15" hidden="false" customHeight="true" outlineLevel="0" collapsed="false">
      <c r="A4904" s="8" t="s">
        <v>113</v>
      </c>
      <c r="B4904" s="8" t="s">
        <v>1247</v>
      </c>
      <c r="C4904" s="8" t="n">
        <v>6</v>
      </c>
      <c r="D4904" s="8" t="n">
        <v>150</v>
      </c>
      <c r="E4904" s="8" t="n">
        <v>0</v>
      </c>
      <c r="F4904" s="8" t="n">
        <v>0</v>
      </c>
    </row>
    <row r="4905" customFormat="false" ht="15" hidden="false" customHeight="true" outlineLevel="0" collapsed="false">
      <c r="A4905" s="8" t="s">
        <v>120</v>
      </c>
      <c r="B4905" s="8" t="s">
        <v>1247</v>
      </c>
      <c r="C4905" s="8" t="n">
        <v>13</v>
      </c>
      <c r="D4905" s="8" t="n">
        <v>325</v>
      </c>
      <c r="E4905" s="8" t="n">
        <v>2</v>
      </c>
      <c r="F4905" s="8" t="n">
        <v>50</v>
      </c>
    </row>
    <row r="4906" customFormat="false" ht="15" hidden="false" customHeight="true" outlineLevel="0" collapsed="false">
      <c r="A4906" s="8" t="s">
        <v>303</v>
      </c>
      <c r="B4906" s="8" t="s">
        <v>1247</v>
      </c>
      <c r="C4906" s="8" t="n">
        <v>2</v>
      </c>
      <c r="D4906" s="8" t="n">
        <v>125.94</v>
      </c>
      <c r="E4906" s="8" t="n">
        <v>0</v>
      </c>
      <c r="F4906" s="8" t="n">
        <v>0</v>
      </c>
    </row>
    <row r="4907" customFormat="false" ht="15" hidden="false" customHeight="true" outlineLevel="0" collapsed="false">
      <c r="A4907" s="8" t="s">
        <v>361</v>
      </c>
      <c r="B4907" s="8" t="s">
        <v>1247</v>
      </c>
      <c r="C4907" s="8" t="n">
        <v>2</v>
      </c>
      <c r="D4907" s="8" t="n">
        <v>125.94</v>
      </c>
      <c r="E4907" s="8" t="n">
        <v>0</v>
      </c>
      <c r="F4907" s="8" t="n">
        <v>0</v>
      </c>
    </row>
    <row r="4908" customFormat="false" ht="15" hidden="false" customHeight="true" outlineLevel="0" collapsed="false">
      <c r="A4908" s="8" t="s">
        <v>178</v>
      </c>
      <c r="B4908" s="8" t="s">
        <v>1236</v>
      </c>
      <c r="C4908" s="8" t="n">
        <v>5</v>
      </c>
      <c r="D4908" s="8" t="n">
        <v>175</v>
      </c>
      <c r="E4908" s="8" t="n">
        <v>2</v>
      </c>
      <c r="F4908" s="8" t="n">
        <v>70</v>
      </c>
    </row>
    <row r="4909" customFormat="false" ht="15" hidden="false" customHeight="true" outlineLevel="0" collapsed="false">
      <c r="A4909" s="8" t="s">
        <v>176</v>
      </c>
      <c r="B4909" s="8" t="s">
        <v>1236</v>
      </c>
      <c r="C4909" s="8" t="n">
        <v>5</v>
      </c>
      <c r="D4909" s="8" t="n">
        <v>175</v>
      </c>
      <c r="E4909" s="8" t="n">
        <v>1</v>
      </c>
      <c r="F4909" s="8" t="n">
        <v>35</v>
      </c>
    </row>
    <row r="4910" customFormat="false" ht="15" hidden="false" customHeight="true" outlineLevel="0" collapsed="false">
      <c r="A4910" s="8" t="s">
        <v>235</v>
      </c>
      <c r="B4910" s="8" t="s">
        <v>1236</v>
      </c>
      <c r="C4910" s="8" t="n">
        <v>2</v>
      </c>
      <c r="D4910" s="8" t="n">
        <v>70</v>
      </c>
      <c r="E4910" s="8" t="n">
        <v>0</v>
      </c>
      <c r="F4910" s="8" t="n">
        <v>0</v>
      </c>
    </row>
    <row r="4911" customFormat="false" ht="15" hidden="false" customHeight="true" outlineLevel="0" collapsed="false">
      <c r="A4911" s="8" t="s">
        <v>224</v>
      </c>
      <c r="B4911" s="8" t="s">
        <v>1236</v>
      </c>
      <c r="C4911" s="8" t="n">
        <v>1</v>
      </c>
      <c r="D4911" s="8" t="n">
        <v>35</v>
      </c>
      <c r="E4911" s="8" t="n">
        <v>0</v>
      </c>
      <c r="F4911" s="8" t="n">
        <v>0</v>
      </c>
    </row>
    <row r="4912" customFormat="false" ht="15" hidden="false" customHeight="true" outlineLevel="0" collapsed="false">
      <c r="A4912" s="8" t="s">
        <v>240</v>
      </c>
      <c r="B4912" s="8" t="s">
        <v>769</v>
      </c>
      <c r="C4912" s="8" t="n">
        <v>3</v>
      </c>
      <c r="D4912" s="8" t="n">
        <v>51</v>
      </c>
      <c r="E4912" s="8" t="n">
        <v>2</v>
      </c>
      <c r="F4912" s="8" t="n">
        <v>34</v>
      </c>
    </row>
    <row r="4913" customFormat="false" ht="15" hidden="false" customHeight="true" outlineLevel="0" collapsed="false">
      <c r="A4913" s="8" t="s">
        <v>234</v>
      </c>
      <c r="B4913" s="8" t="s">
        <v>769</v>
      </c>
      <c r="C4913" s="8" t="n">
        <v>8</v>
      </c>
      <c r="D4913" s="8" t="n">
        <v>136</v>
      </c>
      <c r="E4913" s="8" t="n">
        <v>0</v>
      </c>
      <c r="F4913" s="8" t="n">
        <v>0</v>
      </c>
    </row>
    <row r="4914" customFormat="false" ht="15" hidden="false" customHeight="true" outlineLevel="0" collapsed="false">
      <c r="A4914" s="8" t="s">
        <v>247</v>
      </c>
      <c r="B4914" s="8" t="s">
        <v>769</v>
      </c>
      <c r="C4914" s="8" t="n">
        <v>1</v>
      </c>
      <c r="D4914" s="8" t="n">
        <v>17</v>
      </c>
      <c r="E4914" s="8" t="n">
        <v>0</v>
      </c>
      <c r="F4914" s="8" t="n">
        <v>0</v>
      </c>
    </row>
    <row r="4915" customFormat="false" ht="15" hidden="false" customHeight="true" outlineLevel="0" collapsed="false">
      <c r="A4915" s="8" t="s">
        <v>274</v>
      </c>
      <c r="B4915" s="8" t="s">
        <v>1219</v>
      </c>
      <c r="C4915" s="8" t="n">
        <v>7</v>
      </c>
      <c r="D4915" s="8" t="n">
        <v>61.11</v>
      </c>
      <c r="E4915" s="8" t="n">
        <v>0</v>
      </c>
      <c r="F4915" s="8" t="n">
        <v>0</v>
      </c>
    </row>
    <row r="4916" customFormat="false" ht="15" hidden="false" customHeight="true" outlineLevel="0" collapsed="false">
      <c r="A4916" s="8" t="s">
        <v>170</v>
      </c>
      <c r="B4916" s="8" t="s">
        <v>1220</v>
      </c>
      <c r="C4916" s="8" t="n">
        <v>12</v>
      </c>
      <c r="D4916" s="8" t="n">
        <v>177.6</v>
      </c>
      <c r="E4916" s="8" t="n">
        <v>0</v>
      </c>
      <c r="F4916" s="8" t="n">
        <v>0</v>
      </c>
    </row>
    <row r="4917" customFormat="false" ht="15" hidden="false" customHeight="true" outlineLevel="0" collapsed="false">
      <c r="A4917" s="8" t="s">
        <v>167</v>
      </c>
      <c r="B4917" s="8" t="s">
        <v>1238</v>
      </c>
      <c r="C4917" s="8" t="n">
        <v>51</v>
      </c>
      <c r="D4917" s="8" t="n">
        <v>683.4</v>
      </c>
      <c r="E4917" s="8" t="n">
        <v>10</v>
      </c>
      <c r="F4917" s="8" t="n">
        <v>134</v>
      </c>
    </row>
    <row r="4918" customFormat="false" ht="15" hidden="false" customHeight="true" outlineLevel="0" collapsed="false">
      <c r="A4918" s="8" t="s">
        <v>323</v>
      </c>
      <c r="B4918" s="8" t="s">
        <v>875</v>
      </c>
      <c r="C4918" s="8" t="n">
        <v>11</v>
      </c>
      <c r="D4918" s="8" t="n">
        <v>175.01</v>
      </c>
      <c r="E4918" s="8" t="n">
        <v>-2</v>
      </c>
      <c r="F4918" s="8" t="n">
        <v>-31.82</v>
      </c>
    </row>
    <row r="4919" customFormat="false" ht="15" hidden="false" customHeight="true" outlineLevel="0" collapsed="false">
      <c r="A4919" s="8" t="s">
        <v>315</v>
      </c>
      <c r="B4919" s="8" t="s">
        <v>1266</v>
      </c>
      <c r="C4919" s="8" t="n">
        <v>3</v>
      </c>
      <c r="D4919" s="8" t="n">
        <v>47.73</v>
      </c>
      <c r="E4919" s="8" t="n">
        <v>0</v>
      </c>
      <c r="F4919" s="8" t="n">
        <v>0</v>
      </c>
    </row>
    <row r="4920" customFormat="false" ht="15" hidden="false" customHeight="true" outlineLevel="0" collapsed="false">
      <c r="A4920" s="8" t="s">
        <v>359</v>
      </c>
      <c r="B4920" s="8" t="s">
        <v>1291</v>
      </c>
      <c r="C4920" s="8" t="n">
        <v>2</v>
      </c>
      <c r="D4920" s="8" t="n">
        <v>64.28</v>
      </c>
      <c r="E4920" s="8" t="n">
        <v>0</v>
      </c>
      <c r="F4920" s="8" t="n">
        <v>0</v>
      </c>
    </row>
    <row r="4921" customFormat="false" ht="15" hidden="false" customHeight="true" outlineLevel="0" collapsed="false">
      <c r="A4921" s="8" t="s">
        <v>203</v>
      </c>
      <c r="B4921" s="8" t="s">
        <v>1177</v>
      </c>
      <c r="C4921" s="8" t="n">
        <v>2</v>
      </c>
      <c r="D4921" s="8" t="n">
        <v>37</v>
      </c>
      <c r="E4921" s="8" t="n">
        <v>2</v>
      </c>
      <c r="F4921" s="8" t="n">
        <v>37</v>
      </c>
    </row>
    <row r="4922" customFormat="false" ht="15" hidden="false" customHeight="true" outlineLevel="0" collapsed="false">
      <c r="A4922" s="8" t="s">
        <v>340</v>
      </c>
      <c r="B4922" s="8" t="s">
        <v>1267</v>
      </c>
      <c r="C4922" s="8" t="n">
        <v>1</v>
      </c>
      <c r="D4922" s="8" t="n">
        <v>128.71</v>
      </c>
      <c r="E4922" s="8" t="n">
        <v>0</v>
      </c>
      <c r="F4922" s="8" t="n">
        <v>0</v>
      </c>
    </row>
    <row r="4923" customFormat="false" ht="15" hidden="false" customHeight="true" outlineLevel="0" collapsed="false">
      <c r="A4923" s="8" t="s">
        <v>190</v>
      </c>
      <c r="B4923" s="8" t="s">
        <v>1224</v>
      </c>
      <c r="C4923" s="8" t="n">
        <v>2</v>
      </c>
      <c r="D4923" s="8" t="n">
        <v>48.86</v>
      </c>
      <c r="E4923" s="8" t="n">
        <v>0</v>
      </c>
      <c r="F4923" s="8" t="n">
        <v>0</v>
      </c>
    </row>
    <row r="4924" customFormat="false" ht="15" hidden="false" customHeight="true" outlineLevel="0" collapsed="false">
      <c r="A4924" s="8" t="s">
        <v>183</v>
      </c>
      <c r="B4924" s="8" t="s">
        <v>1224</v>
      </c>
      <c r="C4924" s="8" t="n">
        <v>2</v>
      </c>
      <c r="D4924" s="8" t="n">
        <v>48.86</v>
      </c>
      <c r="E4924" s="8" t="n">
        <v>2</v>
      </c>
      <c r="F4924" s="8" t="n">
        <v>48.86</v>
      </c>
    </row>
    <row r="4925" customFormat="false" ht="15" hidden="false" customHeight="true" outlineLevel="0" collapsed="false">
      <c r="A4925" s="8" t="s">
        <v>218</v>
      </c>
      <c r="B4925" s="8" t="s">
        <v>1224</v>
      </c>
      <c r="C4925" s="8" t="n">
        <v>2</v>
      </c>
      <c r="D4925" s="8" t="n">
        <v>48.86</v>
      </c>
      <c r="E4925" s="8" t="n">
        <v>1</v>
      </c>
      <c r="F4925" s="8" t="n">
        <v>24.43</v>
      </c>
    </row>
    <row r="4926" customFormat="false" ht="15" hidden="false" customHeight="true" outlineLevel="0" collapsed="false">
      <c r="A4926" s="8" t="s">
        <v>231</v>
      </c>
      <c r="B4926" s="8" t="s">
        <v>1224</v>
      </c>
      <c r="C4926" s="8" t="n">
        <v>2</v>
      </c>
      <c r="D4926" s="8" t="n">
        <v>48.86</v>
      </c>
      <c r="E4926" s="8" t="n">
        <v>0</v>
      </c>
      <c r="F4926" s="8" t="n">
        <v>0</v>
      </c>
    </row>
    <row r="4927" customFormat="false" ht="15" hidden="false" customHeight="true" outlineLevel="0" collapsed="false">
      <c r="A4927" s="8" t="s">
        <v>161</v>
      </c>
      <c r="B4927" s="8" t="s">
        <v>1208</v>
      </c>
      <c r="C4927" s="8" t="n">
        <v>2</v>
      </c>
      <c r="D4927" s="8" t="n">
        <v>91</v>
      </c>
      <c r="E4927" s="8" t="n">
        <v>1</v>
      </c>
      <c r="F4927" s="8" t="n">
        <v>45.5</v>
      </c>
    </row>
    <row r="4928" customFormat="false" ht="15" hidden="false" customHeight="true" outlineLevel="0" collapsed="false">
      <c r="A4928" s="8" t="s">
        <v>166</v>
      </c>
      <c r="B4928" s="8" t="s">
        <v>1211</v>
      </c>
      <c r="C4928" s="8" t="n">
        <v>2</v>
      </c>
      <c r="D4928" s="8" t="n">
        <v>126.54</v>
      </c>
      <c r="E4928" s="8" t="n">
        <v>0</v>
      </c>
      <c r="F4928" s="8" t="n">
        <v>0</v>
      </c>
    </row>
    <row r="4929" customFormat="false" ht="15" hidden="false" customHeight="true" outlineLevel="0" collapsed="false">
      <c r="A4929" s="8" t="s">
        <v>270</v>
      </c>
      <c r="B4929" s="8" t="s">
        <v>1251</v>
      </c>
      <c r="C4929" s="8" t="n">
        <v>0</v>
      </c>
      <c r="D4929" s="8" t="n">
        <v>0</v>
      </c>
      <c r="E4929" s="8" t="n">
        <v>1</v>
      </c>
      <c r="F4929" s="8" t="n">
        <v>9.82</v>
      </c>
    </row>
    <row r="4930" customFormat="false" ht="15" hidden="false" customHeight="true" outlineLevel="0" collapsed="false">
      <c r="A4930" s="8" t="s">
        <v>263</v>
      </c>
      <c r="B4930" s="8" t="s">
        <v>407</v>
      </c>
      <c r="C4930" s="8" t="n">
        <v>1</v>
      </c>
      <c r="D4930" s="8" t="n">
        <v>12.82</v>
      </c>
      <c r="E4930" s="8" t="n">
        <v>0</v>
      </c>
      <c r="F4930" s="8" t="n">
        <v>0</v>
      </c>
    </row>
    <row r="4931" customFormat="false" ht="15" hidden="false" customHeight="true" outlineLevel="0" collapsed="false">
      <c r="A4931" s="8" t="s">
        <v>188</v>
      </c>
      <c r="B4931" s="8" t="s">
        <v>1225</v>
      </c>
      <c r="C4931" s="8" t="n">
        <v>2</v>
      </c>
      <c r="D4931" s="8" t="n">
        <v>57.86</v>
      </c>
      <c r="E4931" s="8" t="n">
        <v>0</v>
      </c>
      <c r="F4931" s="8" t="n">
        <v>0</v>
      </c>
    </row>
    <row r="4932" customFormat="false" ht="15" hidden="false" customHeight="true" outlineLevel="0" collapsed="false">
      <c r="A4932" s="8" t="s">
        <v>186</v>
      </c>
      <c r="B4932" s="8" t="s">
        <v>1225</v>
      </c>
      <c r="C4932" s="8" t="n">
        <v>1</v>
      </c>
      <c r="D4932" s="8" t="n">
        <v>28.93</v>
      </c>
      <c r="E4932" s="8" t="n">
        <v>0</v>
      </c>
      <c r="F4932" s="8" t="n">
        <v>0</v>
      </c>
    </row>
    <row r="4933" customFormat="false" ht="15" hidden="false" customHeight="true" outlineLevel="0" collapsed="false">
      <c r="A4933" s="8" t="s">
        <v>210</v>
      </c>
      <c r="B4933" s="8" t="s">
        <v>1225</v>
      </c>
      <c r="C4933" s="8" t="n">
        <v>1</v>
      </c>
      <c r="D4933" s="8" t="n">
        <v>28.93</v>
      </c>
      <c r="E4933" s="8" t="n">
        <v>1</v>
      </c>
      <c r="F4933" s="8" t="n">
        <v>28.93</v>
      </c>
    </row>
    <row r="4934" customFormat="false" ht="15" hidden="false" customHeight="true" outlineLevel="0" collapsed="false">
      <c r="A4934" s="8" t="s">
        <v>238</v>
      </c>
      <c r="B4934" s="8" t="s">
        <v>1226</v>
      </c>
      <c r="C4934" s="8" t="n">
        <v>1</v>
      </c>
      <c r="D4934" s="8" t="n">
        <v>42.17</v>
      </c>
      <c r="E4934" s="8" t="n">
        <v>0</v>
      </c>
      <c r="F4934" s="8" t="n">
        <v>0</v>
      </c>
    </row>
    <row r="4935" customFormat="false" ht="15" hidden="false" customHeight="true" outlineLevel="0" collapsed="false">
      <c r="A4935" s="8" t="s">
        <v>214</v>
      </c>
      <c r="B4935" s="8" t="s">
        <v>1226</v>
      </c>
      <c r="C4935" s="8" t="n">
        <v>3</v>
      </c>
      <c r="D4935" s="8" t="n">
        <v>126.51</v>
      </c>
      <c r="E4935" s="8" t="n">
        <v>0</v>
      </c>
      <c r="F4935" s="8" t="n">
        <v>0</v>
      </c>
    </row>
    <row r="4936" customFormat="false" ht="15" hidden="false" customHeight="true" outlineLevel="0" collapsed="false">
      <c r="A4936" s="8" t="s">
        <v>309</v>
      </c>
      <c r="B4936" s="8" t="s">
        <v>1226</v>
      </c>
      <c r="C4936" s="8" t="n">
        <v>-1</v>
      </c>
      <c r="D4936" s="8" t="n">
        <v>-42.17</v>
      </c>
      <c r="E4936" s="8" t="n">
        <v>0</v>
      </c>
      <c r="F4936" s="8" t="n">
        <v>0</v>
      </c>
    </row>
    <row r="4937" customFormat="false" ht="15" hidden="false" customHeight="true" outlineLevel="0" collapsed="false">
      <c r="A4937" s="8" t="s">
        <v>241</v>
      </c>
      <c r="B4937" s="8" t="s">
        <v>1227</v>
      </c>
      <c r="C4937" s="8" t="n">
        <v>3</v>
      </c>
      <c r="D4937" s="8" t="n">
        <v>51</v>
      </c>
      <c r="E4937" s="8" t="n">
        <v>0</v>
      </c>
      <c r="F4937" s="8" t="n">
        <v>0</v>
      </c>
    </row>
    <row r="4938" customFormat="false" ht="15" hidden="false" customHeight="true" outlineLevel="0" collapsed="false">
      <c r="A4938" s="8" t="s">
        <v>219</v>
      </c>
      <c r="B4938" s="8" t="s">
        <v>1227</v>
      </c>
      <c r="C4938" s="8" t="n">
        <v>1</v>
      </c>
      <c r="D4938" s="8" t="n">
        <v>17</v>
      </c>
      <c r="E4938" s="8" t="n">
        <v>1</v>
      </c>
      <c r="F4938" s="8" t="n">
        <v>17</v>
      </c>
    </row>
    <row r="4939" customFormat="false" ht="15" hidden="false" customHeight="true" outlineLevel="0" collapsed="false">
      <c r="A4939" s="8" t="s">
        <v>223</v>
      </c>
      <c r="B4939" s="8" t="s">
        <v>1227</v>
      </c>
      <c r="C4939" s="8" t="n">
        <v>1</v>
      </c>
      <c r="D4939" s="8" t="n">
        <v>17</v>
      </c>
      <c r="E4939" s="8" t="n">
        <v>1</v>
      </c>
      <c r="F4939" s="8" t="n">
        <v>17</v>
      </c>
    </row>
    <row r="4940" customFormat="false" ht="15" hidden="false" customHeight="true" outlineLevel="0" collapsed="false">
      <c r="A4940" s="8" t="s">
        <v>202</v>
      </c>
      <c r="B4940" s="8" t="s">
        <v>1212</v>
      </c>
      <c r="C4940" s="8" t="n">
        <v>1</v>
      </c>
      <c r="D4940" s="8" t="n">
        <v>9.5</v>
      </c>
      <c r="E4940" s="8" t="n">
        <v>1</v>
      </c>
      <c r="F4940" s="8" t="n">
        <v>9.5</v>
      </c>
    </row>
    <row r="4941" customFormat="false" ht="15" hidden="false" customHeight="true" outlineLevel="0" collapsed="false">
      <c r="A4941" s="8" t="s">
        <v>172</v>
      </c>
      <c r="B4941" s="8" t="s">
        <v>1214</v>
      </c>
      <c r="C4941" s="8" t="n">
        <v>9</v>
      </c>
      <c r="D4941" s="8" t="n">
        <v>109.62</v>
      </c>
      <c r="E4941" s="8" t="n">
        <v>3</v>
      </c>
      <c r="F4941" s="8" t="n">
        <v>36.54</v>
      </c>
    </row>
    <row r="4942" customFormat="false" ht="15" hidden="false" customHeight="true" outlineLevel="0" collapsed="false">
      <c r="A4942" s="8" t="s">
        <v>242</v>
      </c>
      <c r="B4942" s="8" t="s">
        <v>1230</v>
      </c>
      <c r="C4942" s="8" t="n">
        <v>1</v>
      </c>
      <c r="D4942" s="8" t="n">
        <v>38.7</v>
      </c>
      <c r="E4942" s="8" t="n">
        <v>0</v>
      </c>
      <c r="F4942" s="8" t="n">
        <v>0</v>
      </c>
    </row>
    <row r="4943" customFormat="false" ht="15" hidden="false" customHeight="true" outlineLevel="0" collapsed="false">
      <c r="A4943" s="8" t="s">
        <v>261</v>
      </c>
      <c r="B4943" s="8" t="s">
        <v>1215</v>
      </c>
      <c r="C4943" s="8" t="n">
        <v>2</v>
      </c>
      <c r="D4943" s="8" t="n">
        <v>42.42</v>
      </c>
      <c r="E4943" s="8" t="n">
        <v>0</v>
      </c>
      <c r="F4943" s="8" t="n">
        <v>0</v>
      </c>
    </row>
    <row r="4944" customFormat="false" ht="15" hidden="false" customHeight="true" outlineLevel="0" collapsed="false">
      <c r="A4944" s="8" t="s">
        <v>269</v>
      </c>
      <c r="B4944" s="8" t="s">
        <v>1231</v>
      </c>
      <c r="C4944" s="8" t="n">
        <v>2</v>
      </c>
      <c r="D4944" s="8" t="n">
        <v>22.66</v>
      </c>
      <c r="E4944" s="8" t="n">
        <v>1</v>
      </c>
      <c r="F4944" s="8" t="n">
        <v>11.33</v>
      </c>
    </row>
    <row r="4945" customFormat="false" ht="15" hidden="false" customHeight="true" outlineLevel="0" collapsed="false">
      <c r="A4945" s="8" t="s">
        <v>213</v>
      </c>
      <c r="B4945" s="8" t="s">
        <v>1232</v>
      </c>
      <c r="C4945" s="8" t="n">
        <v>2</v>
      </c>
      <c r="D4945" s="8" t="n">
        <v>55.1</v>
      </c>
      <c r="E4945" s="8" t="n">
        <v>0</v>
      </c>
      <c r="F4945" s="8" t="n">
        <v>0</v>
      </c>
    </row>
    <row r="4946" customFormat="false" ht="15" hidden="false" customHeight="true" outlineLevel="0" collapsed="false">
      <c r="A4946" s="8" t="s">
        <v>364</v>
      </c>
      <c r="B4946" s="8" t="s">
        <v>1264</v>
      </c>
      <c r="C4946" s="8" t="n">
        <v>2</v>
      </c>
      <c r="D4946" s="8" t="n">
        <v>36.8</v>
      </c>
      <c r="E4946" s="8" t="n">
        <v>0</v>
      </c>
      <c r="F4946" s="8" t="n">
        <v>0</v>
      </c>
    </row>
    <row r="4947" customFormat="false" ht="15" hidden="false" customHeight="true" outlineLevel="0" collapsed="false">
      <c r="A4947" s="8" t="s">
        <v>209</v>
      </c>
      <c r="B4947" s="8" t="s">
        <v>1245</v>
      </c>
      <c r="C4947" s="8" t="n">
        <v>1</v>
      </c>
      <c r="D4947" s="8" t="n">
        <v>64.89</v>
      </c>
      <c r="E4947" s="8" t="n">
        <v>0</v>
      </c>
      <c r="F4947" s="8" t="n">
        <v>0</v>
      </c>
    </row>
    <row r="4948" customFormat="false" ht="15" hidden="false" customHeight="true" outlineLevel="0" collapsed="false">
      <c r="A4948" s="8" t="s">
        <v>180</v>
      </c>
      <c r="B4948" s="8" t="s">
        <v>1216</v>
      </c>
      <c r="C4948" s="8" t="n">
        <v>2</v>
      </c>
      <c r="D4948" s="8" t="n">
        <v>33</v>
      </c>
      <c r="E4948" s="8" t="n">
        <v>2</v>
      </c>
      <c r="F4948" s="8" t="n">
        <v>33</v>
      </c>
    </row>
    <row r="4949" customFormat="false" ht="15" hidden="false" customHeight="true" outlineLevel="0" collapsed="false">
      <c r="A4949" s="8" t="s">
        <v>189</v>
      </c>
      <c r="B4949" s="8" t="s">
        <v>1216</v>
      </c>
      <c r="C4949" s="8" t="n">
        <v>3</v>
      </c>
      <c r="D4949" s="8" t="n">
        <v>49.5</v>
      </c>
      <c r="E4949" s="8" t="n">
        <v>1</v>
      </c>
      <c r="F4949" s="8" t="n">
        <v>16.5</v>
      </c>
    </row>
    <row r="4950" customFormat="false" ht="15" hidden="false" customHeight="true" outlineLevel="0" collapsed="false">
      <c r="A4950" s="8" t="s">
        <v>199</v>
      </c>
      <c r="B4950" s="8" t="s">
        <v>1216</v>
      </c>
      <c r="C4950" s="8" t="n">
        <v>0</v>
      </c>
      <c r="D4950" s="8" t="n">
        <v>0</v>
      </c>
      <c r="E4950" s="8" t="n">
        <v>1</v>
      </c>
      <c r="F4950" s="8" t="n">
        <v>16.5</v>
      </c>
    </row>
    <row r="4951" customFormat="false" ht="15" hidden="false" customHeight="true" outlineLevel="0" collapsed="false">
      <c r="A4951" s="8" t="s">
        <v>198</v>
      </c>
      <c r="B4951" s="8" t="s">
        <v>1217</v>
      </c>
      <c r="C4951" s="8" t="n">
        <v>3</v>
      </c>
      <c r="D4951" s="8" t="n">
        <v>61.5</v>
      </c>
      <c r="E4951" s="8" t="n">
        <v>1</v>
      </c>
      <c r="F4951" s="8" t="n">
        <v>20.5</v>
      </c>
    </row>
    <row r="4952" customFormat="false" ht="15" hidden="false" customHeight="true" outlineLevel="0" collapsed="false">
      <c r="A4952" s="8" t="s">
        <v>193</v>
      </c>
      <c r="B4952" s="8" t="s">
        <v>1217</v>
      </c>
      <c r="C4952" s="8" t="n">
        <v>-1</v>
      </c>
      <c r="D4952" s="8" t="n">
        <v>-20.5</v>
      </c>
      <c r="E4952" s="8" t="n">
        <v>1</v>
      </c>
      <c r="F4952" s="8" t="n">
        <v>20.5</v>
      </c>
    </row>
    <row r="4953" customFormat="false" ht="15" hidden="false" customHeight="true" outlineLevel="0" collapsed="false">
      <c r="A4953" s="8" t="s">
        <v>256</v>
      </c>
      <c r="B4953" s="8" t="s">
        <v>1217</v>
      </c>
      <c r="C4953" s="8" t="n">
        <v>3</v>
      </c>
      <c r="D4953" s="8" t="n">
        <v>61.5</v>
      </c>
      <c r="E4953" s="8" t="n">
        <v>1</v>
      </c>
      <c r="F4953" s="8" t="n">
        <v>20.5</v>
      </c>
    </row>
    <row r="4954" customFormat="false" ht="15" hidden="false" customHeight="true" outlineLevel="0" collapsed="false">
      <c r="A4954" s="8" t="s">
        <v>170</v>
      </c>
      <c r="B4954" s="8" t="s">
        <v>1220</v>
      </c>
      <c r="C4954" s="8" t="n">
        <v>6</v>
      </c>
      <c r="D4954" s="8" t="n">
        <v>88.8</v>
      </c>
      <c r="E4954" s="8" t="n">
        <v>6</v>
      </c>
      <c r="F4954" s="8" t="n">
        <v>88.8</v>
      </c>
    </row>
    <row r="4955" customFormat="false" ht="15" hidden="false" customHeight="true" outlineLevel="0" collapsed="false">
      <c r="A4955" s="8" t="s">
        <v>167</v>
      </c>
      <c r="B4955" s="8" t="s">
        <v>1238</v>
      </c>
      <c r="C4955" s="8" t="n">
        <v>10</v>
      </c>
      <c r="D4955" s="8" t="n">
        <v>134</v>
      </c>
      <c r="E4955" s="8" t="n">
        <v>6</v>
      </c>
      <c r="F4955" s="8" t="n">
        <v>80.4</v>
      </c>
    </row>
    <row r="4956" customFormat="false" ht="15" hidden="false" customHeight="true" outlineLevel="0" collapsed="false">
      <c r="A4956" s="8" t="s">
        <v>264</v>
      </c>
      <c r="B4956" s="8" t="s">
        <v>1221</v>
      </c>
      <c r="C4956" s="8" t="n">
        <v>2</v>
      </c>
      <c r="D4956" s="8" t="n">
        <v>11.62</v>
      </c>
      <c r="E4956" s="8" t="n">
        <v>0</v>
      </c>
      <c r="F4956" s="8" t="n">
        <v>0</v>
      </c>
    </row>
    <row r="4957" customFormat="false" ht="15" hidden="false" customHeight="true" outlineLevel="0" collapsed="false">
      <c r="A4957" s="8" t="s">
        <v>252</v>
      </c>
      <c r="B4957" s="8" t="s">
        <v>1177</v>
      </c>
      <c r="C4957" s="8" t="n">
        <v>4</v>
      </c>
      <c r="D4957" s="8" t="n">
        <v>66.4</v>
      </c>
      <c r="E4957" s="8" t="n">
        <v>0</v>
      </c>
      <c r="F4957" s="8" t="n">
        <v>0</v>
      </c>
    </row>
    <row r="4958" customFormat="false" ht="15" hidden="false" customHeight="true" outlineLevel="0" collapsed="false">
      <c r="A4958" s="8" t="s">
        <v>226</v>
      </c>
      <c r="B4958" s="8" t="s">
        <v>566</v>
      </c>
      <c r="C4958" s="8" t="n">
        <v>2</v>
      </c>
      <c r="D4958" s="8" t="n">
        <v>41.6</v>
      </c>
      <c r="E4958" s="8" t="n">
        <v>1</v>
      </c>
      <c r="F4958" s="8" t="n">
        <v>20.8</v>
      </c>
    </row>
    <row r="4959" customFormat="false" ht="15" hidden="false" customHeight="true" outlineLevel="0" collapsed="false">
      <c r="A4959" s="8" t="s">
        <v>301</v>
      </c>
      <c r="B4959" s="8" t="s">
        <v>1258</v>
      </c>
      <c r="C4959" s="8" t="n">
        <v>2</v>
      </c>
      <c r="D4959" s="8" t="n">
        <v>188.2</v>
      </c>
      <c r="E4959" s="8" t="n">
        <v>0</v>
      </c>
      <c r="F4959" s="8" t="n">
        <v>0</v>
      </c>
    </row>
    <row r="4960" customFormat="false" ht="15" hidden="false" customHeight="true" outlineLevel="0" collapsed="false">
      <c r="A4960" s="8" t="s">
        <v>343</v>
      </c>
      <c r="B4960" s="8" t="s">
        <v>1258</v>
      </c>
      <c r="C4960" s="8" t="n">
        <v>1</v>
      </c>
      <c r="D4960" s="8" t="n">
        <v>94.1</v>
      </c>
      <c r="E4960" s="8" t="n">
        <v>0</v>
      </c>
      <c r="F4960" s="8" t="n">
        <v>0</v>
      </c>
    </row>
    <row r="4961" customFormat="false" ht="15" hidden="false" customHeight="true" outlineLevel="0" collapsed="false">
      <c r="A4961" s="8" t="s">
        <v>366</v>
      </c>
      <c r="B4961" s="8" t="s">
        <v>1258</v>
      </c>
      <c r="C4961" s="8" t="n">
        <v>1</v>
      </c>
      <c r="D4961" s="8" t="n">
        <v>94.1</v>
      </c>
      <c r="E4961" s="8" t="n">
        <v>0</v>
      </c>
      <c r="F4961" s="8" t="n">
        <v>0</v>
      </c>
    </row>
    <row r="4962" customFormat="false" ht="15" hidden="false" customHeight="true" outlineLevel="0" collapsed="false">
      <c r="A4962" s="8" t="s">
        <v>197</v>
      </c>
      <c r="B4962" s="8" t="s">
        <v>1222</v>
      </c>
      <c r="C4962" s="8" t="n">
        <v>1</v>
      </c>
      <c r="D4962" s="8" t="n">
        <v>65</v>
      </c>
      <c r="E4962" s="8" t="n">
        <v>2</v>
      </c>
      <c r="F4962" s="8" t="n">
        <v>130</v>
      </c>
    </row>
    <row r="4963" customFormat="false" ht="15" hidden="false" customHeight="true" outlineLevel="0" collapsed="false">
      <c r="A4963" s="8" t="s">
        <v>207</v>
      </c>
      <c r="B4963" s="8" t="s">
        <v>1222</v>
      </c>
      <c r="C4963" s="8" t="n">
        <v>1</v>
      </c>
      <c r="D4963" s="8" t="n">
        <v>65</v>
      </c>
      <c r="E4963" s="8" t="n">
        <v>3</v>
      </c>
      <c r="F4963" s="8" t="n">
        <v>195</v>
      </c>
    </row>
    <row r="4964" customFormat="false" ht="15" hidden="false" customHeight="true" outlineLevel="0" collapsed="false">
      <c r="A4964" s="8" t="s">
        <v>163</v>
      </c>
      <c r="B4964" s="8" t="s">
        <v>897</v>
      </c>
      <c r="C4964" s="8" t="n">
        <v>15</v>
      </c>
      <c r="D4964" s="8" t="n">
        <v>975</v>
      </c>
      <c r="E4964" s="8" t="n">
        <v>1</v>
      </c>
      <c r="F4964" s="8" t="n">
        <v>65</v>
      </c>
    </row>
    <row r="4965" customFormat="false" ht="15" hidden="false" customHeight="true" outlineLevel="0" collapsed="false">
      <c r="A4965" s="8" t="s">
        <v>181</v>
      </c>
      <c r="B4965" s="8" t="s">
        <v>897</v>
      </c>
      <c r="C4965" s="8" t="n">
        <v>8</v>
      </c>
      <c r="D4965" s="8" t="n">
        <v>520</v>
      </c>
      <c r="E4965" s="8" t="n">
        <v>0</v>
      </c>
      <c r="F4965" s="8" t="n">
        <v>0</v>
      </c>
    </row>
    <row r="4966" customFormat="false" ht="15" hidden="false" customHeight="true" outlineLevel="0" collapsed="false">
      <c r="A4966" s="8" t="s">
        <v>290</v>
      </c>
      <c r="B4966" s="8" t="s">
        <v>897</v>
      </c>
      <c r="C4966" s="8" t="n">
        <v>5</v>
      </c>
      <c r="D4966" s="8" t="n">
        <v>325</v>
      </c>
      <c r="E4966" s="8" t="n">
        <v>0</v>
      </c>
      <c r="F4966" s="8" t="n">
        <v>0</v>
      </c>
    </row>
    <row r="4967" customFormat="false" ht="15" hidden="false" customHeight="true" outlineLevel="0" collapsed="false">
      <c r="A4967" s="8" t="s">
        <v>165</v>
      </c>
      <c r="B4967" s="8" t="s">
        <v>897</v>
      </c>
      <c r="C4967" s="8" t="n">
        <v>12</v>
      </c>
      <c r="D4967" s="8" t="n">
        <v>780</v>
      </c>
      <c r="E4967" s="8" t="n">
        <v>0</v>
      </c>
      <c r="F4967" s="8" t="n">
        <v>0</v>
      </c>
    </row>
    <row r="4968" customFormat="false" ht="15" hidden="false" customHeight="true" outlineLevel="0" collapsed="false">
      <c r="A4968" s="8" t="s">
        <v>184</v>
      </c>
      <c r="B4968" s="8" t="s">
        <v>897</v>
      </c>
      <c r="C4968" s="8" t="n">
        <v>8</v>
      </c>
      <c r="D4968" s="8" t="n">
        <v>520</v>
      </c>
      <c r="E4968" s="8" t="n">
        <v>0</v>
      </c>
      <c r="F4968" s="8" t="n">
        <v>0</v>
      </c>
    </row>
    <row r="4969" customFormat="false" ht="15" hidden="false" customHeight="true" outlineLevel="0" collapsed="false">
      <c r="A4969" s="8" t="s">
        <v>208</v>
      </c>
      <c r="B4969" s="8" t="s">
        <v>1179</v>
      </c>
      <c r="C4969" s="8" t="n">
        <v>3</v>
      </c>
      <c r="D4969" s="8" t="n">
        <v>217.02</v>
      </c>
      <c r="E4969" s="8" t="n">
        <v>1</v>
      </c>
      <c r="F4969" s="8" t="n">
        <v>72.34</v>
      </c>
    </row>
    <row r="4970" customFormat="false" ht="15" hidden="false" customHeight="true" outlineLevel="0" collapsed="false">
      <c r="A4970" s="8" t="s">
        <v>221</v>
      </c>
      <c r="B4970" s="8" t="s">
        <v>1179</v>
      </c>
      <c r="C4970" s="8" t="n">
        <v>2</v>
      </c>
      <c r="D4970" s="8" t="n">
        <v>144.68</v>
      </c>
      <c r="E4970" s="8" t="n">
        <v>1</v>
      </c>
      <c r="F4970" s="8" t="n">
        <v>72.34</v>
      </c>
    </row>
    <row r="4971" customFormat="false" ht="15" hidden="false" customHeight="true" outlineLevel="0" collapsed="false">
      <c r="A4971" s="8" t="s">
        <v>245</v>
      </c>
      <c r="B4971" s="8" t="s">
        <v>1179</v>
      </c>
      <c r="C4971" s="8" t="n">
        <v>1</v>
      </c>
      <c r="D4971" s="8" t="n">
        <v>72.34</v>
      </c>
      <c r="E4971" s="8" t="n">
        <v>0</v>
      </c>
      <c r="F4971" s="8" t="n">
        <v>0</v>
      </c>
    </row>
    <row r="4972" customFormat="false" ht="15" hidden="false" customHeight="true" outlineLevel="0" collapsed="false">
      <c r="A4972" s="8" t="s">
        <v>191</v>
      </c>
      <c r="B4972" s="8" t="s">
        <v>1179</v>
      </c>
      <c r="C4972" s="8" t="n">
        <v>9</v>
      </c>
      <c r="D4972" s="8" t="n">
        <v>651.06</v>
      </c>
      <c r="E4972" s="8" t="n">
        <v>1</v>
      </c>
      <c r="F4972" s="8" t="n">
        <v>72.34</v>
      </c>
    </row>
    <row r="4973" customFormat="false" ht="15" hidden="false" customHeight="true" outlineLevel="0" collapsed="false">
      <c r="A4973" s="8" t="s">
        <v>319</v>
      </c>
      <c r="B4973" s="8" t="s">
        <v>1268</v>
      </c>
      <c r="C4973" s="8" t="n">
        <v>4</v>
      </c>
      <c r="D4973" s="8" t="n">
        <v>454.32</v>
      </c>
      <c r="E4973" s="8" t="n">
        <v>0</v>
      </c>
      <c r="F4973" s="8" t="n">
        <v>0</v>
      </c>
    </row>
    <row r="4974" customFormat="false" ht="15" hidden="false" customHeight="true" outlineLevel="0" collapsed="false">
      <c r="A4974" s="8" t="s">
        <v>305</v>
      </c>
      <c r="B4974" s="8" t="s">
        <v>1268</v>
      </c>
      <c r="C4974" s="8" t="n">
        <v>0</v>
      </c>
      <c r="D4974" s="8" t="n">
        <v>0</v>
      </c>
      <c r="E4974" s="8" t="n">
        <v>1</v>
      </c>
      <c r="F4974" s="8" t="n">
        <v>113.58</v>
      </c>
    </row>
    <row r="4975" customFormat="false" ht="15" hidden="false" customHeight="true" outlineLevel="0" collapsed="false">
      <c r="A4975" s="8" t="s">
        <v>283</v>
      </c>
      <c r="B4975" s="8" t="s">
        <v>1223</v>
      </c>
      <c r="C4975" s="8" t="n">
        <v>2</v>
      </c>
      <c r="D4975" s="8" t="n">
        <v>155.6</v>
      </c>
      <c r="E4975" s="8" t="n">
        <v>0</v>
      </c>
      <c r="F4975" s="8" t="n">
        <v>0</v>
      </c>
    </row>
    <row r="4976" customFormat="false" ht="15" hidden="false" customHeight="true" outlineLevel="0" collapsed="false">
      <c r="A4976" s="8" t="s">
        <v>216</v>
      </c>
      <c r="B4976" s="8" t="s">
        <v>1223</v>
      </c>
      <c r="C4976" s="8" t="n">
        <v>3</v>
      </c>
      <c r="D4976" s="8" t="n">
        <v>233.4</v>
      </c>
      <c r="E4976" s="8" t="n">
        <v>0</v>
      </c>
      <c r="F4976" s="8" t="n">
        <v>0</v>
      </c>
    </row>
    <row r="4977" customFormat="false" ht="15" hidden="false" customHeight="true" outlineLevel="0" collapsed="false">
      <c r="A4977" s="8" t="s">
        <v>236</v>
      </c>
      <c r="B4977" s="8" t="s">
        <v>1223</v>
      </c>
      <c r="C4977" s="8" t="n">
        <v>2</v>
      </c>
      <c r="D4977" s="8" t="n">
        <v>155.6</v>
      </c>
      <c r="E4977" s="8" t="n">
        <v>0</v>
      </c>
      <c r="F4977" s="8" t="n">
        <v>0</v>
      </c>
    </row>
    <row r="4978" customFormat="false" ht="15" hidden="false" customHeight="true" outlineLevel="0" collapsed="false">
      <c r="A4978" s="8" t="s">
        <v>190</v>
      </c>
      <c r="B4978" s="8" t="s">
        <v>1224</v>
      </c>
      <c r="C4978" s="8" t="n">
        <v>12</v>
      </c>
      <c r="D4978" s="8" t="n">
        <v>293.16</v>
      </c>
      <c r="E4978" s="8" t="n">
        <v>1</v>
      </c>
      <c r="F4978" s="8" t="n">
        <v>24.43</v>
      </c>
    </row>
    <row r="4979" customFormat="false" ht="15" hidden="false" customHeight="true" outlineLevel="0" collapsed="false">
      <c r="A4979" s="8" t="s">
        <v>183</v>
      </c>
      <c r="B4979" s="8" t="s">
        <v>1224</v>
      </c>
      <c r="C4979" s="8" t="n">
        <v>13</v>
      </c>
      <c r="D4979" s="8" t="n">
        <v>317.59</v>
      </c>
      <c r="E4979" s="8" t="n">
        <v>5</v>
      </c>
      <c r="F4979" s="8" t="n">
        <v>122.15</v>
      </c>
    </row>
    <row r="4980" customFormat="false" ht="15" hidden="false" customHeight="true" outlineLevel="0" collapsed="false">
      <c r="A4980" s="8" t="s">
        <v>218</v>
      </c>
      <c r="B4980" s="8" t="s">
        <v>1224</v>
      </c>
      <c r="C4980" s="8" t="n">
        <v>6</v>
      </c>
      <c r="D4980" s="8" t="n">
        <v>146.58</v>
      </c>
      <c r="E4980" s="8" t="n">
        <v>1</v>
      </c>
      <c r="F4980" s="8" t="n">
        <v>24.43</v>
      </c>
    </row>
    <row r="4981" customFormat="false" ht="15" hidden="false" customHeight="true" outlineLevel="0" collapsed="false">
      <c r="A4981" s="8" t="s">
        <v>231</v>
      </c>
      <c r="B4981" s="8" t="s">
        <v>1224</v>
      </c>
      <c r="C4981" s="8" t="n">
        <v>9</v>
      </c>
      <c r="D4981" s="8" t="n">
        <v>219.87</v>
      </c>
      <c r="E4981" s="8" t="n">
        <v>0</v>
      </c>
      <c r="F4981" s="8" t="n">
        <v>0</v>
      </c>
    </row>
    <row r="4982" customFormat="false" ht="15" hidden="false" customHeight="true" outlineLevel="0" collapsed="false">
      <c r="A4982" s="8" t="s">
        <v>161</v>
      </c>
      <c r="B4982" s="8" t="s">
        <v>1208</v>
      </c>
      <c r="C4982" s="8" t="n">
        <v>2</v>
      </c>
      <c r="D4982" s="8" t="n">
        <v>91</v>
      </c>
      <c r="E4982" s="8" t="n">
        <v>0</v>
      </c>
      <c r="F4982" s="8" t="n">
        <v>0</v>
      </c>
    </row>
    <row r="4983" customFormat="false" ht="15" hidden="false" customHeight="true" outlineLevel="0" collapsed="false">
      <c r="A4983" s="8" t="s">
        <v>171</v>
      </c>
      <c r="B4983" s="8" t="s">
        <v>1210</v>
      </c>
      <c r="C4983" s="8" t="n">
        <v>13</v>
      </c>
      <c r="D4983" s="8" t="n">
        <v>613.99</v>
      </c>
      <c r="E4983" s="8" t="n">
        <v>3</v>
      </c>
      <c r="F4983" s="8" t="n">
        <v>141.69</v>
      </c>
    </row>
    <row r="4984" customFormat="false" ht="15" hidden="false" customHeight="true" outlineLevel="0" collapsed="false">
      <c r="A4984" s="8" t="s">
        <v>174</v>
      </c>
      <c r="B4984" s="8" t="s">
        <v>1210</v>
      </c>
      <c r="C4984" s="8" t="n">
        <v>6</v>
      </c>
      <c r="D4984" s="8" t="n">
        <v>283.38</v>
      </c>
      <c r="E4984" s="8" t="n">
        <v>5</v>
      </c>
      <c r="F4984" s="8" t="n">
        <v>236.15</v>
      </c>
    </row>
    <row r="4985" customFormat="false" ht="15" hidden="false" customHeight="true" outlineLevel="0" collapsed="false">
      <c r="A4985" s="8" t="s">
        <v>166</v>
      </c>
      <c r="B4985" s="8" t="s">
        <v>1211</v>
      </c>
      <c r="C4985" s="8" t="n">
        <v>13</v>
      </c>
      <c r="D4985" s="8" t="n">
        <v>822.51</v>
      </c>
      <c r="E4985" s="8" t="n">
        <v>2</v>
      </c>
      <c r="F4985" s="8" t="n">
        <v>126.54</v>
      </c>
    </row>
    <row r="4986" customFormat="false" ht="15" hidden="false" customHeight="true" outlineLevel="0" collapsed="false">
      <c r="A4986" s="8" t="s">
        <v>164</v>
      </c>
      <c r="B4986" s="8" t="s">
        <v>1211</v>
      </c>
      <c r="C4986" s="8" t="n">
        <v>5</v>
      </c>
      <c r="D4986" s="8" t="n">
        <v>316.35</v>
      </c>
      <c r="E4986" s="8" t="n">
        <v>1</v>
      </c>
      <c r="F4986" s="8" t="n">
        <v>63.27</v>
      </c>
    </row>
    <row r="4987" customFormat="false" ht="15" hidden="false" customHeight="true" outlineLevel="0" collapsed="false">
      <c r="A4987" s="8" t="s">
        <v>222</v>
      </c>
      <c r="B4987" s="8" t="s">
        <v>1211</v>
      </c>
      <c r="C4987" s="8" t="n">
        <v>2</v>
      </c>
      <c r="D4987" s="8" t="n">
        <v>126.54</v>
      </c>
      <c r="E4987" s="8" t="n">
        <v>0</v>
      </c>
      <c r="F4987" s="8" t="n">
        <v>0</v>
      </c>
    </row>
    <row r="4988" customFormat="false" ht="15" hidden="false" customHeight="true" outlineLevel="0" collapsed="false">
      <c r="A4988" s="8" t="s">
        <v>187</v>
      </c>
      <c r="B4988" s="8" t="s">
        <v>1211</v>
      </c>
      <c r="C4988" s="8" t="n">
        <v>3</v>
      </c>
      <c r="D4988" s="8" t="n">
        <v>189.81</v>
      </c>
      <c r="E4988" s="8" t="n">
        <v>1</v>
      </c>
      <c r="F4988" s="8" t="n">
        <v>63.27</v>
      </c>
    </row>
    <row r="4989" customFormat="false" ht="15" hidden="false" customHeight="true" outlineLevel="0" collapsed="false">
      <c r="A4989" s="8" t="s">
        <v>270</v>
      </c>
      <c r="B4989" s="8" t="s">
        <v>1251</v>
      </c>
      <c r="C4989" s="8" t="n">
        <v>0</v>
      </c>
      <c r="D4989" s="8" t="n">
        <v>0</v>
      </c>
      <c r="E4989" s="8" t="n">
        <v>1</v>
      </c>
      <c r="F4989" s="8" t="n">
        <v>9.82</v>
      </c>
    </row>
    <row r="4990" customFormat="false" ht="15" hidden="false" customHeight="true" outlineLevel="0" collapsed="false">
      <c r="A4990" s="8" t="s">
        <v>307</v>
      </c>
      <c r="B4990" s="8" t="s">
        <v>1252</v>
      </c>
      <c r="C4990" s="8" t="n">
        <v>4</v>
      </c>
      <c r="D4990" s="8" t="n">
        <v>57.12</v>
      </c>
      <c r="E4990" s="8" t="n">
        <v>1</v>
      </c>
      <c r="F4990" s="8" t="n">
        <v>14.28</v>
      </c>
    </row>
    <row r="4991" customFormat="false" ht="15" hidden="false" customHeight="true" outlineLevel="0" collapsed="false">
      <c r="A4991" s="8" t="s">
        <v>263</v>
      </c>
      <c r="B4991" s="8" t="s">
        <v>407</v>
      </c>
      <c r="C4991" s="8" t="n">
        <v>6</v>
      </c>
      <c r="D4991" s="8" t="n">
        <v>76.92</v>
      </c>
      <c r="E4991" s="8" t="n">
        <v>0</v>
      </c>
      <c r="F4991" s="8" t="n">
        <v>0</v>
      </c>
    </row>
    <row r="4992" customFormat="false" ht="15" hidden="false" customHeight="true" outlineLevel="0" collapsed="false">
      <c r="A4992" s="8" t="s">
        <v>206</v>
      </c>
      <c r="B4992" s="8" t="s">
        <v>1288</v>
      </c>
      <c r="C4992" s="8" t="n">
        <v>1</v>
      </c>
      <c r="D4992" s="8" t="n">
        <v>97.35</v>
      </c>
      <c r="E4992" s="8" t="n">
        <v>0</v>
      </c>
      <c r="F4992" s="8" t="n">
        <v>0</v>
      </c>
    </row>
    <row r="4993" customFormat="false" ht="15" hidden="false" customHeight="true" outlineLevel="0" collapsed="false">
      <c r="A4993" s="8" t="s">
        <v>188</v>
      </c>
      <c r="B4993" s="8" t="s">
        <v>1225</v>
      </c>
      <c r="C4993" s="8" t="n">
        <v>11</v>
      </c>
      <c r="D4993" s="8" t="n">
        <v>318.23</v>
      </c>
      <c r="E4993" s="8" t="n">
        <v>0</v>
      </c>
      <c r="F4993" s="8" t="n">
        <v>0</v>
      </c>
    </row>
    <row r="4994" customFormat="false" ht="15" hidden="false" customHeight="true" outlineLevel="0" collapsed="false">
      <c r="A4994" s="8" t="s">
        <v>186</v>
      </c>
      <c r="B4994" s="8" t="s">
        <v>1225</v>
      </c>
      <c r="C4994" s="8" t="n">
        <v>8</v>
      </c>
      <c r="D4994" s="8" t="n">
        <v>231.44</v>
      </c>
      <c r="E4994" s="8" t="n">
        <v>1</v>
      </c>
      <c r="F4994" s="8" t="n">
        <v>28.93</v>
      </c>
    </row>
    <row r="4995" customFormat="false" ht="15" hidden="false" customHeight="true" outlineLevel="0" collapsed="false">
      <c r="A4995" s="8" t="s">
        <v>239</v>
      </c>
      <c r="B4995" s="8" t="s">
        <v>1225</v>
      </c>
      <c r="C4995" s="8" t="n">
        <v>1</v>
      </c>
      <c r="D4995" s="8" t="n">
        <v>28.93</v>
      </c>
      <c r="E4995" s="8" t="n">
        <v>0</v>
      </c>
      <c r="F4995" s="8" t="n">
        <v>0</v>
      </c>
    </row>
    <row r="4996" customFormat="false" ht="15" hidden="false" customHeight="true" outlineLevel="0" collapsed="false">
      <c r="A4996" s="8" t="s">
        <v>210</v>
      </c>
      <c r="B4996" s="8" t="s">
        <v>1225</v>
      </c>
      <c r="C4996" s="8" t="n">
        <v>2</v>
      </c>
      <c r="D4996" s="8" t="n">
        <v>57.86</v>
      </c>
      <c r="E4996" s="8" t="n">
        <v>0</v>
      </c>
      <c r="F4996" s="8" t="n">
        <v>0</v>
      </c>
    </row>
    <row r="4997" customFormat="false" ht="15" hidden="false" customHeight="true" outlineLevel="0" collapsed="false">
      <c r="A4997" s="8" t="s">
        <v>320</v>
      </c>
      <c r="B4997" s="8" t="s">
        <v>1225</v>
      </c>
      <c r="C4997" s="8" t="n">
        <v>1</v>
      </c>
      <c r="D4997" s="8" t="n">
        <v>28.93</v>
      </c>
      <c r="E4997" s="8" t="n">
        <v>0</v>
      </c>
      <c r="F4997" s="8" t="n">
        <v>0</v>
      </c>
    </row>
    <row r="4998" customFormat="false" ht="15" hidden="false" customHeight="true" outlineLevel="0" collapsed="false">
      <c r="A4998" s="8" t="s">
        <v>278</v>
      </c>
      <c r="B4998" s="8" t="s">
        <v>1225</v>
      </c>
      <c r="C4998" s="8" t="n">
        <v>1</v>
      </c>
      <c r="D4998" s="8" t="n">
        <v>28.93</v>
      </c>
      <c r="E4998" s="8" t="n">
        <v>2</v>
      </c>
      <c r="F4998" s="8" t="n">
        <v>57.86</v>
      </c>
    </row>
    <row r="4999" customFormat="false" ht="15" hidden="false" customHeight="true" outlineLevel="0" collapsed="false">
      <c r="A4999" s="8" t="s">
        <v>238</v>
      </c>
      <c r="B4999" s="8" t="s">
        <v>1226</v>
      </c>
      <c r="C4999" s="8" t="n">
        <v>8</v>
      </c>
      <c r="D4999" s="8" t="n">
        <v>337.36</v>
      </c>
      <c r="E4999" s="8" t="n">
        <v>0</v>
      </c>
      <c r="F4999" s="8" t="n">
        <v>0</v>
      </c>
    </row>
    <row r="5000" customFormat="false" ht="15" hidden="false" customHeight="true" outlineLevel="0" collapsed="false">
      <c r="A5000" s="8" t="s">
        <v>201</v>
      </c>
      <c r="B5000" s="8" t="s">
        <v>1226</v>
      </c>
      <c r="C5000" s="8" t="n">
        <v>8</v>
      </c>
      <c r="D5000" s="8" t="n">
        <v>337.36</v>
      </c>
      <c r="E5000" s="8" t="n">
        <v>0</v>
      </c>
      <c r="F5000" s="8" t="n">
        <v>0</v>
      </c>
    </row>
    <row r="5001" customFormat="false" ht="15" hidden="false" customHeight="true" outlineLevel="0" collapsed="false">
      <c r="A5001" s="8" t="s">
        <v>314</v>
      </c>
      <c r="B5001" s="8" t="s">
        <v>1226</v>
      </c>
      <c r="C5001" s="8" t="n">
        <v>5</v>
      </c>
      <c r="D5001" s="8" t="n">
        <v>210.85</v>
      </c>
      <c r="E5001" s="8" t="n">
        <v>0</v>
      </c>
      <c r="F5001" s="8" t="n">
        <v>0</v>
      </c>
    </row>
    <row r="5002" customFormat="false" ht="15" hidden="false" customHeight="true" outlineLevel="0" collapsed="false">
      <c r="A5002" s="8" t="s">
        <v>214</v>
      </c>
      <c r="B5002" s="8" t="s">
        <v>1226</v>
      </c>
      <c r="C5002" s="8" t="n">
        <v>5</v>
      </c>
      <c r="D5002" s="8" t="n">
        <v>210.85</v>
      </c>
      <c r="E5002" s="8" t="n">
        <v>0</v>
      </c>
      <c r="F5002" s="8" t="n">
        <v>0</v>
      </c>
    </row>
    <row r="5003" customFormat="false" ht="15" hidden="false" customHeight="true" outlineLevel="0" collapsed="false">
      <c r="A5003" s="8" t="s">
        <v>309</v>
      </c>
      <c r="B5003" s="8" t="s">
        <v>1226</v>
      </c>
      <c r="C5003" s="8" t="n">
        <v>5</v>
      </c>
      <c r="D5003" s="8" t="n">
        <v>210.85</v>
      </c>
      <c r="E5003" s="8" t="n">
        <v>0</v>
      </c>
      <c r="F5003" s="8" t="n">
        <v>0</v>
      </c>
    </row>
    <row r="5004" customFormat="false" ht="15" hidden="false" customHeight="true" outlineLevel="0" collapsed="false">
      <c r="A5004" s="8" t="s">
        <v>241</v>
      </c>
      <c r="B5004" s="8" t="s">
        <v>1227</v>
      </c>
      <c r="C5004" s="8" t="n">
        <v>12</v>
      </c>
      <c r="D5004" s="8" t="n">
        <v>204</v>
      </c>
      <c r="E5004" s="8" t="n">
        <v>0</v>
      </c>
      <c r="F5004" s="8" t="n">
        <v>0</v>
      </c>
    </row>
    <row r="5005" customFormat="false" ht="15" hidden="false" customHeight="true" outlineLevel="0" collapsed="false">
      <c r="A5005" s="8" t="s">
        <v>219</v>
      </c>
      <c r="B5005" s="8" t="s">
        <v>1227</v>
      </c>
      <c r="C5005" s="8" t="n">
        <v>2</v>
      </c>
      <c r="D5005" s="8" t="n">
        <v>34</v>
      </c>
      <c r="E5005" s="8" t="n">
        <v>2</v>
      </c>
      <c r="F5005" s="8" t="n">
        <v>34</v>
      </c>
    </row>
    <row r="5006" customFormat="false" ht="15" hidden="false" customHeight="true" outlineLevel="0" collapsed="false">
      <c r="A5006" s="8" t="s">
        <v>292</v>
      </c>
      <c r="B5006" s="8" t="s">
        <v>1227</v>
      </c>
      <c r="C5006" s="8" t="n">
        <v>2</v>
      </c>
      <c r="D5006" s="8" t="n">
        <v>34</v>
      </c>
      <c r="E5006" s="8" t="n">
        <v>0</v>
      </c>
      <c r="F5006" s="8" t="n">
        <v>0</v>
      </c>
    </row>
    <row r="5007" customFormat="false" ht="15" hidden="false" customHeight="true" outlineLevel="0" collapsed="false">
      <c r="A5007" s="8" t="s">
        <v>223</v>
      </c>
      <c r="B5007" s="8" t="s">
        <v>1227</v>
      </c>
      <c r="C5007" s="8" t="n">
        <v>7</v>
      </c>
      <c r="D5007" s="8" t="n">
        <v>119</v>
      </c>
      <c r="E5007" s="8" t="n">
        <v>0</v>
      </c>
      <c r="F5007" s="8" t="n">
        <v>0</v>
      </c>
    </row>
    <row r="5008" customFormat="false" ht="15" hidden="false" customHeight="true" outlineLevel="0" collapsed="false">
      <c r="A5008" s="8" t="s">
        <v>368</v>
      </c>
      <c r="B5008" s="8" t="s">
        <v>1227</v>
      </c>
      <c r="C5008" s="8" t="n">
        <v>1</v>
      </c>
      <c r="D5008" s="8" t="n">
        <v>17</v>
      </c>
      <c r="E5008" s="8" t="n">
        <v>0</v>
      </c>
      <c r="F5008" s="8" t="n">
        <v>0</v>
      </c>
    </row>
    <row r="5009" customFormat="false" ht="15" hidden="false" customHeight="true" outlineLevel="0" collapsed="false">
      <c r="A5009" s="8" t="s">
        <v>287</v>
      </c>
      <c r="B5009" s="8" t="s">
        <v>1227</v>
      </c>
      <c r="C5009" s="8" t="n">
        <v>1</v>
      </c>
      <c r="D5009" s="8" t="n">
        <v>17</v>
      </c>
      <c r="E5009" s="8" t="n">
        <v>2</v>
      </c>
      <c r="F5009" s="8" t="n">
        <v>34</v>
      </c>
    </row>
    <row r="5010" customFormat="false" ht="15" hidden="false" customHeight="true" outlineLevel="0" collapsed="false">
      <c r="A5010" s="8" t="s">
        <v>229</v>
      </c>
      <c r="B5010" s="8" t="s">
        <v>881</v>
      </c>
      <c r="C5010" s="8" t="n">
        <v>6</v>
      </c>
      <c r="D5010" s="8" t="n">
        <v>247.2</v>
      </c>
      <c r="E5010" s="8" t="n">
        <v>0</v>
      </c>
      <c r="F5010" s="8" t="n">
        <v>0</v>
      </c>
    </row>
    <row r="5011" customFormat="false" ht="15" hidden="false" customHeight="true" outlineLevel="0" collapsed="false">
      <c r="A5011" s="8" t="s">
        <v>237</v>
      </c>
      <c r="B5011" s="8" t="s">
        <v>1259</v>
      </c>
      <c r="C5011" s="8" t="n">
        <v>4</v>
      </c>
      <c r="D5011" s="8" t="n">
        <v>73.8</v>
      </c>
      <c r="E5011" s="8" t="n">
        <v>4</v>
      </c>
      <c r="F5011" s="8" t="n">
        <v>73.8</v>
      </c>
    </row>
    <row r="5012" customFormat="false" ht="15" hidden="false" customHeight="true" outlineLevel="0" collapsed="false">
      <c r="A5012" s="8" t="s">
        <v>266</v>
      </c>
      <c r="B5012" s="8" t="s">
        <v>1228</v>
      </c>
      <c r="C5012" s="8" t="n">
        <v>12</v>
      </c>
      <c r="D5012" s="8" t="n">
        <v>239.04</v>
      </c>
      <c r="E5012" s="8" t="n">
        <v>5</v>
      </c>
      <c r="F5012" s="8" t="n">
        <v>99.6</v>
      </c>
    </row>
    <row r="5013" customFormat="false" ht="15" hidden="false" customHeight="true" outlineLevel="0" collapsed="false">
      <c r="A5013" s="8" t="s">
        <v>202</v>
      </c>
      <c r="B5013" s="8" t="s">
        <v>1212</v>
      </c>
      <c r="C5013" s="8" t="n">
        <v>36</v>
      </c>
      <c r="D5013" s="8" t="n">
        <v>342</v>
      </c>
      <c r="E5013" s="8" t="n">
        <v>9</v>
      </c>
      <c r="F5013" s="8" t="n">
        <v>85.5</v>
      </c>
    </row>
    <row r="5014" customFormat="false" ht="15" hidden="false" customHeight="true" outlineLevel="0" collapsed="false">
      <c r="A5014" s="8" t="s">
        <v>244</v>
      </c>
      <c r="B5014" s="8" t="s">
        <v>1213</v>
      </c>
      <c r="C5014" s="8" t="n">
        <v>7</v>
      </c>
      <c r="D5014" s="8" t="n">
        <v>66.5</v>
      </c>
      <c r="E5014" s="8" t="n">
        <v>5</v>
      </c>
      <c r="F5014" s="8" t="n">
        <v>47.5</v>
      </c>
    </row>
    <row r="5015" customFormat="false" ht="15" hidden="false" customHeight="true" outlineLevel="0" collapsed="false">
      <c r="A5015" s="8" t="s">
        <v>243</v>
      </c>
      <c r="B5015" s="8" t="s">
        <v>1253</v>
      </c>
      <c r="C5015" s="8" t="n">
        <v>18</v>
      </c>
      <c r="D5015" s="8" t="n">
        <v>233.1</v>
      </c>
      <c r="E5015" s="8" t="n">
        <v>4</v>
      </c>
      <c r="F5015" s="8" t="n">
        <v>51.8</v>
      </c>
    </row>
    <row r="5016" customFormat="false" ht="15" hidden="false" customHeight="true" outlineLevel="0" collapsed="false">
      <c r="A5016" s="8" t="s">
        <v>251</v>
      </c>
      <c r="B5016" s="8" t="s">
        <v>1262</v>
      </c>
      <c r="C5016" s="8" t="n">
        <v>23</v>
      </c>
      <c r="D5016" s="8" t="n">
        <v>223.33</v>
      </c>
      <c r="E5016" s="8" t="n">
        <v>12</v>
      </c>
      <c r="F5016" s="8" t="n">
        <v>116.52</v>
      </c>
    </row>
    <row r="5017" customFormat="false" ht="15" hidden="false" customHeight="true" outlineLevel="0" collapsed="false">
      <c r="A5017" s="8" t="s">
        <v>308</v>
      </c>
      <c r="B5017" s="8" t="s">
        <v>1229</v>
      </c>
      <c r="C5017" s="8" t="n">
        <v>7</v>
      </c>
      <c r="D5017" s="8" t="n">
        <v>56.56</v>
      </c>
      <c r="E5017" s="8" t="n">
        <v>0</v>
      </c>
      <c r="F5017" s="8" t="n">
        <v>0</v>
      </c>
    </row>
    <row r="5018" customFormat="false" ht="15" hidden="false" customHeight="true" outlineLevel="0" collapsed="false">
      <c r="A5018" s="8" t="s">
        <v>172</v>
      </c>
      <c r="B5018" s="8" t="s">
        <v>1214</v>
      </c>
      <c r="C5018" s="8" t="n">
        <v>74</v>
      </c>
      <c r="D5018" s="8" t="n">
        <v>901.32</v>
      </c>
      <c r="E5018" s="8" t="n">
        <v>11</v>
      </c>
      <c r="F5018" s="8" t="n">
        <v>133.98</v>
      </c>
    </row>
    <row r="5019" customFormat="false" ht="15" hidden="false" customHeight="true" outlineLevel="0" collapsed="false">
      <c r="A5019" s="8" t="s">
        <v>242</v>
      </c>
      <c r="B5019" s="8" t="s">
        <v>1230</v>
      </c>
      <c r="C5019" s="8" t="n">
        <v>2</v>
      </c>
      <c r="D5019" s="8" t="n">
        <v>77.4</v>
      </c>
      <c r="E5019" s="8" t="n">
        <v>2</v>
      </c>
      <c r="F5019" s="8" t="n">
        <v>77.4</v>
      </c>
    </row>
    <row r="5020" customFormat="false" ht="15" hidden="false" customHeight="true" outlineLevel="0" collapsed="false">
      <c r="A5020" s="8" t="s">
        <v>261</v>
      </c>
      <c r="B5020" s="8" t="s">
        <v>1215</v>
      </c>
      <c r="C5020" s="8" t="n">
        <v>8</v>
      </c>
      <c r="D5020" s="8" t="n">
        <v>169.68</v>
      </c>
      <c r="E5020" s="8" t="n">
        <v>0</v>
      </c>
      <c r="F5020" s="8" t="n">
        <v>0</v>
      </c>
    </row>
    <row r="5021" customFormat="false" ht="15" hidden="false" customHeight="true" outlineLevel="0" collapsed="false">
      <c r="A5021" s="8" t="s">
        <v>269</v>
      </c>
      <c r="B5021" s="8" t="s">
        <v>1231</v>
      </c>
      <c r="C5021" s="8" t="n">
        <v>6</v>
      </c>
      <c r="D5021" s="8" t="n">
        <v>67.98</v>
      </c>
      <c r="E5021" s="8" t="n">
        <v>0</v>
      </c>
      <c r="F5021" s="8" t="n">
        <v>0</v>
      </c>
    </row>
    <row r="5022" customFormat="false" ht="15" hidden="false" customHeight="true" outlineLevel="0" collapsed="false">
      <c r="A5022" s="8" t="s">
        <v>213</v>
      </c>
      <c r="B5022" s="8" t="s">
        <v>1232</v>
      </c>
      <c r="C5022" s="8" t="n">
        <v>1</v>
      </c>
      <c r="D5022" s="8" t="n">
        <v>27.55</v>
      </c>
      <c r="E5022" s="8" t="n">
        <v>0</v>
      </c>
      <c r="F5022" s="8" t="n">
        <v>0</v>
      </c>
    </row>
    <row r="5023" customFormat="false" ht="15" hidden="false" customHeight="true" outlineLevel="0" collapsed="false">
      <c r="A5023" s="8" t="s">
        <v>288</v>
      </c>
      <c r="B5023" s="8" t="s">
        <v>939</v>
      </c>
      <c r="C5023" s="8" t="n">
        <v>0</v>
      </c>
      <c r="D5023" s="8" t="n">
        <v>0</v>
      </c>
      <c r="E5023" s="8" t="n">
        <v>1</v>
      </c>
      <c r="F5023" s="8" t="n">
        <v>20.24</v>
      </c>
    </row>
    <row r="5024" customFormat="false" ht="15" hidden="false" customHeight="true" outlineLevel="0" collapsed="false">
      <c r="A5024" s="8" t="s">
        <v>281</v>
      </c>
      <c r="B5024" s="8" t="s">
        <v>1254</v>
      </c>
      <c r="C5024" s="8" t="n">
        <v>8</v>
      </c>
      <c r="D5024" s="8" t="n">
        <v>110.72</v>
      </c>
      <c r="E5024" s="8" t="n">
        <v>2</v>
      </c>
      <c r="F5024" s="8" t="n">
        <v>27.68</v>
      </c>
    </row>
    <row r="5025" customFormat="false" ht="15" hidden="false" customHeight="true" outlineLevel="0" collapsed="false">
      <c r="A5025" s="8" t="s">
        <v>215</v>
      </c>
      <c r="B5025" s="8" t="s">
        <v>1233</v>
      </c>
      <c r="C5025" s="8" t="n">
        <v>15</v>
      </c>
      <c r="D5025" s="8" t="n">
        <v>267.3</v>
      </c>
      <c r="E5025" s="8" t="n">
        <v>5</v>
      </c>
      <c r="F5025" s="8" t="n">
        <v>89.1</v>
      </c>
    </row>
    <row r="5026" customFormat="false" ht="15" hidden="false" customHeight="true" outlineLevel="0" collapsed="false">
      <c r="A5026" s="8" t="s">
        <v>255</v>
      </c>
      <c r="B5026" s="8" t="s">
        <v>1273</v>
      </c>
      <c r="C5026" s="8" t="n">
        <v>27</v>
      </c>
      <c r="D5026" s="8" t="n">
        <v>221.4</v>
      </c>
      <c r="E5026" s="8" t="n">
        <v>10</v>
      </c>
      <c r="F5026" s="8" t="n">
        <v>82</v>
      </c>
    </row>
    <row r="5027" customFormat="false" ht="15" hidden="false" customHeight="true" outlineLevel="0" collapsed="false">
      <c r="A5027" s="8" t="s">
        <v>194</v>
      </c>
      <c r="B5027" s="8" t="s">
        <v>1239</v>
      </c>
      <c r="C5027" s="8" t="n">
        <v>61</v>
      </c>
      <c r="D5027" s="8" t="n">
        <v>599.02</v>
      </c>
      <c r="E5027" s="8" t="n">
        <v>0</v>
      </c>
      <c r="F5027" s="8" t="n">
        <v>0</v>
      </c>
    </row>
    <row r="5028" customFormat="false" ht="15" hidden="false" customHeight="true" outlineLevel="0" collapsed="false">
      <c r="A5028" s="8" t="s">
        <v>279</v>
      </c>
      <c r="B5028" s="8" t="s">
        <v>1274</v>
      </c>
      <c r="C5028" s="8" t="n">
        <v>12</v>
      </c>
      <c r="D5028" s="8" t="n">
        <v>117.84</v>
      </c>
      <c r="E5028" s="8" t="n">
        <v>7</v>
      </c>
      <c r="F5028" s="8" t="n">
        <v>68.74</v>
      </c>
    </row>
    <row r="5029" customFormat="false" ht="15" hidden="false" customHeight="true" outlineLevel="0" collapsed="false">
      <c r="A5029" s="8" t="s">
        <v>317</v>
      </c>
      <c r="B5029" s="8" t="s">
        <v>621</v>
      </c>
      <c r="C5029" s="8" t="n">
        <v>2</v>
      </c>
      <c r="D5029" s="8" t="n">
        <v>98.6</v>
      </c>
      <c r="E5029" s="8" t="n">
        <v>0</v>
      </c>
      <c r="F5029" s="8" t="n">
        <v>0</v>
      </c>
    </row>
    <row r="5030" customFormat="false" ht="15" hidden="false" customHeight="true" outlineLevel="0" collapsed="false">
      <c r="A5030" s="8" t="s">
        <v>265</v>
      </c>
      <c r="B5030" s="8" t="s">
        <v>621</v>
      </c>
      <c r="C5030" s="8" t="n">
        <v>2</v>
      </c>
      <c r="D5030" s="8" t="n">
        <v>84</v>
      </c>
      <c r="E5030" s="8" t="n">
        <v>0</v>
      </c>
      <c r="F5030" s="8" t="n">
        <v>0</v>
      </c>
    </row>
    <row r="5031" customFormat="false" ht="15" hidden="false" customHeight="true" outlineLevel="0" collapsed="false">
      <c r="A5031" s="8" t="s">
        <v>276</v>
      </c>
      <c r="B5031" s="8" t="s">
        <v>621</v>
      </c>
      <c r="C5031" s="8" t="n">
        <v>2</v>
      </c>
      <c r="D5031" s="8" t="n">
        <v>84</v>
      </c>
      <c r="E5031" s="8" t="n">
        <v>0</v>
      </c>
      <c r="F5031" s="8" t="n">
        <v>0</v>
      </c>
    </row>
    <row r="5032" customFormat="false" ht="15" hidden="false" customHeight="true" outlineLevel="0" collapsed="false">
      <c r="A5032" s="8" t="s">
        <v>326</v>
      </c>
      <c r="B5032" s="8" t="s">
        <v>1281</v>
      </c>
      <c r="C5032" s="8" t="n">
        <v>6</v>
      </c>
      <c r="D5032" s="8" t="n">
        <v>141.6</v>
      </c>
      <c r="E5032" s="8" t="n">
        <v>2</v>
      </c>
      <c r="F5032" s="8" t="n">
        <v>47.2</v>
      </c>
    </row>
    <row r="5033" customFormat="false" ht="15" hidden="false" customHeight="true" outlineLevel="0" collapsed="false">
      <c r="A5033" s="8" t="s">
        <v>338</v>
      </c>
      <c r="B5033" s="8" t="s">
        <v>1281</v>
      </c>
      <c r="C5033" s="8" t="n">
        <v>5</v>
      </c>
      <c r="D5033" s="8" t="n">
        <v>118</v>
      </c>
      <c r="E5033" s="8" t="n">
        <v>4</v>
      </c>
      <c r="F5033" s="8" t="n">
        <v>94.4</v>
      </c>
    </row>
    <row r="5034" customFormat="false" ht="15" hidden="false" customHeight="true" outlineLevel="0" collapsed="false">
      <c r="A5034" s="8" t="s">
        <v>362</v>
      </c>
      <c r="B5034" s="8" t="s">
        <v>1255</v>
      </c>
      <c r="C5034" s="8" t="n">
        <v>5</v>
      </c>
      <c r="D5034" s="8" t="n">
        <v>118</v>
      </c>
      <c r="E5034" s="8" t="n">
        <v>0</v>
      </c>
      <c r="F5034" s="8" t="n">
        <v>0</v>
      </c>
    </row>
    <row r="5035" customFormat="false" ht="15" hidden="false" customHeight="true" outlineLevel="0" collapsed="false">
      <c r="A5035" s="8" t="s">
        <v>331</v>
      </c>
      <c r="B5035" s="8" t="s">
        <v>1255</v>
      </c>
      <c r="C5035" s="8" t="n">
        <v>6</v>
      </c>
      <c r="D5035" s="8" t="n">
        <v>141.6</v>
      </c>
      <c r="E5035" s="8" t="n">
        <v>1</v>
      </c>
      <c r="F5035" s="8" t="n">
        <v>23.6</v>
      </c>
    </row>
    <row r="5036" customFormat="false" ht="15" hidden="false" customHeight="true" outlineLevel="0" collapsed="false">
      <c r="A5036" s="8" t="s">
        <v>342</v>
      </c>
      <c r="B5036" s="8" t="s">
        <v>1255</v>
      </c>
      <c r="C5036" s="8" t="n">
        <v>3</v>
      </c>
      <c r="D5036" s="8" t="n">
        <v>70.8</v>
      </c>
      <c r="E5036" s="8" t="n">
        <v>0</v>
      </c>
      <c r="F5036" s="8" t="n">
        <v>0</v>
      </c>
    </row>
    <row r="5037" customFormat="false" ht="15" hidden="false" customHeight="true" outlineLevel="0" collapsed="false">
      <c r="A5037" s="8" t="s">
        <v>285</v>
      </c>
      <c r="B5037" s="8" t="s">
        <v>1237</v>
      </c>
      <c r="C5037" s="8" t="n">
        <v>5</v>
      </c>
      <c r="D5037" s="8" t="n">
        <v>92</v>
      </c>
      <c r="E5037" s="8" t="n">
        <v>0</v>
      </c>
      <c r="F5037" s="8" t="n">
        <v>0</v>
      </c>
    </row>
    <row r="5038" customFormat="false" ht="15" hidden="false" customHeight="true" outlineLevel="0" collapsed="false">
      <c r="A5038" s="8" t="s">
        <v>225</v>
      </c>
      <c r="B5038" s="8" t="s">
        <v>1237</v>
      </c>
      <c r="C5038" s="8" t="n">
        <v>5</v>
      </c>
      <c r="D5038" s="8" t="n">
        <v>92</v>
      </c>
      <c r="E5038" s="8" t="n">
        <v>1</v>
      </c>
      <c r="F5038" s="8" t="n">
        <v>18.4</v>
      </c>
    </row>
    <row r="5039" customFormat="false" ht="15" hidden="false" customHeight="true" outlineLevel="0" collapsed="false">
      <c r="A5039" s="8" t="s">
        <v>217</v>
      </c>
      <c r="B5039" s="8" t="s">
        <v>1237</v>
      </c>
      <c r="C5039" s="8" t="n">
        <v>10</v>
      </c>
      <c r="D5039" s="8" t="n">
        <v>184</v>
      </c>
      <c r="E5039" s="8" t="n">
        <v>1</v>
      </c>
      <c r="F5039" s="8" t="n">
        <v>18.4</v>
      </c>
    </row>
    <row r="5040" customFormat="false" ht="15" hidden="false" customHeight="true" outlineLevel="0" collapsed="false">
      <c r="A5040" s="8" t="s">
        <v>313</v>
      </c>
      <c r="B5040" s="8" t="s">
        <v>1294</v>
      </c>
      <c r="C5040" s="8" t="n">
        <v>2</v>
      </c>
      <c r="D5040" s="8" t="n">
        <v>36.8</v>
      </c>
      <c r="E5040" s="8" t="n">
        <v>0</v>
      </c>
      <c r="F5040" s="8" t="n">
        <v>0</v>
      </c>
    </row>
    <row r="5041" customFormat="false" ht="15" hidden="false" customHeight="true" outlineLevel="0" collapsed="false">
      <c r="A5041" s="8" t="s">
        <v>316</v>
      </c>
      <c r="B5041" s="8" t="s">
        <v>1294</v>
      </c>
      <c r="C5041" s="8" t="n">
        <v>5</v>
      </c>
      <c r="D5041" s="8" t="n">
        <v>92</v>
      </c>
      <c r="E5041" s="8" t="n">
        <v>2</v>
      </c>
      <c r="F5041" s="8" t="n">
        <v>36.8</v>
      </c>
    </row>
    <row r="5042" customFormat="false" ht="15" hidden="false" customHeight="true" outlineLevel="0" collapsed="false">
      <c r="A5042" s="8" t="s">
        <v>322</v>
      </c>
      <c r="B5042" s="8" t="s">
        <v>1264</v>
      </c>
      <c r="C5042" s="8" t="n">
        <v>2</v>
      </c>
      <c r="D5042" s="8" t="n">
        <v>36.8</v>
      </c>
      <c r="E5042" s="8" t="n">
        <v>2</v>
      </c>
      <c r="F5042" s="8" t="n">
        <v>36.8</v>
      </c>
    </row>
    <row r="5043" customFormat="false" ht="15" hidden="false" customHeight="true" outlineLevel="0" collapsed="false">
      <c r="A5043" s="8" t="s">
        <v>364</v>
      </c>
      <c r="B5043" s="8" t="s">
        <v>1264</v>
      </c>
      <c r="C5043" s="8" t="n">
        <v>2</v>
      </c>
      <c r="D5043" s="8" t="n">
        <v>36.8</v>
      </c>
      <c r="E5043" s="8" t="n">
        <v>4</v>
      </c>
      <c r="F5043" s="8" t="n">
        <v>73.6</v>
      </c>
    </row>
    <row r="5044" customFormat="false" ht="15" hidden="false" customHeight="true" outlineLevel="0" collapsed="false">
      <c r="A5044" s="8" t="s">
        <v>325</v>
      </c>
      <c r="B5044" s="8" t="s">
        <v>1264</v>
      </c>
      <c r="C5044" s="8" t="n">
        <v>5</v>
      </c>
      <c r="D5044" s="8" t="n">
        <v>92</v>
      </c>
      <c r="E5044" s="8" t="n">
        <v>0</v>
      </c>
      <c r="F5044" s="8" t="n">
        <v>0</v>
      </c>
    </row>
    <row r="5045" customFormat="false" ht="15" hidden="false" customHeight="true" outlineLevel="0" collapsed="false">
      <c r="A5045" s="8" t="s">
        <v>192</v>
      </c>
      <c r="B5045" s="8" t="s">
        <v>1240</v>
      </c>
      <c r="C5045" s="8" t="n">
        <v>11</v>
      </c>
      <c r="D5045" s="8" t="n">
        <v>459.91</v>
      </c>
      <c r="E5045" s="8" t="n">
        <v>0</v>
      </c>
      <c r="F5045" s="8" t="n">
        <v>0</v>
      </c>
    </row>
    <row r="5046" customFormat="false" ht="15" hidden="false" customHeight="true" outlineLevel="0" collapsed="false">
      <c r="A5046" s="8" t="s">
        <v>168</v>
      </c>
      <c r="B5046" s="8" t="s">
        <v>1240</v>
      </c>
      <c r="C5046" s="8" t="n">
        <v>23</v>
      </c>
      <c r="D5046" s="8" t="n">
        <v>961.63</v>
      </c>
      <c r="E5046" s="8" t="n">
        <v>0</v>
      </c>
      <c r="F5046" s="8" t="n">
        <v>0</v>
      </c>
    </row>
    <row r="5047" customFormat="false" ht="15" hidden="false" customHeight="true" outlineLevel="0" collapsed="false">
      <c r="A5047" s="8" t="s">
        <v>169</v>
      </c>
      <c r="B5047" s="8" t="s">
        <v>1240</v>
      </c>
      <c r="C5047" s="8" t="n">
        <v>12</v>
      </c>
      <c r="D5047" s="8" t="n">
        <v>501.72</v>
      </c>
      <c r="E5047" s="8" t="n">
        <v>0</v>
      </c>
      <c r="F5047" s="8" t="n">
        <v>0</v>
      </c>
    </row>
    <row r="5048" customFormat="false" ht="15" hidden="false" customHeight="true" outlineLevel="0" collapsed="false">
      <c r="A5048" s="8" t="s">
        <v>268</v>
      </c>
      <c r="B5048" s="8" t="s">
        <v>1234</v>
      </c>
      <c r="C5048" s="8" t="n">
        <v>1</v>
      </c>
      <c r="D5048" s="8" t="n">
        <v>35.67</v>
      </c>
      <c r="E5048" s="8" t="n">
        <v>0</v>
      </c>
      <c r="F5048" s="8" t="n">
        <v>0</v>
      </c>
    </row>
    <row r="5049" customFormat="false" ht="15" hidden="false" customHeight="true" outlineLevel="0" collapsed="false">
      <c r="A5049" s="8" t="s">
        <v>209</v>
      </c>
      <c r="B5049" s="8" t="s">
        <v>1245</v>
      </c>
      <c r="C5049" s="8" t="n">
        <v>4</v>
      </c>
      <c r="D5049" s="8" t="n">
        <v>259.56</v>
      </c>
      <c r="E5049" s="8" t="n">
        <v>0</v>
      </c>
      <c r="F5049" s="8" t="n">
        <v>0</v>
      </c>
    </row>
    <row r="5050" customFormat="false" ht="15" hidden="false" customHeight="true" outlineLevel="0" collapsed="false">
      <c r="A5050" s="8" t="s">
        <v>180</v>
      </c>
      <c r="B5050" s="8" t="s">
        <v>1216</v>
      </c>
      <c r="C5050" s="8" t="n">
        <v>9</v>
      </c>
      <c r="D5050" s="8" t="n">
        <v>148.5</v>
      </c>
      <c r="E5050" s="8" t="n">
        <v>3</v>
      </c>
      <c r="F5050" s="8" t="n">
        <v>49.5</v>
      </c>
    </row>
    <row r="5051" customFormat="false" ht="15" hidden="false" customHeight="true" outlineLevel="0" collapsed="false">
      <c r="A5051" s="8" t="s">
        <v>189</v>
      </c>
      <c r="B5051" s="8" t="s">
        <v>1216</v>
      </c>
      <c r="C5051" s="8" t="n">
        <v>14</v>
      </c>
      <c r="D5051" s="8" t="n">
        <v>231</v>
      </c>
      <c r="E5051" s="8" t="n">
        <v>1</v>
      </c>
      <c r="F5051" s="8" t="n">
        <v>16.5</v>
      </c>
    </row>
    <row r="5052" customFormat="false" ht="15" hidden="false" customHeight="true" outlineLevel="0" collapsed="false">
      <c r="A5052" s="8" t="s">
        <v>267</v>
      </c>
      <c r="B5052" s="8" t="s">
        <v>1216</v>
      </c>
      <c r="C5052" s="8" t="n">
        <v>3</v>
      </c>
      <c r="D5052" s="8" t="n">
        <v>49.5</v>
      </c>
      <c r="E5052" s="8" t="n">
        <v>0</v>
      </c>
      <c r="F5052" s="8" t="n">
        <v>0</v>
      </c>
    </row>
    <row r="5053" customFormat="false" ht="15" hidden="false" customHeight="true" outlineLevel="0" collapsed="false">
      <c r="A5053" s="8" t="s">
        <v>199</v>
      </c>
      <c r="B5053" s="8" t="s">
        <v>1216</v>
      </c>
      <c r="C5053" s="8" t="n">
        <v>7</v>
      </c>
      <c r="D5053" s="8" t="n">
        <v>115.5</v>
      </c>
      <c r="E5053" s="8" t="n">
        <v>3</v>
      </c>
      <c r="F5053" s="8" t="n">
        <v>49.5</v>
      </c>
    </row>
    <row r="5054" customFormat="false" ht="15" hidden="false" customHeight="true" outlineLevel="0" collapsed="false">
      <c r="A5054" s="8" t="s">
        <v>250</v>
      </c>
      <c r="B5054" s="8" t="s">
        <v>1216</v>
      </c>
      <c r="C5054" s="8" t="n">
        <v>6</v>
      </c>
      <c r="D5054" s="8" t="n">
        <v>99</v>
      </c>
      <c r="E5054" s="8" t="n">
        <v>0</v>
      </c>
      <c r="F5054" s="8" t="n">
        <v>0</v>
      </c>
    </row>
    <row r="5055" customFormat="false" ht="15" hidden="false" customHeight="true" outlineLevel="0" collapsed="false">
      <c r="A5055" s="8" t="s">
        <v>198</v>
      </c>
      <c r="B5055" s="8" t="s">
        <v>1217</v>
      </c>
      <c r="C5055" s="8" t="n">
        <v>12</v>
      </c>
      <c r="D5055" s="8" t="n">
        <v>246</v>
      </c>
      <c r="E5055" s="8" t="n">
        <v>3</v>
      </c>
      <c r="F5055" s="8" t="n">
        <v>61.5</v>
      </c>
    </row>
    <row r="5056" customFormat="false" ht="15" hidden="false" customHeight="true" outlineLevel="0" collapsed="false">
      <c r="A5056" s="8" t="s">
        <v>193</v>
      </c>
      <c r="B5056" s="8" t="s">
        <v>1217</v>
      </c>
      <c r="C5056" s="8" t="n">
        <v>13</v>
      </c>
      <c r="D5056" s="8" t="n">
        <v>266.5</v>
      </c>
      <c r="E5056" s="8" t="n">
        <v>0</v>
      </c>
      <c r="F5056" s="8" t="n">
        <v>0</v>
      </c>
    </row>
    <row r="5057" customFormat="false" ht="15" hidden="false" customHeight="true" outlineLevel="0" collapsed="false">
      <c r="A5057" s="8" t="s">
        <v>302</v>
      </c>
      <c r="B5057" s="8" t="s">
        <v>1217</v>
      </c>
      <c r="C5057" s="8" t="n">
        <v>4</v>
      </c>
      <c r="D5057" s="8" t="n">
        <v>82</v>
      </c>
      <c r="E5057" s="8" t="n">
        <v>1</v>
      </c>
      <c r="F5057" s="8" t="n">
        <v>20.5</v>
      </c>
    </row>
    <row r="5058" customFormat="false" ht="15" hidden="false" customHeight="true" outlineLevel="0" collapsed="false">
      <c r="A5058" s="8" t="s">
        <v>205</v>
      </c>
      <c r="B5058" s="8" t="s">
        <v>1217</v>
      </c>
      <c r="C5058" s="8" t="n">
        <v>7</v>
      </c>
      <c r="D5058" s="8" t="n">
        <v>143.5</v>
      </c>
      <c r="E5058" s="8" t="n">
        <v>4</v>
      </c>
      <c r="F5058" s="8" t="n">
        <v>82</v>
      </c>
    </row>
    <row r="5059" customFormat="false" ht="15" hidden="false" customHeight="true" outlineLevel="0" collapsed="false">
      <c r="A5059" s="8" t="s">
        <v>256</v>
      </c>
      <c r="B5059" s="8" t="s">
        <v>1217</v>
      </c>
      <c r="C5059" s="8" t="n">
        <v>9</v>
      </c>
      <c r="D5059" s="8" t="n">
        <v>184.5</v>
      </c>
      <c r="E5059" s="8" t="n">
        <v>1</v>
      </c>
      <c r="F5059" s="8" t="n">
        <v>20.5</v>
      </c>
    </row>
    <row r="5060" customFormat="false" ht="15" hidden="false" customHeight="true" outlineLevel="0" collapsed="false">
      <c r="A5060" s="8" t="s">
        <v>306</v>
      </c>
      <c r="B5060" s="8" t="s">
        <v>1283</v>
      </c>
      <c r="C5060" s="8" t="n">
        <v>0</v>
      </c>
      <c r="D5060" s="8" t="n">
        <v>0</v>
      </c>
      <c r="E5060" s="8" t="n">
        <v>1</v>
      </c>
      <c r="F5060" s="8" t="n">
        <v>195.73</v>
      </c>
    </row>
    <row r="5061" customFormat="false" ht="15" hidden="false" customHeight="true" outlineLevel="0" collapsed="false">
      <c r="A5061" s="8" t="s">
        <v>254</v>
      </c>
      <c r="B5061" s="8" t="s">
        <v>1265</v>
      </c>
      <c r="C5061" s="8" t="n">
        <v>0</v>
      </c>
      <c r="D5061" s="8" t="n">
        <v>0</v>
      </c>
      <c r="E5061" s="8" t="n">
        <v>1</v>
      </c>
      <c r="F5061" s="8" t="n">
        <v>126.57</v>
      </c>
    </row>
    <row r="5062" customFormat="false" ht="15" hidden="false" customHeight="true" outlineLevel="0" collapsed="false">
      <c r="A5062" s="8" t="s">
        <v>277</v>
      </c>
      <c r="B5062" s="8" t="s">
        <v>1285</v>
      </c>
      <c r="C5062" s="8" t="n">
        <v>1</v>
      </c>
      <c r="D5062" s="8" t="n">
        <v>136.3</v>
      </c>
      <c r="E5062" s="8" t="n">
        <v>1</v>
      </c>
      <c r="F5062" s="8" t="n">
        <v>136.3</v>
      </c>
    </row>
    <row r="5063" customFormat="false" ht="15" hidden="false" customHeight="true" outlineLevel="0" collapsed="false">
      <c r="A5063" s="8" t="s">
        <v>260</v>
      </c>
      <c r="B5063" s="8" t="s">
        <v>1285</v>
      </c>
      <c r="C5063" s="8" t="n">
        <v>1</v>
      </c>
      <c r="D5063" s="8" t="n">
        <v>136.3</v>
      </c>
      <c r="E5063" s="8" t="n">
        <v>0</v>
      </c>
      <c r="F5063" s="8" t="n">
        <v>0</v>
      </c>
    </row>
    <row r="5064" customFormat="false" ht="15" hidden="false" customHeight="true" outlineLevel="0" collapsed="false">
      <c r="A5064" s="8" t="s">
        <v>356</v>
      </c>
      <c r="B5064" s="8" t="s">
        <v>1285</v>
      </c>
      <c r="C5064" s="8" t="n">
        <v>1</v>
      </c>
      <c r="D5064" s="8" t="n">
        <v>136.3</v>
      </c>
      <c r="E5064" s="8" t="n">
        <v>3</v>
      </c>
      <c r="F5064" s="8" t="n">
        <v>408.9</v>
      </c>
    </row>
    <row r="5065" customFormat="false" ht="15" hidden="false" customHeight="true" outlineLevel="0" collapsed="false">
      <c r="A5065" s="8" t="s">
        <v>228</v>
      </c>
      <c r="B5065" s="8" t="s">
        <v>1275</v>
      </c>
      <c r="C5065" s="8" t="n">
        <v>19</v>
      </c>
      <c r="D5065" s="8" t="n">
        <v>270.75</v>
      </c>
      <c r="E5065" s="8" t="n">
        <v>0</v>
      </c>
      <c r="F5065" s="8" t="n">
        <v>0</v>
      </c>
    </row>
    <row r="5066" customFormat="false" ht="15" hidden="false" customHeight="true" outlineLevel="0" collapsed="false">
      <c r="A5066" s="8" t="s">
        <v>95</v>
      </c>
      <c r="B5066" s="8" t="s">
        <v>1247</v>
      </c>
      <c r="C5066" s="8" t="n">
        <v>1</v>
      </c>
      <c r="D5066" s="8" t="n">
        <v>25</v>
      </c>
      <c r="E5066" s="8" t="n">
        <v>2</v>
      </c>
      <c r="F5066" s="8" t="n">
        <v>50</v>
      </c>
    </row>
    <row r="5067" customFormat="false" ht="15" hidden="false" customHeight="true" outlineLevel="0" collapsed="false">
      <c r="A5067" s="8" t="s">
        <v>113</v>
      </c>
      <c r="B5067" s="8" t="s">
        <v>1247</v>
      </c>
      <c r="C5067" s="8" t="n">
        <v>1</v>
      </c>
      <c r="D5067" s="8" t="n">
        <v>25</v>
      </c>
      <c r="E5067" s="8" t="n">
        <v>3</v>
      </c>
      <c r="F5067" s="8" t="n">
        <v>75</v>
      </c>
    </row>
    <row r="5068" customFormat="false" ht="15" hidden="false" customHeight="true" outlineLevel="0" collapsed="false">
      <c r="A5068" s="8" t="s">
        <v>99</v>
      </c>
      <c r="B5068" s="8" t="s">
        <v>1247</v>
      </c>
      <c r="C5068" s="8" t="n">
        <v>1</v>
      </c>
      <c r="D5068" s="8" t="n">
        <v>25</v>
      </c>
      <c r="E5068" s="8" t="n">
        <v>5</v>
      </c>
      <c r="F5068" s="8" t="n">
        <v>125</v>
      </c>
    </row>
    <row r="5069" customFormat="false" ht="15" hidden="false" customHeight="true" outlineLevel="0" collapsed="false">
      <c r="A5069" s="8" t="s">
        <v>120</v>
      </c>
      <c r="B5069" s="8" t="s">
        <v>1247</v>
      </c>
      <c r="C5069" s="8" t="n">
        <v>1</v>
      </c>
      <c r="D5069" s="8" t="n">
        <v>25</v>
      </c>
      <c r="E5069" s="8" t="n">
        <v>2</v>
      </c>
      <c r="F5069" s="8" t="n">
        <v>50</v>
      </c>
    </row>
    <row r="5070" customFormat="false" ht="15" hidden="false" customHeight="true" outlineLevel="0" collapsed="false">
      <c r="A5070" s="8" t="s">
        <v>257</v>
      </c>
      <c r="B5070" s="8" t="s">
        <v>1284</v>
      </c>
      <c r="C5070" s="8" t="n">
        <v>4</v>
      </c>
      <c r="D5070" s="8" t="n">
        <v>129.72</v>
      </c>
      <c r="E5070" s="8" t="n">
        <v>0</v>
      </c>
      <c r="F5070" s="8" t="n">
        <v>0</v>
      </c>
    </row>
    <row r="5071" customFormat="false" ht="15" hidden="false" customHeight="true" outlineLevel="0" collapsed="false">
      <c r="A5071" s="8" t="s">
        <v>178</v>
      </c>
      <c r="B5071" s="8" t="s">
        <v>1236</v>
      </c>
      <c r="C5071" s="8" t="n">
        <v>6</v>
      </c>
      <c r="D5071" s="8" t="n">
        <v>210</v>
      </c>
      <c r="E5071" s="8" t="n">
        <v>4</v>
      </c>
      <c r="F5071" s="8" t="n">
        <v>140</v>
      </c>
    </row>
    <row r="5072" customFormat="false" ht="15" hidden="false" customHeight="true" outlineLevel="0" collapsed="false">
      <c r="A5072" s="8" t="s">
        <v>176</v>
      </c>
      <c r="B5072" s="8" t="s">
        <v>1236</v>
      </c>
      <c r="C5072" s="8" t="n">
        <v>8</v>
      </c>
      <c r="D5072" s="8" t="n">
        <v>280</v>
      </c>
      <c r="E5072" s="8" t="n">
        <v>0</v>
      </c>
      <c r="F5072" s="8" t="n">
        <v>0</v>
      </c>
    </row>
    <row r="5073" customFormat="false" ht="15" hidden="false" customHeight="true" outlineLevel="0" collapsed="false">
      <c r="A5073" s="8" t="s">
        <v>235</v>
      </c>
      <c r="B5073" s="8" t="s">
        <v>1236</v>
      </c>
      <c r="C5073" s="8" t="n">
        <v>0</v>
      </c>
      <c r="D5073" s="8" t="n">
        <v>0</v>
      </c>
      <c r="E5073" s="8" t="n">
        <v>2</v>
      </c>
      <c r="F5073" s="8" t="n">
        <v>70</v>
      </c>
    </row>
    <row r="5074" customFormat="false" ht="15" hidden="false" customHeight="true" outlineLevel="0" collapsed="false">
      <c r="A5074" s="8" t="s">
        <v>179</v>
      </c>
      <c r="B5074" s="8" t="s">
        <v>1218</v>
      </c>
      <c r="C5074" s="8" t="n">
        <v>3</v>
      </c>
      <c r="D5074" s="8" t="n">
        <v>379.5</v>
      </c>
      <c r="E5074" s="8" t="n">
        <v>0</v>
      </c>
      <c r="F5074" s="8" t="n">
        <v>0</v>
      </c>
    </row>
    <row r="5075" customFormat="false" ht="15" hidden="false" customHeight="true" outlineLevel="0" collapsed="false">
      <c r="A5075" s="8" t="s">
        <v>185</v>
      </c>
      <c r="B5075" s="8" t="s">
        <v>1218</v>
      </c>
      <c r="C5075" s="8" t="n">
        <v>1</v>
      </c>
      <c r="D5075" s="8" t="n">
        <v>126.5</v>
      </c>
      <c r="E5075" s="8" t="n">
        <v>0</v>
      </c>
      <c r="F5075" s="8" t="n">
        <v>0</v>
      </c>
    </row>
    <row r="5076" customFormat="false" ht="15" hidden="false" customHeight="true" outlineLevel="0" collapsed="false">
      <c r="A5076" s="8" t="s">
        <v>195</v>
      </c>
      <c r="B5076" s="8" t="s">
        <v>1218</v>
      </c>
      <c r="C5076" s="8" t="n">
        <v>2</v>
      </c>
      <c r="D5076" s="8" t="n">
        <v>253</v>
      </c>
      <c r="E5076" s="8" t="n">
        <v>2</v>
      </c>
      <c r="F5076" s="8" t="n">
        <v>253</v>
      </c>
    </row>
    <row r="5077" customFormat="false" ht="15" hidden="false" customHeight="true" outlineLevel="0" collapsed="false">
      <c r="A5077" s="8" t="s">
        <v>240</v>
      </c>
      <c r="B5077" s="8" t="s">
        <v>769</v>
      </c>
      <c r="C5077" s="8" t="n">
        <v>6</v>
      </c>
      <c r="D5077" s="8" t="n">
        <v>102</v>
      </c>
      <c r="E5077" s="8" t="n">
        <v>2</v>
      </c>
      <c r="F5077" s="8" t="n">
        <v>34</v>
      </c>
    </row>
    <row r="5078" customFormat="false" ht="15" hidden="false" customHeight="true" outlineLevel="0" collapsed="false">
      <c r="A5078" s="8" t="s">
        <v>234</v>
      </c>
      <c r="B5078" s="8" t="s">
        <v>769</v>
      </c>
      <c r="C5078" s="8" t="n">
        <v>4</v>
      </c>
      <c r="D5078" s="8" t="n">
        <v>68</v>
      </c>
      <c r="E5078" s="8" t="n">
        <v>2</v>
      </c>
      <c r="F5078" s="8" t="n">
        <v>34</v>
      </c>
    </row>
    <row r="5079" customFormat="false" ht="15" hidden="false" customHeight="true" outlineLevel="0" collapsed="false">
      <c r="A5079" s="8" t="s">
        <v>247</v>
      </c>
      <c r="B5079" s="8" t="s">
        <v>769</v>
      </c>
      <c r="C5079" s="8" t="n">
        <v>5</v>
      </c>
      <c r="D5079" s="8" t="n">
        <v>85</v>
      </c>
      <c r="E5079" s="8" t="n">
        <v>2</v>
      </c>
      <c r="F5079" s="8" t="n">
        <v>34</v>
      </c>
    </row>
    <row r="5080" customFormat="false" ht="15" hidden="false" customHeight="true" outlineLevel="0" collapsed="false">
      <c r="A5080" s="8" t="s">
        <v>300</v>
      </c>
      <c r="B5080" s="8" t="s">
        <v>769</v>
      </c>
      <c r="C5080" s="8" t="n">
        <v>3</v>
      </c>
      <c r="D5080" s="8" t="n">
        <v>51</v>
      </c>
      <c r="E5080" s="8" t="n">
        <v>0</v>
      </c>
      <c r="F5080" s="8" t="n">
        <v>0</v>
      </c>
    </row>
    <row r="5081" customFormat="false" ht="15" hidden="false" customHeight="true" outlineLevel="0" collapsed="false">
      <c r="A5081" s="8" t="s">
        <v>182</v>
      </c>
      <c r="B5081" s="8" t="s">
        <v>799</v>
      </c>
      <c r="C5081" s="8" t="n">
        <v>35</v>
      </c>
      <c r="D5081" s="8" t="n">
        <v>700</v>
      </c>
      <c r="E5081" s="8" t="n">
        <v>6</v>
      </c>
      <c r="F5081" s="8" t="n">
        <v>120</v>
      </c>
    </row>
    <row r="5082" customFormat="false" ht="15" hidden="false" customHeight="true" outlineLevel="0" collapsed="false">
      <c r="A5082" s="8" t="s">
        <v>274</v>
      </c>
      <c r="B5082" s="8" t="s">
        <v>1219</v>
      </c>
      <c r="C5082" s="8" t="n">
        <v>8</v>
      </c>
      <c r="D5082" s="8" t="n">
        <v>69.84</v>
      </c>
      <c r="E5082" s="8" t="n">
        <v>4</v>
      </c>
      <c r="F5082" s="8" t="n">
        <v>34.92</v>
      </c>
    </row>
    <row r="5083" customFormat="false" ht="15" hidden="false" customHeight="true" outlineLevel="0" collapsed="false">
      <c r="A5083" s="8" t="s">
        <v>170</v>
      </c>
      <c r="B5083" s="8" t="s">
        <v>1220</v>
      </c>
      <c r="C5083" s="8" t="n">
        <v>18</v>
      </c>
      <c r="D5083" s="8" t="n">
        <v>266.4</v>
      </c>
      <c r="E5083" s="8" t="n">
        <v>0</v>
      </c>
      <c r="F5083" s="8" t="n">
        <v>0</v>
      </c>
    </row>
    <row r="5084" customFormat="false" ht="15" hidden="false" customHeight="true" outlineLevel="0" collapsed="false">
      <c r="A5084" s="8" t="s">
        <v>167</v>
      </c>
      <c r="B5084" s="8" t="s">
        <v>1238</v>
      </c>
      <c r="C5084" s="8" t="n">
        <v>41</v>
      </c>
      <c r="D5084" s="8" t="n">
        <v>549.4</v>
      </c>
      <c r="E5084" s="8" t="n">
        <v>11</v>
      </c>
      <c r="F5084" s="8" t="n">
        <v>147.4</v>
      </c>
    </row>
    <row r="5085" customFormat="false" ht="15" hidden="false" customHeight="true" outlineLevel="0" collapsed="false">
      <c r="A5085" s="8" t="s">
        <v>334</v>
      </c>
      <c r="B5085" s="8" t="s">
        <v>1276</v>
      </c>
      <c r="C5085" s="8" t="n">
        <v>3</v>
      </c>
      <c r="D5085" s="8" t="n">
        <v>48.6</v>
      </c>
      <c r="E5085" s="8" t="n">
        <v>2</v>
      </c>
      <c r="F5085" s="8" t="n">
        <v>32.4</v>
      </c>
    </row>
    <row r="5086" customFormat="false" ht="15" hidden="false" customHeight="true" outlineLevel="0" collapsed="false">
      <c r="A5086" s="8" t="s">
        <v>323</v>
      </c>
      <c r="B5086" s="8" t="s">
        <v>875</v>
      </c>
      <c r="C5086" s="8" t="n">
        <v>0</v>
      </c>
      <c r="D5086" s="8" t="n">
        <v>0</v>
      </c>
      <c r="E5086" s="8" t="n">
        <v>1</v>
      </c>
      <c r="F5086" s="8" t="n">
        <v>15.91</v>
      </c>
    </row>
    <row r="5087" customFormat="false" ht="15" hidden="false" customHeight="true" outlineLevel="0" collapsed="false">
      <c r="A5087" s="8" t="s">
        <v>294</v>
      </c>
      <c r="B5087" s="8" t="s">
        <v>1289</v>
      </c>
      <c r="C5087" s="8" t="n">
        <v>4</v>
      </c>
      <c r="D5087" s="8" t="n">
        <v>57.8</v>
      </c>
      <c r="E5087" s="8" t="n">
        <v>0</v>
      </c>
      <c r="F5087" s="8" t="n">
        <v>0</v>
      </c>
    </row>
    <row r="5088" customFormat="false" ht="15" hidden="false" customHeight="true" outlineLevel="0" collapsed="false">
      <c r="A5088" s="8" t="s">
        <v>315</v>
      </c>
      <c r="B5088" s="8" t="s">
        <v>1266</v>
      </c>
      <c r="C5088" s="8" t="n">
        <v>2</v>
      </c>
      <c r="D5088" s="8" t="n">
        <v>31.82</v>
      </c>
      <c r="E5088" s="8" t="n">
        <v>0</v>
      </c>
      <c r="F5088" s="8" t="n">
        <v>0</v>
      </c>
    </row>
    <row r="5089" customFormat="false" ht="15" hidden="false" customHeight="true" outlineLevel="0" collapsed="false">
      <c r="A5089" s="8" t="s">
        <v>373</v>
      </c>
      <c r="B5089" s="8" t="s">
        <v>1291</v>
      </c>
      <c r="C5089" s="8" t="n">
        <v>2</v>
      </c>
      <c r="D5089" s="8" t="n">
        <v>64.28</v>
      </c>
      <c r="E5089" s="8" t="n">
        <v>0</v>
      </c>
      <c r="F5089" s="8" t="n">
        <v>0</v>
      </c>
    </row>
    <row r="5090" customFormat="false" ht="15" hidden="false" customHeight="true" outlineLevel="0" collapsed="false">
      <c r="A5090" s="8" t="s">
        <v>220</v>
      </c>
      <c r="B5090" s="8" t="s">
        <v>1248</v>
      </c>
      <c r="C5090" s="8" t="n">
        <v>49</v>
      </c>
      <c r="D5090" s="8" t="n">
        <v>509.6</v>
      </c>
      <c r="E5090" s="8" t="n">
        <v>10</v>
      </c>
      <c r="F5090" s="8" t="n">
        <v>104</v>
      </c>
    </row>
    <row r="5091" customFormat="false" ht="15" hidden="false" customHeight="true" outlineLevel="0" collapsed="false">
      <c r="A5091" s="8" t="s">
        <v>275</v>
      </c>
      <c r="B5091" s="8" t="s">
        <v>1257</v>
      </c>
      <c r="C5091" s="8" t="n">
        <v>5</v>
      </c>
      <c r="D5091" s="8" t="n">
        <v>108</v>
      </c>
      <c r="E5091" s="8" t="n">
        <v>0</v>
      </c>
      <c r="F5091" s="8" t="n">
        <v>0</v>
      </c>
    </row>
    <row r="5092" customFormat="false" ht="15" hidden="false" customHeight="true" outlineLevel="0" collapsed="false">
      <c r="A5092" s="8" t="s">
        <v>233</v>
      </c>
      <c r="B5092" s="8" t="s">
        <v>1249</v>
      </c>
      <c r="C5092" s="8" t="n">
        <v>23</v>
      </c>
      <c r="D5092" s="8" t="n">
        <v>412.85</v>
      </c>
      <c r="E5092" s="8" t="n">
        <v>2</v>
      </c>
      <c r="F5092" s="8" t="n">
        <v>35.9</v>
      </c>
    </row>
    <row r="5093" customFormat="false" ht="15" hidden="false" customHeight="true" outlineLevel="0" collapsed="false">
      <c r="A5093" s="8" t="s">
        <v>264</v>
      </c>
      <c r="B5093" s="8" t="s">
        <v>1221</v>
      </c>
      <c r="C5093" s="8" t="n">
        <v>31</v>
      </c>
      <c r="D5093" s="8" t="n">
        <v>180.11</v>
      </c>
      <c r="E5093" s="8" t="n">
        <v>0</v>
      </c>
      <c r="F5093" s="8" t="n">
        <v>0</v>
      </c>
    </row>
    <row r="5094" customFormat="false" ht="15" hidden="false" customHeight="true" outlineLevel="0" collapsed="false">
      <c r="A5094" s="8" t="s">
        <v>348</v>
      </c>
      <c r="B5094" s="8" t="s">
        <v>1277</v>
      </c>
      <c r="C5094" s="8" t="n">
        <v>9</v>
      </c>
      <c r="D5094" s="8" t="n">
        <v>61.2</v>
      </c>
      <c r="E5094" s="8" t="n">
        <v>2</v>
      </c>
      <c r="F5094" s="8" t="n">
        <v>13.6</v>
      </c>
    </row>
    <row r="5095" customFormat="false" ht="15" hidden="false" customHeight="true" outlineLevel="0" collapsed="false">
      <c r="A5095" s="8" t="s">
        <v>252</v>
      </c>
      <c r="B5095" s="8" t="s">
        <v>1177</v>
      </c>
      <c r="C5095" s="8" t="n">
        <v>2</v>
      </c>
      <c r="D5095" s="8" t="n">
        <v>33.2</v>
      </c>
      <c r="E5095" s="8" t="n">
        <v>1</v>
      </c>
      <c r="F5095" s="8" t="n">
        <v>16.6</v>
      </c>
    </row>
    <row r="5096" customFormat="false" ht="15" hidden="false" customHeight="true" outlineLevel="0" collapsed="false">
      <c r="A5096" s="8" t="s">
        <v>203</v>
      </c>
      <c r="B5096" s="8" t="s">
        <v>1177</v>
      </c>
      <c r="C5096" s="8" t="n">
        <v>2</v>
      </c>
      <c r="D5096" s="8" t="n">
        <v>37</v>
      </c>
      <c r="E5096" s="8" t="n">
        <v>6</v>
      </c>
      <c r="F5096" s="8" t="n">
        <v>111</v>
      </c>
    </row>
    <row r="5097" customFormat="false" ht="15" hidden="false" customHeight="true" outlineLevel="0" collapsed="false">
      <c r="A5097" s="8" t="s">
        <v>211</v>
      </c>
      <c r="B5097" s="8" t="s">
        <v>1250</v>
      </c>
      <c r="C5097" s="8" t="n">
        <v>15</v>
      </c>
      <c r="D5097" s="8" t="n">
        <v>375</v>
      </c>
      <c r="E5097" s="8" t="n">
        <v>2</v>
      </c>
      <c r="F5097" s="8" t="n">
        <v>50</v>
      </c>
    </row>
    <row r="5098" customFormat="false" ht="15" hidden="false" customHeight="true" outlineLevel="0" collapsed="false">
      <c r="A5098" s="8" t="s">
        <v>248</v>
      </c>
      <c r="B5098" s="8" t="s">
        <v>1242</v>
      </c>
      <c r="C5098" s="8" t="n">
        <v>2</v>
      </c>
      <c r="D5098" s="8" t="n">
        <v>42</v>
      </c>
      <c r="E5098" s="8" t="n">
        <v>4</v>
      </c>
      <c r="F5098" s="8" t="n">
        <v>84</v>
      </c>
    </row>
    <row r="5099" customFormat="false" ht="15" hidden="false" customHeight="true" outlineLevel="0" collapsed="false">
      <c r="A5099" s="8" t="s">
        <v>196</v>
      </c>
      <c r="B5099" s="8" t="s">
        <v>1243</v>
      </c>
      <c r="C5099" s="8" t="n">
        <v>2</v>
      </c>
      <c r="D5099" s="8" t="n">
        <v>107</v>
      </c>
      <c r="E5099" s="8" t="n">
        <v>5</v>
      </c>
      <c r="F5099" s="8" t="n">
        <v>267.5</v>
      </c>
    </row>
    <row r="5100" customFormat="false" ht="15" hidden="false" customHeight="true" outlineLevel="0" collapsed="false">
      <c r="A5100" s="8" t="s">
        <v>226</v>
      </c>
      <c r="B5100" s="8" t="s">
        <v>566</v>
      </c>
      <c r="C5100" s="8" t="n">
        <v>2</v>
      </c>
      <c r="D5100" s="8" t="n">
        <v>41.6</v>
      </c>
      <c r="E5100" s="8" t="n">
        <v>1</v>
      </c>
      <c r="F5100" s="8" t="n">
        <v>20.8</v>
      </c>
    </row>
    <row r="5101" customFormat="false" ht="15" hidden="false" customHeight="true" outlineLevel="0" collapsed="false">
      <c r="A5101" s="8" t="s">
        <v>301</v>
      </c>
      <c r="B5101" s="8" t="s">
        <v>1258</v>
      </c>
      <c r="C5101" s="8" t="n">
        <v>1</v>
      </c>
      <c r="D5101" s="8" t="n">
        <v>94.1</v>
      </c>
      <c r="E5101" s="8" t="n">
        <v>0</v>
      </c>
      <c r="F5101" s="8" t="n">
        <v>0</v>
      </c>
    </row>
    <row r="5102" customFormat="false" ht="15" hidden="false" customHeight="true" outlineLevel="0" collapsed="false">
      <c r="A5102" s="8" t="s">
        <v>310</v>
      </c>
      <c r="B5102" s="8" t="s">
        <v>1258</v>
      </c>
      <c r="C5102" s="8" t="n">
        <v>1</v>
      </c>
      <c r="D5102" s="8" t="n">
        <v>94.1</v>
      </c>
      <c r="E5102" s="8" t="n">
        <v>0</v>
      </c>
      <c r="F5102" s="8" t="n">
        <v>0</v>
      </c>
    </row>
    <row r="5103" customFormat="false" ht="15" hidden="false" customHeight="true" outlineLevel="0" collapsed="false">
      <c r="A5103" s="8" t="s">
        <v>343</v>
      </c>
      <c r="B5103" s="8" t="s">
        <v>1258</v>
      </c>
      <c r="C5103" s="8" t="n">
        <v>1</v>
      </c>
      <c r="D5103" s="8" t="n">
        <v>94.1</v>
      </c>
      <c r="E5103" s="8" t="n">
        <v>0</v>
      </c>
      <c r="F5103" s="8" t="n">
        <v>0</v>
      </c>
    </row>
    <row r="5104" customFormat="false" ht="15" hidden="false" customHeight="true" outlineLevel="0" collapsed="false">
      <c r="A5104" s="8" t="s">
        <v>197</v>
      </c>
      <c r="B5104" s="8" t="s">
        <v>1222</v>
      </c>
      <c r="C5104" s="8" t="n">
        <v>4</v>
      </c>
      <c r="D5104" s="8" t="n">
        <v>260</v>
      </c>
      <c r="E5104" s="8" t="n">
        <v>1</v>
      </c>
      <c r="F5104" s="8" t="n">
        <v>65</v>
      </c>
    </row>
    <row r="5105" customFormat="false" ht="15" hidden="false" customHeight="true" outlineLevel="0" collapsed="false">
      <c r="A5105" s="8" t="s">
        <v>253</v>
      </c>
      <c r="B5105" s="8" t="s">
        <v>1222</v>
      </c>
      <c r="C5105" s="8" t="n">
        <v>1</v>
      </c>
      <c r="D5105" s="8" t="n">
        <v>65</v>
      </c>
      <c r="E5105" s="8" t="n">
        <v>0</v>
      </c>
      <c r="F5105" s="8" t="n">
        <v>0</v>
      </c>
    </row>
    <row r="5106" customFormat="false" ht="15" hidden="false" customHeight="true" outlineLevel="0" collapsed="false">
      <c r="A5106" s="8" t="s">
        <v>207</v>
      </c>
      <c r="B5106" s="8" t="s">
        <v>1222</v>
      </c>
      <c r="C5106" s="8" t="n">
        <v>8</v>
      </c>
      <c r="D5106" s="8" t="n">
        <v>520</v>
      </c>
      <c r="E5106" s="8" t="n">
        <v>0</v>
      </c>
      <c r="F5106" s="8" t="n">
        <v>0</v>
      </c>
    </row>
    <row r="5107" customFormat="false" ht="15" hidden="false" customHeight="true" outlineLevel="0" collapsed="false">
      <c r="A5107" s="8" t="s">
        <v>163</v>
      </c>
      <c r="B5107" s="8" t="s">
        <v>897</v>
      </c>
      <c r="C5107" s="8" t="n">
        <v>12</v>
      </c>
      <c r="D5107" s="8" t="n">
        <v>780</v>
      </c>
      <c r="E5107" s="8" t="n">
        <v>-1</v>
      </c>
      <c r="F5107" s="8" t="n">
        <v>-65</v>
      </c>
    </row>
    <row r="5108" customFormat="false" ht="15" hidden="false" customHeight="true" outlineLevel="0" collapsed="false">
      <c r="A5108" s="8" t="s">
        <v>181</v>
      </c>
      <c r="B5108" s="8" t="s">
        <v>897</v>
      </c>
      <c r="C5108" s="8" t="n">
        <v>3</v>
      </c>
      <c r="D5108" s="8" t="n">
        <v>195</v>
      </c>
      <c r="E5108" s="8" t="n">
        <v>1</v>
      </c>
      <c r="F5108" s="8" t="n">
        <v>65</v>
      </c>
    </row>
    <row r="5109" customFormat="false" ht="15" hidden="false" customHeight="true" outlineLevel="0" collapsed="false">
      <c r="A5109" s="8" t="s">
        <v>290</v>
      </c>
      <c r="B5109" s="8" t="s">
        <v>897</v>
      </c>
      <c r="C5109" s="8" t="n">
        <v>3</v>
      </c>
      <c r="D5109" s="8" t="n">
        <v>195</v>
      </c>
      <c r="E5109" s="8" t="n">
        <v>0</v>
      </c>
      <c r="F5109" s="8" t="n">
        <v>0</v>
      </c>
    </row>
    <row r="5110" customFormat="false" ht="15" hidden="false" customHeight="true" outlineLevel="0" collapsed="false">
      <c r="A5110" s="8" t="s">
        <v>165</v>
      </c>
      <c r="B5110" s="8" t="s">
        <v>897</v>
      </c>
      <c r="C5110" s="8" t="n">
        <v>2</v>
      </c>
      <c r="D5110" s="8" t="n">
        <v>130</v>
      </c>
      <c r="E5110" s="8" t="n">
        <v>0</v>
      </c>
      <c r="F5110" s="8" t="n">
        <v>0</v>
      </c>
    </row>
    <row r="5111" customFormat="false" ht="15" hidden="false" customHeight="true" outlineLevel="0" collapsed="false">
      <c r="A5111" s="8" t="s">
        <v>175</v>
      </c>
      <c r="B5111" s="8" t="s">
        <v>1244</v>
      </c>
      <c r="C5111" s="8" t="n">
        <v>2</v>
      </c>
      <c r="D5111" s="8" t="n">
        <v>351</v>
      </c>
      <c r="E5111" s="8" t="n">
        <v>0</v>
      </c>
      <c r="F5111" s="8" t="n">
        <v>0</v>
      </c>
    </row>
    <row r="5112" customFormat="false" ht="15" hidden="false" customHeight="true" outlineLevel="0" collapsed="false">
      <c r="A5112" s="8" t="s">
        <v>177</v>
      </c>
      <c r="B5112" s="8" t="s">
        <v>1244</v>
      </c>
      <c r="C5112" s="8" t="n">
        <v>4</v>
      </c>
      <c r="D5112" s="8" t="n">
        <v>702</v>
      </c>
      <c r="E5112" s="8" t="n">
        <v>-1</v>
      </c>
      <c r="F5112" s="8" t="n">
        <v>-175.5</v>
      </c>
    </row>
    <row r="5113" customFormat="false" ht="15" hidden="false" customHeight="true" outlineLevel="0" collapsed="false">
      <c r="A5113" s="8" t="s">
        <v>208</v>
      </c>
      <c r="B5113" s="8" t="s">
        <v>1179</v>
      </c>
      <c r="C5113" s="8" t="n">
        <v>2</v>
      </c>
      <c r="D5113" s="8" t="n">
        <v>144.68</v>
      </c>
      <c r="E5113" s="8" t="n">
        <v>2</v>
      </c>
      <c r="F5113" s="8" t="n">
        <v>144.68</v>
      </c>
    </row>
    <row r="5114" customFormat="false" ht="15" hidden="false" customHeight="true" outlineLevel="0" collapsed="false">
      <c r="A5114" s="8" t="s">
        <v>221</v>
      </c>
      <c r="B5114" s="8" t="s">
        <v>1179</v>
      </c>
      <c r="C5114" s="8" t="n">
        <v>3</v>
      </c>
      <c r="D5114" s="8" t="n">
        <v>217.02</v>
      </c>
      <c r="E5114" s="8" t="n">
        <v>0</v>
      </c>
      <c r="F5114" s="8" t="n">
        <v>0</v>
      </c>
    </row>
    <row r="5115" customFormat="false" ht="15" hidden="false" customHeight="true" outlineLevel="0" collapsed="false">
      <c r="A5115" s="8" t="s">
        <v>191</v>
      </c>
      <c r="B5115" s="8" t="s">
        <v>1179</v>
      </c>
      <c r="C5115" s="8" t="n">
        <v>0</v>
      </c>
      <c r="D5115" s="8" t="n">
        <v>0</v>
      </c>
      <c r="E5115" s="8" t="n">
        <v>2</v>
      </c>
      <c r="F5115" s="8" t="n">
        <v>144.68</v>
      </c>
    </row>
    <row r="5116" customFormat="false" ht="15" hidden="false" customHeight="true" outlineLevel="0" collapsed="false">
      <c r="A5116" s="8" t="s">
        <v>204</v>
      </c>
      <c r="B5116" s="8" t="s">
        <v>1179</v>
      </c>
      <c r="C5116" s="8" t="n">
        <v>1</v>
      </c>
      <c r="D5116" s="8" t="n">
        <v>72.34</v>
      </c>
      <c r="E5116" s="8" t="n">
        <v>0</v>
      </c>
      <c r="F5116" s="8" t="n">
        <v>0</v>
      </c>
    </row>
    <row r="5117" customFormat="false" ht="15" hidden="false" customHeight="true" outlineLevel="0" collapsed="false">
      <c r="A5117" s="8" t="s">
        <v>190</v>
      </c>
      <c r="B5117" s="8" t="s">
        <v>1224</v>
      </c>
      <c r="C5117" s="8" t="n">
        <v>4</v>
      </c>
      <c r="D5117" s="8" t="n">
        <v>97.72</v>
      </c>
      <c r="E5117" s="8" t="n">
        <v>1</v>
      </c>
      <c r="F5117" s="8" t="n">
        <v>24.43</v>
      </c>
    </row>
    <row r="5118" customFormat="false" ht="15" hidden="false" customHeight="true" outlineLevel="0" collapsed="false">
      <c r="A5118" s="8" t="s">
        <v>183</v>
      </c>
      <c r="B5118" s="8" t="s">
        <v>1224</v>
      </c>
      <c r="C5118" s="8" t="n">
        <v>10</v>
      </c>
      <c r="D5118" s="8" t="n">
        <v>244.3</v>
      </c>
      <c r="E5118" s="8" t="n">
        <v>2</v>
      </c>
      <c r="F5118" s="8" t="n">
        <v>48.86</v>
      </c>
    </row>
    <row r="5119" customFormat="false" ht="15" hidden="false" customHeight="true" outlineLevel="0" collapsed="false">
      <c r="A5119" s="8" t="s">
        <v>218</v>
      </c>
      <c r="B5119" s="8" t="s">
        <v>1224</v>
      </c>
      <c r="C5119" s="8" t="n">
        <v>2</v>
      </c>
      <c r="D5119" s="8" t="n">
        <v>48.86</v>
      </c>
      <c r="E5119" s="8" t="n">
        <v>0</v>
      </c>
      <c r="F5119" s="8" t="n">
        <v>0</v>
      </c>
    </row>
    <row r="5120" customFormat="false" ht="15" hidden="false" customHeight="true" outlineLevel="0" collapsed="false">
      <c r="A5120" s="8" t="s">
        <v>231</v>
      </c>
      <c r="B5120" s="8" t="s">
        <v>1224</v>
      </c>
      <c r="C5120" s="8" t="n">
        <v>2</v>
      </c>
      <c r="D5120" s="8" t="n">
        <v>48.86</v>
      </c>
      <c r="E5120" s="8" t="n">
        <v>0</v>
      </c>
      <c r="F5120" s="8" t="n">
        <v>0</v>
      </c>
    </row>
    <row r="5121" customFormat="false" ht="15" hidden="false" customHeight="true" outlineLevel="0" collapsed="false">
      <c r="A5121" s="8" t="s">
        <v>286</v>
      </c>
      <c r="B5121" s="8" t="s">
        <v>1269</v>
      </c>
      <c r="C5121" s="8" t="n">
        <v>6</v>
      </c>
      <c r="D5121" s="8" t="n">
        <v>66</v>
      </c>
      <c r="E5121" s="8" t="n">
        <v>0</v>
      </c>
      <c r="F5121" s="8" t="n">
        <v>0</v>
      </c>
    </row>
    <row r="5122" customFormat="false" ht="15" hidden="false" customHeight="true" outlineLevel="0" collapsed="false">
      <c r="A5122" s="8" t="s">
        <v>289</v>
      </c>
      <c r="B5122" s="8" t="s">
        <v>1270</v>
      </c>
      <c r="C5122" s="8" t="n">
        <v>6</v>
      </c>
      <c r="D5122" s="8" t="n">
        <v>66</v>
      </c>
      <c r="E5122" s="8" t="n">
        <v>0</v>
      </c>
      <c r="F5122" s="8" t="n">
        <v>0</v>
      </c>
    </row>
    <row r="5123" customFormat="false" ht="15" hidden="false" customHeight="true" outlineLevel="0" collapsed="false">
      <c r="A5123" s="8" t="s">
        <v>161</v>
      </c>
      <c r="B5123" s="8" t="s">
        <v>1208</v>
      </c>
      <c r="C5123" s="8" t="n">
        <v>1</v>
      </c>
      <c r="D5123" s="8" t="n">
        <v>45.5</v>
      </c>
      <c r="E5123" s="8" t="n">
        <v>6</v>
      </c>
      <c r="F5123" s="8" t="n">
        <v>273</v>
      </c>
    </row>
    <row r="5124" customFormat="false" ht="15" hidden="false" customHeight="true" outlineLevel="0" collapsed="false">
      <c r="A5124" s="8" t="s">
        <v>162</v>
      </c>
      <c r="B5124" s="8" t="s">
        <v>1209</v>
      </c>
      <c r="C5124" s="8" t="n">
        <v>2</v>
      </c>
      <c r="D5124" s="8" t="n">
        <v>155.6</v>
      </c>
      <c r="E5124" s="8" t="n">
        <v>1</v>
      </c>
      <c r="F5124" s="8" t="n">
        <v>77.8</v>
      </c>
    </row>
    <row r="5125" customFormat="false" ht="15" hidden="false" customHeight="true" outlineLevel="0" collapsed="false">
      <c r="A5125" s="8" t="s">
        <v>171</v>
      </c>
      <c r="B5125" s="8" t="s">
        <v>1210</v>
      </c>
      <c r="C5125" s="8" t="n">
        <v>16</v>
      </c>
      <c r="D5125" s="8" t="n">
        <v>755.68</v>
      </c>
      <c r="E5125" s="8" t="n">
        <v>1</v>
      </c>
      <c r="F5125" s="8" t="n">
        <v>47.23</v>
      </c>
    </row>
    <row r="5126" customFormat="false" ht="15" hidden="false" customHeight="true" outlineLevel="0" collapsed="false">
      <c r="A5126" s="8" t="s">
        <v>174</v>
      </c>
      <c r="B5126" s="8" t="s">
        <v>1210</v>
      </c>
      <c r="C5126" s="8" t="n">
        <v>11</v>
      </c>
      <c r="D5126" s="8" t="n">
        <v>519.53</v>
      </c>
      <c r="E5126" s="8" t="n">
        <v>-2</v>
      </c>
      <c r="F5126" s="8" t="n">
        <v>-94.46</v>
      </c>
    </row>
    <row r="5127" customFormat="false" ht="15" hidden="false" customHeight="true" outlineLevel="0" collapsed="false">
      <c r="A5127" s="8" t="s">
        <v>166</v>
      </c>
      <c r="B5127" s="8" t="s">
        <v>1211</v>
      </c>
      <c r="C5127" s="8" t="n">
        <v>4</v>
      </c>
      <c r="D5127" s="8" t="n">
        <v>253.08</v>
      </c>
      <c r="E5127" s="8" t="n">
        <v>1</v>
      </c>
      <c r="F5127" s="8" t="n">
        <v>63.27</v>
      </c>
    </row>
    <row r="5128" customFormat="false" ht="15" hidden="false" customHeight="true" outlineLevel="0" collapsed="false">
      <c r="A5128" s="8" t="s">
        <v>164</v>
      </c>
      <c r="B5128" s="8" t="s">
        <v>1211</v>
      </c>
      <c r="C5128" s="8" t="n">
        <v>0</v>
      </c>
      <c r="D5128" s="8" t="n">
        <v>0</v>
      </c>
      <c r="E5128" s="8" t="n">
        <v>2</v>
      </c>
      <c r="F5128" s="8" t="n">
        <v>126.54</v>
      </c>
    </row>
    <row r="5129" customFormat="false" ht="15" hidden="false" customHeight="true" outlineLevel="0" collapsed="false">
      <c r="A5129" s="8" t="s">
        <v>187</v>
      </c>
      <c r="B5129" s="8" t="s">
        <v>1211</v>
      </c>
      <c r="C5129" s="8" t="n">
        <v>3</v>
      </c>
      <c r="D5129" s="8" t="n">
        <v>189.81</v>
      </c>
      <c r="E5129" s="8" t="n">
        <v>0</v>
      </c>
      <c r="F5129" s="8" t="n">
        <v>0</v>
      </c>
    </row>
    <row r="5130" customFormat="false" ht="15" hidden="false" customHeight="true" outlineLevel="0" collapsed="false">
      <c r="A5130" s="8" t="s">
        <v>270</v>
      </c>
      <c r="B5130" s="8" t="s">
        <v>1251</v>
      </c>
      <c r="C5130" s="8" t="n">
        <v>8</v>
      </c>
      <c r="D5130" s="8" t="n">
        <v>78.56</v>
      </c>
      <c r="E5130" s="8" t="n">
        <v>0</v>
      </c>
      <c r="F5130" s="8" t="n">
        <v>0</v>
      </c>
    </row>
    <row r="5131" customFormat="false" ht="15" hidden="false" customHeight="true" outlineLevel="0" collapsed="false">
      <c r="A5131" s="8" t="s">
        <v>307</v>
      </c>
      <c r="B5131" s="8" t="s">
        <v>1252</v>
      </c>
      <c r="C5131" s="8" t="n">
        <v>2</v>
      </c>
      <c r="D5131" s="8" t="n">
        <v>28.56</v>
      </c>
      <c r="E5131" s="8" t="n">
        <v>0</v>
      </c>
      <c r="F5131" s="8" t="n">
        <v>0</v>
      </c>
    </row>
    <row r="5132" customFormat="false" ht="15" hidden="false" customHeight="true" outlineLevel="0" collapsed="false">
      <c r="A5132" s="8" t="s">
        <v>263</v>
      </c>
      <c r="B5132" s="8" t="s">
        <v>407</v>
      </c>
      <c r="C5132" s="8" t="n">
        <v>6</v>
      </c>
      <c r="D5132" s="8" t="n">
        <v>76.92</v>
      </c>
      <c r="E5132" s="8" t="n">
        <v>0</v>
      </c>
      <c r="F5132" s="8" t="n">
        <v>0</v>
      </c>
    </row>
    <row r="5133" customFormat="false" ht="15" hidden="false" customHeight="true" outlineLevel="0" collapsed="false">
      <c r="A5133" s="8" t="s">
        <v>188</v>
      </c>
      <c r="B5133" s="8" t="s">
        <v>1225</v>
      </c>
      <c r="C5133" s="8" t="n">
        <v>4</v>
      </c>
      <c r="D5133" s="8" t="n">
        <v>115.72</v>
      </c>
      <c r="E5133" s="8" t="n">
        <v>0</v>
      </c>
      <c r="F5133" s="8" t="n">
        <v>0</v>
      </c>
    </row>
    <row r="5134" customFormat="false" ht="15" hidden="false" customHeight="true" outlineLevel="0" collapsed="false">
      <c r="A5134" s="8" t="s">
        <v>186</v>
      </c>
      <c r="B5134" s="8" t="s">
        <v>1225</v>
      </c>
      <c r="C5134" s="8" t="n">
        <v>5</v>
      </c>
      <c r="D5134" s="8" t="n">
        <v>144.65</v>
      </c>
      <c r="E5134" s="8" t="n">
        <v>2</v>
      </c>
      <c r="F5134" s="8" t="n">
        <v>57.86</v>
      </c>
    </row>
    <row r="5135" customFormat="false" ht="15" hidden="false" customHeight="true" outlineLevel="0" collapsed="false">
      <c r="A5135" s="8" t="s">
        <v>239</v>
      </c>
      <c r="B5135" s="8" t="s">
        <v>1225</v>
      </c>
      <c r="C5135" s="8" t="n">
        <v>3</v>
      </c>
      <c r="D5135" s="8" t="n">
        <v>86.79</v>
      </c>
      <c r="E5135" s="8" t="n">
        <v>0</v>
      </c>
      <c r="F5135" s="8" t="n">
        <v>0</v>
      </c>
    </row>
    <row r="5136" customFormat="false" ht="15" hidden="false" customHeight="true" outlineLevel="0" collapsed="false">
      <c r="A5136" s="8" t="s">
        <v>210</v>
      </c>
      <c r="B5136" s="8" t="s">
        <v>1225</v>
      </c>
      <c r="C5136" s="8" t="n">
        <v>4</v>
      </c>
      <c r="D5136" s="8" t="n">
        <v>115.72</v>
      </c>
      <c r="E5136" s="8" t="n">
        <v>0</v>
      </c>
      <c r="F5136" s="8" t="n">
        <v>0</v>
      </c>
    </row>
    <row r="5137" customFormat="false" ht="15" hidden="false" customHeight="true" outlineLevel="0" collapsed="false">
      <c r="A5137" s="8" t="s">
        <v>238</v>
      </c>
      <c r="B5137" s="8" t="s">
        <v>1226</v>
      </c>
      <c r="C5137" s="8" t="n">
        <v>2</v>
      </c>
      <c r="D5137" s="8" t="n">
        <v>84.34</v>
      </c>
      <c r="E5137" s="8" t="n">
        <v>1</v>
      </c>
      <c r="F5137" s="8" t="n">
        <v>42.17</v>
      </c>
    </row>
    <row r="5138" customFormat="false" ht="15" hidden="false" customHeight="true" outlineLevel="0" collapsed="false">
      <c r="A5138" s="8" t="s">
        <v>201</v>
      </c>
      <c r="B5138" s="8" t="s">
        <v>1226</v>
      </c>
      <c r="C5138" s="8" t="n">
        <v>3</v>
      </c>
      <c r="D5138" s="8" t="n">
        <v>126.51</v>
      </c>
      <c r="E5138" s="8" t="n">
        <v>0</v>
      </c>
      <c r="F5138" s="8" t="n">
        <v>0</v>
      </c>
    </row>
    <row r="5139" customFormat="false" ht="15" hidden="false" customHeight="true" outlineLevel="0" collapsed="false">
      <c r="A5139" s="8" t="s">
        <v>214</v>
      </c>
      <c r="B5139" s="8" t="s">
        <v>1226</v>
      </c>
      <c r="C5139" s="8" t="n">
        <v>3</v>
      </c>
      <c r="D5139" s="8" t="n">
        <v>126.51</v>
      </c>
      <c r="E5139" s="8" t="n">
        <v>0</v>
      </c>
      <c r="F5139" s="8" t="n">
        <v>0</v>
      </c>
    </row>
    <row r="5140" customFormat="false" ht="15" hidden="false" customHeight="true" outlineLevel="0" collapsed="false">
      <c r="A5140" s="8" t="s">
        <v>309</v>
      </c>
      <c r="B5140" s="8" t="s">
        <v>1226</v>
      </c>
      <c r="C5140" s="8" t="n">
        <v>2</v>
      </c>
      <c r="D5140" s="8" t="n">
        <v>84.34</v>
      </c>
      <c r="E5140" s="8" t="n">
        <v>0</v>
      </c>
      <c r="F5140" s="8" t="n">
        <v>0</v>
      </c>
    </row>
    <row r="5141" customFormat="false" ht="15" hidden="false" customHeight="true" outlineLevel="0" collapsed="false">
      <c r="A5141" s="8" t="s">
        <v>241</v>
      </c>
      <c r="B5141" s="8" t="s">
        <v>1227</v>
      </c>
      <c r="C5141" s="8" t="n">
        <v>4</v>
      </c>
      <c r="D5141" s="8" t="n">
        <v>68</v>
      </c>
      <c r="E5141" s="8" t="n">
        <v>3</v>
      </c>
      <c r="F5141" s="8" t="n">
        <v>51</v>
      </c>
    </row>
    <row r="5142" customFormat="false" ht="15" hidden="false" customHeight="true" outlineLevel="0" collapsed="false">
      <c r="A5142" s="8" t="s">
        <v>219</v>
      </c>
      <c r="B5142" s="8" t="s">
        <v>1227</v>
      </c>
      <c r="C5142" s="8" t="n">
        <v>0</v>
      </c>
      <c r="D5142" s="8" t="n">
        <v>0</v>
      </c>
      <c r="E5142" s="8" t="n">
        <v>4</v>
      </c>
      <c r="F5142" s="8" t="n">
        <v>68</v>
      </c>
    </row>
    <row r="5143" customFormat="false" ht="15" hidden="false" customHeight="true" outlineLevel="0" collapsed="false">
      <c r="A5143" s="8" t="s">
        <v>223</v>
      </c>
      <c r="B5143" s="8" t="s">
        <v>1227</v>
      </c>
      <c r="C5143" s="8" t="n">
        <v>3</v>
      </c>
      <c r="D5143" s="8" t="n">
        <v>51</v>
      </c>
      <c r="E5143" s="8" t="n">
        <v>0</v>
      </c>
      <c r="F5143" s="8" t="n">
        <v>0</v>
      </c>
    </row>
    <row r="5144" customFormat="false" ht="15" hidden="false" customHeight="true" outlineLevel="0" collapsed="false">
      <c r="A5144" s="8" t="s">
        <v>287</v>
      </c>
      <c r="B5144" s="8" t="s">
        <v>1227</v>
      </c>
      <c r="C5144" s="8" t="n">
        <v>3</v>
      </c>
      <c r="D5144" s="8" t="n">
        <v>51</v>
      </c>
      <c r="E5144" s="8" t="n">
        <v>0</v>
      </c>
      <c r="F5144" s="8" t="n">
        <v>0</v>
      </c>
    </row>
    <row r="5145" customFormat="false" ht="15" hidden="false" customHeight="true" outlineLevel="0" collapsed="false">
      <c r="A5145" s="8" t="s">
        <v>229</v>
      </c>
      <c r="B5145" s="8" t="s">
        <v>881</v>
      </c>
      <c r="C5145" s="8" t="n">
        <v>6</v>
      </c>
      <c r="D5145" s="8" t="n">
        <v>247.2</v>
      </c>
      <c r="E5145" s="8" t="n">
        <v>0</v>
      </c>
      <c r="F5145" s="8" t="n">
        <v>0</v>
      </c>
    </row>
    <row r="5146" customFormat="false" ht="15" hidden="false" customHeight="true" outlineLevel="0" collapsed="false">
      <c r="A5146" s="8" t="s">
        <v>237</v>
      </c>
      <c r="B5146" s="8" t="s">
        <v>1259</v>
      </c>
      <c r="C5146" s="8" t="n">
        <v>5</v>
      </c>
      <c r="D5146" s="8" t="n">
        <v>92.25</v>
      </c>
      <c r="E5146" s="8" t="n">
        <v>2</v>
      </c>
      <c r="F5146" s="8" t="n">
        <v>36.9</v>
      </c>
    </row>
    <row r="5147" customFormat="false" ht="15" hidden="false" customHeight="true" outlineLevel="0" collapsed="false">
      <c r="A5147" s="8" t="s">
        <v>266</v>
      </c>
      <c r="B5147" s="8" t="s">
        <v>1228</v>
      </c>
      <c r="C5147" s="8" t="n">
        <v>3</v>
      </c>
      <c r="D5147" s="8" t="n">
        <v>59.76</v>
      </c>
      <c r="E5147" s="8" t="n">
        <v>0</v>
      </c>
      <c r="F5147" s="8" t="n">
        <v>0</v>
      </c>
    </row>
    <row r="5148" customFormat="false" ht="15" hidden="false" customHeight="true" outlineLevel="0" collapsed="false">
      <c r="A5148" s="8" t="s">
        <v>246</v>
      </c>
      <c r="B5148" s="8" t="s">
        <v>1261</v>
      </c>
      <c r="C5148" s="8" t="n">
        <v>3</v>
      </c>
      <c r="D5148" s="8" t="n">
        <v>52.05</v>
      </c>
      <c r="E5148" s="8" t="n">
        <v>0</v>
      </c>
      <c r="F5148" s="8" t="n">
        <v>0</v>
      </c>
    </row>
    <row r="5149" customFormat="false" ht="15" hidden="false" customHeight="true" outlineLevel="0" collapsed="false">
      <c r="A5149" s="8" t="s">
        <v>202</v>
      </c>
      <c r="B5149" s="8" t="s">
        <v>1212</v>
      </c>
      <c r="C5149" s="8" t="n">
        <v>24</v>
      </c>
      <c r="D5149" s="8" t="n">
        <v>228</v>
      </c>
      <c r="E5149" s="8" t="n">
        <v>0</v>
      </c>
      <c r="F5149" s="8" t="n">
        <v>0</v>
      </c>
    </row>
    <row r="5150" customFormat="false" ht="15" hidden="false" customHeight="true" outlineLevel="0" collapsed="false">
      <c r="A5150" s="8" t="s">
        <v>244</v>
      </c>
      <c r="B5150" s="8" t="s">
        <v>1213</v>
      </c>
      <c r="C5150" s="8" t="n">
        <v>4</v>
      </c>
      <c r="D5150" s="8" t="n">
        <v>38</v>
      </c>
      <c r="E5150" s="8" t="n">
        <v>4</v>
      </c>
      <c r="F5150" s="8" t="n">
        <v>38</v>
      </c>
    </row>
    <row r="5151" customFormat="false" ht="15" hidden="false" customHeight="true" outlineLevel="0" collapsed="false">
      <c r="A5151" s="8" t="s">
        <v>243</v>
      </c>
      <c r="B5151" s="8" t="s">
        <v>1253</v>
      </c>
      <c r="C5151" s="8" t="n">
        <v>5</v>
      </c>
      <c r="D5151" s="8" t="n">
        <v>64.75</v>
      </c>
      <c r="E5151" s="8" t="n">
        <v>0</v>
      </c>
      <c r="F5151" s="8" t="n">
        <v>0</v>
      </c>
    </row>
    <row r="5152" customFormat="false" ht="15" hidden="false" customHeight="true" outlineLevel="0" collapsed="false">
      <c r="A5152" s="8" t="s">
        <v>251</v>
      </c>
      <c r="B5152" s="8" t="s">
        <v>1262</v>
      </c>
      <c r="C5152" s="8" t="n">
        <v>26</v>
      </c>
      <c r="D5152" s="8" t="n">
        <v>252.46</v>
      </c>
      <c r="E5152" s="8" t="n">
        <v>6</v>
      </c>
      <c r="F5152" s="8" t="n">
        <v>58.26</v>
      </c>
    </row>
    <row r="5153" customFormat="false" ht="15" hidden="false" customHeight="true" outlineLevel="0" collapsed="false">
      <c r="A5153" s="8" t="s">
        <v>308</v>
      </c>
      <c r="B5153" s="8" t="s">
        <v>1229</v>
      </c>
      <c r="C5153" s="8" t="n">
        <v>7</v>
      </c>
      <c r="D5153" s="8" t="n">
        <v>56.56</v>
      </c>
      <c r="E5153" s="8" t="n">
        <v>0</v>
      </c>
      <c r="F5153" s="8" t="n">
        <v>0</v>
      </c>
    </row>
    <row r="5154" customFormat="false" ht="15" hidden="false" customHeight="true" outlineLevel="0" collapsed="false">
      <c r="A5154" s="8" t="s">
        <v>172</v>
      </c>
      <c r="B5154" s="8" t="s">
        <v>1214</v>
      </c>
      <c r="C5154" s="8" t="n">
        <v>25</v>
      </c>
      <c r="D5154" s="8" t="n">
        <v>304.5</v>
      </c>
      <c r="E5154" s="8" t="n">
        <v>8</v>
      </c>
      <c r="F5154" s="8" t="n">
        <v>97.44</v>
      </c>
    </row>
    <row r="5155" customFormat="false" ht="15" hidden="false" customHeight="true" outlineLevel="0" collapsed="false">
      <c r="A5155" s="8" t="s">
        <v>242</v>
      </c>
      <c r="B5155" s="8" t="s">
        <v>1230</v>
      </c>
      <c r="C5155" s="8" t="n">
        <v>4</v>
      </c>
      <c r="D5155" s="8" t="n">
        <v>154.8</v>
      </c>
      <c r="E5155" s="8" t="n">
        <v>0</v>
      </c>
      <c r="F5155" s="8" t="n">
        <v>0</v>
      </c>
    </row>
    <row r="5156" customFormat="false" ht="15" hidden="false" customHeight="true" outlineLevel="0" collapsed="false">
      <c r="A5156" s="8" t="s">
        <v>261</v>
      </c>
      <c r="B5156" s="8" t="s">
        <v>1215</v>
      </c>
      <c r="C5156" s="8" t="n">
        <v>4</v>
      </c>
      <c r="D5156" s="8" t="n">
        <v>84.84</v>
      </c>
      <c r="E5156" s="8" t="n">
        <v>0</v>
      </c>
      <c r="F5156" s="8" t="n">
        <v>0</v>
      </c>
    </row>
    <row r="5157" customFormat="false" ht="15" hidden="false" customHeight="true" outlineLevel="0" collapsed="false">
      <c r="A5157" s="8" t="s">
        <v>269</v>
      </c>
      <c r="B5157" s="8" t="s">
        <v>1231</v>
      </c>
      <c r="C5157" s="8" t="n">
        <v>6</v>
      </c>
      <c r="D5157" s="8" t="n">
        <v>67.98</v>
      </c>
      <c r="E5157" s="8" t="n">
        <v>0</v>
      </c>
      <c r="F5157" s="8" t="n">
        <v>0</v>
      </c>
    </row>
    <row r="5158" customFormat="false" ht="15" hidden="false" customHeight="true" outlineLevel="0" collapsed="false">
      <c r="A5158" s="8" t="s">
        <v>213</v>
      </c>
      <c r="B5158" s="8" t="s">
        <v>1232</v>
      </c>
      <c r="C5158" s="8" t="n">
        <v>6</v>
      </c>
      <c r="D5158" s="8" t="n">
        <v>165.3</v>
      </c>
      <c r="E5158" s="8" t="n">
        <v>5</v>
      </c>
      <c r="F5158" s="8" t="n">
        <v>137.75</v>
      </c>
    </row>
    <row r="5159" customFormat="false" ht="15" hidden="false" customHeight="true" outlineLevel="0" collapsed="false">
      <c r="A5159" s="8" t="s">
        <v>288</v>
      </c>
      <c r="B5159" s="8" t="s">
        <v>939</v>
      </c>
      <c r="C5159" s="8" t="n">
        <v>4</v>
      </c>
      <c r="D5159" s="8" t="n">
        <v>80.96</v>
      </c>
      <c r="E5159" s="8" t="n">
        <v>0</v>
      </c>
      <c r="F5159" s="8" t="n">
        <v>0</v>
      </c>
    </row>
    <row r="5160" customFormat="false" ht="15" hidden="false" customHeight="true" outlineLevel="0" collapsed="false">
      <c r="A5160" s="8" t="s">
        <v>232</v>
      </c>
      <c r="B5160" s="8" t="s">
        <v>1233</v>
      </c>
      <c r="C5160" s="8" t="n">
        <v>5</v>
      </c>
      <c r="D5160" s="8" t="n">
        <v>81</v>
      </c>
      <c r="E5160" s="8" t="n">
        <v>0</v>
      </c>
      <c r="F5160" s="8" t="n">
        <v>0</v>
      </c>
    </row>
    <row r="5161" customFormat="false" ht="15" hidden="false" customHeight="true" outlineLevel="0" collapsed="false">
      <c r="A5161" s="8" t="s">
        <v>215</v>
      </c>
      <c r="B5161" s="8" t="s">
        <v>1233</v>
      </c>
      <c r="C5161" s="8" t="n">
        <v>7</v>
      </c>
      <c r="D5161" s="8" t="n">
        <v>124.74</v>
      </c>
      <c r="E5161" s="8" t="n">
        <v>0</v>
      </c>
      <c r="F5161" s="8" t="n">
        <v>0</v>
      </c>
    </row>
    <row r="5162" customFormat="false" ht="15" hidden="false" customHeight="true" outlineLevel="0" collapsed="false">
      <c r="A5162" s="8" t="s">
        <v>255</v>
      </c>
      <c r="B5162" s="8" t="s">
        <v>1273</v>
      </c>
      <c r="C5162" s="8" t="n">
        <v>11</v>
      </c>
      <c r="D5162" s="8" t="n">
        <v>90.2</v>
      </c>
      <c r="E5162" s="8" t="n">
        <v>9</v>
      </c>
      <c r="F5162" s="8" t="n">
        <v>73.8</v>
      </c>
    </row>
    <row r="5163" customFormat="false" ht="15" hidden="false" customHeight="true" outlineLevel="0" collapsed="false">
      <c r="A5163" s="8" t="s">
        <v>194</v>
      </c>
      <c r="B5163" s="8" t="s">
        <v>1239</v>
      </c>
      <c r="C5163" s="8" t="n">
        <v>18</v>
      </c>
      <c r="D5163" s="8" t="n">
        <v>176.76</v>
      </c>
      <c r="E5163" s="8" t="n">
        <v>0</v>
      </c>
      <c r="F5163" s="8" t="n">
        <v>0</v>
      </c>
    </row>
    <row r="5164" customFormat="false" ht="15" hidden="false" customHeight="true" outlineLevel="0" collapsed="false">
      <c r="A5164" s="8" t="s">
        <v>225</v>
      </c>
      <c r="B5164" s="8" t="s">
        <v>1237</v>
      </c>
      <c r="C5164" s="8" t="n">
        <v>13</v>
      </c>
      <c r="D5164" s="8" t="n">
        <v>239.2</v>
      </c>
      <c r="E5164" s="8" t="n">
        <v>0</v>
      </c>
      <c r="F5164" s="8" t="n">
        <v>0</v>
      </c>
    </row>
    <row r="5165" customFormat="false" ht="15" hidden="false" customHeight="true" outlineLevel="0" collapsed="false">
      <c r="A5165" s="8" t="s">
        <v>217</v>
      </c>
      <c r="B5165" s="8" t="s">
        <v>1237</v>
      </c>
      <c r="C5165" s="8" t="n">
        <v>18</v>
      </c>
      <c r="D5165" s="8" t="n">
        <v>331.2</v>
      </c>
      <c r="E5165" s="8" t="n">
        <v>0</v>
      </c>
      <c r="F5165" s="8" t="n">
        <v>0</v>
      </c>
    </row>
    <row r="5166" customFormat="false" ht="15" hidden="false" customHeight="true" outlineLevel="0" collapsed="false">
      <c r="A5166" s="8" t="s">
        <v>316</v>
      </c>
      <c r="B5166" s="8" t="s">
        <v>1294</v>
      </c>
      <c r="C5166" s="8" t="n">
        <v>2</v>
      </c>
      <c r="D5166" s="8" t="n">
        <v>36.8</v>
      </c>
      <c r="E5166" s="8" t="n">
        <v>0</v>
      </c>
      <c r="F5166" s="8" t="n">
        <v>0</v>
      </c>
    </row>
    <row r="5167" customFormat="false" ht="15" hidden="false" customHeight="true" outlineLevel="0" collapsed="false">
      <c r="A5167" s="8" t="s">
        <v>322</v>
      </c>
      <c r="B5167" s="8" t="s">
        <v>1264</v>
      </c>
      <c r="C5167" s="8" t="n">
        <v>2</v>
      </c>
      <c r="D5167" s="8" t="n">
        <v>36.8</v>
      </c>
      <c r="E5167" s="8" t="n">
        <v>2</v>
      </c>
      <c r="F5167" s="8" t="n">
        <v>36.8</v>
      </c>
    </row>
    <row r="5168" customFormat="false" ht="15" hidden="false" customHeight="true" outlineLevel="0" collapsed="false">
      <c r="A5168" s="8" t="s">
        <v>364</v>
      </c>
      <c r="B5168" s="8" t="s">
        <v>1264</v>
      </c>
      <c r="C5168" s="8" t="n">
        <v>2</v>
      </c>
      <c r="D5168" s="8" t="n">
        <v>36.8</v>
      </c>
      <c r="E5168" s="8" t="n">
        <v>4</v>
      </c>
      <c r="F5168" s="8" t="n">
        <v>73.6</v>
      </c>
    </row>
    <row r="5169" customFormat="false" ht="15" hidden="false" customHeight="true" outlineLevel="0" collapsed="false">
      <c r="A5169" s="8" t="s">
        <v>192</v>
      </c>
      <c r="B5169" s="8" t="s">
        <v>1240</v>
      </c>
      <c r="C5169" s="8" t="n">
        <v>5</v>
      </c>
      <c r="D5169" s="8" t="n">
        <v>209.05</v>
      </c>
      <c r="E5169" s="8" t="n">
        <v>0</v>
      </c>
      <c r="F5169" s="8" t="n">
        <v>0</v>
      </c>
    </row>
    <row r="5170" customFormat="false" ht="15" hidden="false" customHeight="true" outlineLevel="0" collapsed="false">
      <c r="A5170" s="8" t="s">
        <v>168</v>
      </c>
      <c r="B5170" s="8" t="s">
        <v>1240</v>
      </c>
      <c r="C5170" s="8" t="n">
        <v>5</v>
      </c>
      <c r="D5170" s="8" t="n">
        <v>209.05</v>
      </c>
      <c r="E5170" s="8" t="n">
        <v>0</v>
      </c>
      <c r="F5170" s="8" t="n">
        <v>0</v>
      </c>
    </row>
    <row r="5171" customFormat="false" ht="15" hidden="false" customHeight="true" outlineLevel="0" collapsed="false">
      <c r="A5171" s="8" t="s">
        <v>169</v>
      </c>
      <c r="B5171" s="8" t="s">
        <v>1240</v>
      </c>
      <c r="C5171" s="8" t="n">
        <v>6</v>
      </c>
      <c r="D5171" s="8" t="n">
        <v>250.86</v>
      </c>
      <c r="E5171" s="8" t="n">
        <v>0</v>
      </c>
      <c r="F5171" s="8" t="n">
        <v>0</v>
      </c>
    </row>
    <row r="5172" customFormat="false" ht="15" hidden="false" customHeight="true" outlineLevel="0" collapsed="false">
      <c r="A5172" s="8" t="s">
        <v>180</v>
      </c>
      <c r="B5172" s="8" t="s">
        <v>1216</v>
      </c>
      <c r="C5172" s="8" t="n">
        <v>17</v>
      </c>
      <c r="D5172" s="8" t="n">
        <v>280.5</v>
      </c>
      <c r="E5172" s="8" t="n">
        <v>-2</v>
      </c>
      <c r="F5172" s="8" t="n">
        <v>-33</v>
      </c>
    </row>
    <row r="5173" customFormat="false" ht="15" hidden="false" customHeight="true" outlineLevel="0" collapsed="false">
      <c r="A5173" s="8" t="s">
        <v>189</v>
      </c>
      <c r="B5173" s="8" t="s">
        <v>1216</v>
      </c>
      <c r="C5173" s="8" t="n">
        <v>7</v>
      </c>
      <c r="D5173" s="8" t="n">
        <v>115.5</v>
      </c>
      <c r="E5173" s="8" t="n">
        <v>4</v>
      </c>
      <c r="F5173" s="8" t="n">
        <v>66</v>
      </c>
    </row>
    <row r="5174" customFormat="false" ht="15" hidden="false" customHeight="true" outlineLevel="0" collapsed="false">
      <c r="A5174" s="8" t="s">
        <v>267</v>
      </c>
      <c r="B5174" s="8" t="s">
        <v>1216</v>
      </c>
      <c r="C5174" s="8" t="n">
        <v>0</v>
      </c>
      <c r="D5174" s="8" t="n">
        <v>0</v>
      </c>
      <c r="E5174" s="8" t="n">
        <v>3</v>
      </c>
      <c r="F5174" s="8" t="n">
        <v>49.5</v>
      </c>
    </row>
    <row r="5175" customFormat="false" ht="15" hidden="false" customHeight="true" outlineLevel="0" collapsed="false">
      <c r="A5175" s="8" t="s">
        <v>199</v>
      </c>
      <c r="B5175" s="8" t="s">
        <v>1216</v>
      </c>
      <c r="C5175" s="8" t="n">
        <v>5</v>
      </c>
      <c r="D5175" s="8" t="n">
        <v>82.5</v>
      </c>
      <c r="E5175" s="8" t="n">
        <v>3</v>
      </c>
      <c r="F5175" s="8" t="n">
        <v>49.5</v>
      </c>
    </row>
    <row r="5176" customFormat="false" ht="15" hidden="false" customHeight="true" outlineLevel="0" collapsed="false">
      <c r="A5176" s="8" t="s">
        <v>250</v>
      </c>
      <c r="B5176" s="8" t="s">
        <v>1216</v>
      </c>
      <c r="C5176" s="8" t="n">
        <v>6</v>
      </c>
      <c r="D5176" s="8" t="n">
        <v>99</v>
      </c>
      <c r="E5176" s="8" t="n">
        <v>4</v>
      </c>
      <c r="F5176" s="8" t="n">
        <v>66</v>
      </c>
    </row>
    <row r="5177" customFormat="false" ht="15" hidden="false" customHeight="true" outlineLevel="0" collapsed="false">
      <c r="A5177" s="8" t="s">
        <v>198</v>
      </c>
      <c r="B5177" s="8" t="s">
        <v>1217</v>
      </c>
      <c r="C5177" s="8" t="n">
        <v>12</v>
      </c>
      <c r="D5177" s="8" t="n">
        <v>246</v>
      </c>
      <c r="E5177" s="8" t="n">
        <v>2</v>
      </c>
      <c r="F5177" s="8" t="n">
        <v>41</v>
      </c>
    </row>
    <row r="5178" customFormat="false" ht="15" hidden="false" customHeight="true" outlineLevel="0" collapsed="false">
      <c r="A5178" s="8" t="s">
        <v>193</v>
      </c>
      <c r="B5178" s="8" t="s">
        <v>1217</v>
      </c>
      <c r="C5178" s="8" t="n">
        <v>9</v>
      </c>
      <c r="D5178" s="8" t="n">
        <v>184.5</v>
      </c>
      <c r="E5178" s="8" t="n">
        <v>0</v>
      </c>
      <c r="F5178" s="8" t="n">
        <v>0</v>
      </c>
    </row>
    <row r="5179" customFormat="false" ht="15" hidden="false" customHeight="true" outlineLevel="0" collapsed="false">
      <c r="A5179" s="8" t="s">
        <v>302</v>
      </c>
      <c r="B5179" s="8" t="s">
        <v>1217</v>
      </c>
      <c r="C5179" s="8" t="n">
        <v>2</v>
      </c>
      <c r="D5179" s="8" t="n">
        <v>41</v>
      </c>
      <c r="E5179" s="8" t="n">
        <v>1</v>
      </c>
      <c r="F5179" s="8" t="n">
        <v>20.5</v>
      </c>
    </row>
    <row r="5180" customFormat="false" ht="15" hidden="false" customHeight="true" outlineLevel="0" collapsed="false">
      <c r="A5180" s="8" t="s">
        <v>205</v>
      </c>
      <c r="B5180" s="8" t="s">
        <v>1217</v>
      </c>
      <c r="C5180" s="8" t="n">
        <v>5</v>
      </c>
      <c r="D5180" s="8" t="n">
        <v>102.5</v>
      </c>
      <c r="E5180" s="8" t="n">
        <v>3</v>
      </c>
      <c r="F5180" s="8" t="n">
        <v>61.5</v>
      </c>
    </row>
    <row r="5181" customFormat="false" ht="15" hidden="false" customHeight="true" outlineLevel="0" collapsed="false">
      <c r="A5181" s="8" t="s">
        <v>256</v>
      </c>
      <c r="B5181" s="8" t="s">
        <v>1217</v>
      </c>
      <c r="C5181" s="8" t="n">
        <v>3</v>
      </c>
      <c r="D5181" s="8" t="n">
        <v>61.5</v>
      </c>
      <c r="E5181" s="8" t="n">
        <v>0</v>
      </c>
      <c r="F5181" s="8" t="n">
        <v>0</v>
      </c>
    </row>
    <row r="5182" customFormat="false" ht="15" hidden="false" customHeight="true" outlineLevel="0" collapsed="false">
      <c r="A5182" s="8" t="s">
        <v>369</v>
      </c>
      <c r="B5182" s="8" t="s">
        <v>767</v>
      </c>
      <c r="C5182" s="8" t="n">
        <v>2</v>
      </c>
      <c r="D5182" s="8" t="n">
        <v>42</v>
      </c>
      <c r="E5182" s="8" t="n">
        <v>0</v>
      </c>
      <c r="F5182" s="8" t="n">
        <v>0</v>
      </c>
    </row>
    <row r="5183" customFormat="false" ht="15" hidden="false" customHeight="true" outlineLevel="0" collapsed="false">
      <c r="A5183" s="8" t="s">
        <v>254</v>
      </c>
      <c r="B5183" s="8" t="s">
        <v>1265</v>
      </c>
      <c r="C5183" s="8" t="n">
        <v>1</v>
      </c>
      <c r="D5183" s="8" t="n">
        <v>126.57</v>
      </c>
      <c r="E5183" s="8" t="n">
        <v>0</v>
      </c>
      <c r="F5183" s="8" t="n">
        <v>0</v>
      </c>
    </row>
    <row r="5184" customFormat="false" ht="15" hidden="false" customHeight="true" outlineLevel="0" collapsed="false">
      <c r="A5184" s="8" t="s">
        <v>296</v>
      </c>
      <c r="B5184" s="8" t="s">
        <v>1295</v>
      </c>
      <c r="C5184" s="8" t="n">
        <v>0</v>
      </c>
      <c r="D5184" s="8" t="n">
        <v>0</v>
      </c>
      <c r="E5184" s="8" t="n">
        <v>1</v>
      </c>
      <c r="F5184" s="8" t="n">
        <v>129.81</v>
      </c>
    </row>
    <row r="5185" customFormat="false" ht="15" hidden="false" customHeight="true" outlineLevel="0" collapsed="false">
      <c r="A5185" s="8" t="s">
        <v>277</v>
      </c>
      <c r="B5185" s="8" t="s">
        <v>1285</v>
      </c>
      <c r="C5185" s="8" t="n">
        <v>2</v>
      </c>
      <c r="D5185" s="8" t="n">
        <v>272.6</v>
      </c>
      <c r="E5185" s="8" t="n">
        <v>0</v>
      </c>
      <c r="F5185" s="8" t="n">
        <v>0</v>
      </c>
    </row>
    <row r="5186" customFormat="false" ht="15" hidden="false" customHeight="true" outlineLevel="0" collapsed="false">
      <c r="A5186" s="8" t="s">
        <v>95</v>
      </c>
      <c r="B5186" s="8" t="s">
        <v>1247</v>
      </c>
      <c r="C5186" s="8" t="n">
        <v>2</v>
      </c>
      <c r="D5186" s="8" t="n">
        <v>50</v>
      </c>
      <c r="E5186" s="8" t="n">
        <v>0</v>
      </c>
      <c r="F5186" s="8" t="n">
        <v>0</v>
      </c>
    </row>
    <row r="5187" customFormat="false" ht="15" hidden="false" customHeight="true" outlineLevel="0" collapsed="false">
      <c r="A5187" s="8" t="s">
        <v>99</v>
      </c>
      <c r="B5187" s="8" t="s">
        <v>1247</v>
      </c>
      <c r="C5187" s="8" t="n">
        <v>7</v>
      </c>
      <c r="D5187" s="8" t="n">
        <v>175</v>
      </c>
      <c r="E5187" s="8" t="n">
        <v>0</v>
      </c>
      <c r="F5187" s="8" t="n">
        <v>0</v>
      </c>
    </row>
    <row r="5188" customFormat="false" ht="15" hidden="false" customHeight="true" outlineLevel="0" collapsed="false">
      <c r="A5188" s="8" t="s">
        <v>178</v>
      </c>
      <c r="B5188" s="8" t="s">
        <v>1236</v>
      </c>
      <c r="C5188" s="8" t="n">
        <v>1</v>
      </c>
      <c r="D5188" s="8" t="n">
        <v>35</v>
      </c>
      <c r="E5188" s="8" t="n">
        <v>0</v>
      </c>
      <c r="F5188" s="8" t="n">
        <v>0</v>
      </c>
    </row>
    <row r="5189" customFormat="false" ht="15" hidden="false" customHeight="true" outlineLevel="0" collapsed="false">
      <c r="A5189" s="8" t="s">
        <v>176</v>
      </c>
      <c r="B5189" s="8" t="s">
        <v>1236</v>
      </c>
      <c r="C5189" s="8" t="n">
        <v>2</v>
      </c>
      <c r="D5189" s="8" t="n">
        <v>70</v>
      </c>
      <c r="E5189" s="8" t="n">
        <v>0</v>
      </c>
      <c r="F5189" s="8" t="n">
        <v>0</v>
      </c>
    </row>
    <row r="5190" customFormat="false" ht="15" hidden="false" customHeight="true" outlineLevel="0" collapsed="false">
      <c r="A5190" s="8" t="s">
        <v>224</v>
      </c>
      <c r="B5190" s="8" t="s">
        <v>1236</v>
      </c>
      <c r="C5190" s="8" t="n">
        <v>3</v>
      </c>
      <c r="D5190" s="8" t="n">
        <v>105</v>
      </c>
      <c r="E5190" s="8" t="n">
        <v>-1</v>
      </c>
      <c r="F5190" s="8" t="n">
        <v>-35</v>
      </c>
    </row>
    <row r="5191" customFormat="false" ht="15" hidden="false" customHeight="true" outlineLevel="0" collapsed="false">
      <c r="A5191" s="8" t="s">
        <v>179</v>
      </c>
      <c r="B5191" s="8" t="s">
        <v>1218</v>
      </c>
      <c r="C5191" s="8" t="n">
        <v>1</v>
      </c>
      <c r="D5191" s="8" t="n">
        <v>126.5</v>
      </c>
      <c r="E5191" s="8" t="n">
        <v>3</v>
      </c>
      <c r="F5191" s="8" t="n">
        <v>379.5</v>
      </c>
    </row>
    <row r="5192" customFormat="false" ht="15" hidden="false" customHeight="true" outlineLevel="0" collapsed="false">
      <c r="A5192" s="8" t="s">
        <v>240</v>
      </c>
      <c r="B5192" s="8" t="s">
        <v>769</v>
      </c>
      <c r="C5192" s="8" t="n">
        <v>2</v>
      </c>
      <c r="D5192" s="8" t="n">
        <v>34</v>
      </c>
      <c r="E5192" s="8" t="n">
        <v>2</v>
      </c>
      <c r="F5192" s="8" t="n">
        <v>34</v>
      </c>
    </row>
    <row r="5193" customFormat="false" ht="15" hidden="false" customHeight="true" outlineLevel="0" collapsed="false">
      <c r="A5193" s="8" t="s">
        <v>234</v>
      </c>
      <c r="B5193" s="8" t="s">
        <v>769</v>
      </c>
      <c r="C5193" s="8" t="n">
        <v>3</v>
      </c>
      <c r="D5193" s="8" t="n">
        <v>51</v>
      </c>
      <c r="E5193" s="8" t="n">
        <v>4</v>
      </c>
      <c r="F5193" s="8" t="n">
        <v>68</v>
      </c>
    </row>
    <row r="5194" customFormat="false" ht="15" hidden="false" customHeight="true" outlineLevel="0" collapsed="false">
      <c r="A5194" s="8" t="s">
        <v>247</v>
      </c>
      <c r="B5194" s="8" t="s">
        <v>769</v>
      </c>
      <c r="C5194" s="8" t="n">
        <v>8</v>
      </c>
      <c r="D5194" s="8" t="n">
        <v>136</v>
      </c>
      <c r="E5194" s="8" t="n">
        <v>0</v>
      </c>
      <c r="F5194" s="8" t="n">
        <v>0</v>
      </c>
    </row>
    <row r="5195" customFormat="false" ht="15" hidden="false" customHeight="true" outlineLevel="0" collapsed="false">
      <c r="A5195" s="8" t="s">
        <v>300</v>
      </c>
      <c r="B5195" s="8" t="s">
        <v>769</v>
      </c>
      <c r="C5195" s="8" t="n">
        <v>4</v>
      </c>
      <c r="D5195" s="8" t="n">
        <v>68</v>
      </c>
      <c r="E5195" s="8" t="n">
        <v>0</v>
      </c>
      <c r="F5195" s="8" t="n">
        <v>0</v>
      </c>
    </row>
    <row r="5196" customFormat="false" ht="15" hidden="false" customHeight="true" outlineLevel="0" collapsed="false">
      <c r="A5196" s="8" t="s">
        <v>182</v>
      </c>
      <c r="B5196" s="8" t="s">
        <v>799</v>
      </c>
      <c r="C5196" s="8" t="n">
        <v>5</v>
      </c>
      <c r="D5196" s="8" t="n">
        <v>100</v>
      </c>
      <c r="E5196" s="8" t="n">
        <v>0</v>
      </c>
      <c r="F5196" s="8" t="n">
        <v>0</v>
      </c>
    </row>
    <row r="5197" customFormat="false" ht="15" hidden="false" customHeight="true" outlineLevel="0" collapsed="false">
      <c r="A5197" s="8" t="s">
        <v>170</v>
      </c>
      <c r="B5197" s="8" t="s">
        <v>1220</v>
      </c>
      <c r="C5197" s="8" t="n">
        <v>6</v>
      </c>
      <c r="D5197" s="8" t="n">
        <v>88.8</v>
      </c>
      <c r="E5197" s="8" t="n">
        <v>0</v>
      </c>
      <c r="F5197" s="8" t="n">
        <v>0</v>
      </c>
    </row>
    <row r="5198" customFormat="false" ht="15" hidden="false" customHeight="true" outlineLevel="0" collapsed="false">
      <c r="A5198" s="8" t="s">
        <v>167</v>
      </c>
      <c r="B5198" s="8" t="s">
        <v>1238</v>
      </c>
      <c r="C5198" s="8" t="n">
        <v>40</v>
      </c>
      <c r="D5198" s="8" t="n">
        <v>536</v>
      </c>
      <c r="E5198" s="8" t="n">
        <v>20</v>
      </c>
      <c r="F5198" s="8" t="n">
        <v>268</v>
      </c>
    </row>
    <row r="5199" customFormat="false" ht="15" hidden="false" customHeight="true" outlineLevel="0" collapsed="false">
      <c r="A5199" s="8" t="s">
        <v>294</v>
      </c>
      <c r="B5199" s="8" t="s">
        <v>1289</v>
      </c>
      <c r="C5199" s="8" t="n">
        <v>4</v>
      </c>
      <c r="D5199" s="8" t="n">
        <v>57.8</v>
      </c>
      <c r="E5199" s="8" t="n">
        <v>0</v>
      </c>
      <c r="F5199" s="8" t="n">
        <v>0</v>
      </c>
    </row>
    <row r="5200" customFormat="false" ht="15" hidden="false" customHeight="true" outlineLevel="0" collapsed="false">
      <c r="A5200" s="8" t="s">
        <v>275</v>
      </c>
      <c r="B5200" s="8" t="s">
        <v>1257</v>
      </c>
      <c r="C5200" s="8" t="n">
        <v>2</v>
      </c>
      <c r="D5200" s="8" t="n">
        <v>43.2</v>
      </c>
      <c r="E5200" s="8" t="n">
        <v>0</v>
      </c>
      <c r="F5200" s="8" t="n">
        <v>0</v>
      </c>
    </row>
    <row r="5201" customFormat="false" ht="15" hidden="false" customHeight="true" outlineLevel="0" collapsed="false">
      <c r="A5201" s="8" t="s">
        <v>233</v>
      </c>
      <c r="B5201" s="8" t="s">
        <v>1249</v>
      </c>
      <c r="C5201" s="8" t="n">
        <v>7</v>
      </c>
      <c r="D5201" s="8" t="n">
        <v>125.65</v>
      </c>
      <c r="E5201" s="8" t="n">
        <v>-3</v>
      </c>
      <c r="F5201" s="8" t="n">
        <v>-53.85</v>
      </c>
    </row>
    <row r="5202" customFormat="false" ht="15" hidden="false" customHeight="true" outlineLevel="0" collapsed="false">
      <c r="A5202" s="8" t="s">
        <v>264</v>
      </c>
      <c r="B5202" s="8" t="s">
        <v>1221</v>
      </c>
      <c r="C5202" s="8" t="n">
        <v>7</v>
      </c>
      <c r="D5202" s="8" t="n">
        <v>40.67</v>
      </c>
      <c r="E5202" s="8" t="n">
        <v>0</v>
      </c>
      <c r="F5202" s="8" t="n">
        <v>0</v>
      </c>
    </row>
    <row r="5203" customFormat="false" ht="15" hidden="false" customHeight="true" outlineLevel="0" collapsed="false">
      <c r="A5203" s="8" t="s">
        <v>348</v>
      </c>
      <c r="B5203" s="8" t="s">
        <v>1277</v>
      </c>
      <c r="C5203" s="8" t="n">
        <v>3</v>
      </c>
      <c r="D5203" s="8" t="n">
        <v>20.4</v>
      </c>
      <c r="E5203" s="8" t="n">
        <v>0</v>
      </c>
      <c r="F5203" s="8" t="n">
        <v>0</v>
      </c>
    </row>
    <row r="5204" customFormat="false" ht="15" hidden="false" customHeight="true" outlineLevel="0" collapsed="false">
      <c r="A5204" s="8" t="s">
        <v>258</v>
      </c>
      <c r="B5204" s="8" t="s">
        <v>562</v>
      </c>
      <c r="C5204" s="8" t="n">
        <v>2</v>
      </c>
      <c r="D5204" s="8" t="n">
        <v>72</v>
      </c>
      <c r="E5204" s="8" t="n">
        <v>1</v>
      </c>
      <c r="F5204" s="8" t="n">
        <v>36</v>
      </c>
    </row>
    <row r="5205" customFormat="false" ht="15" hidden="false" customHeight="true" outlineLevel="0" collapsed="false">
      <c r="A5205" s="8" t="s">
        <v>252</v>
      </c>
      <c r="B5205" s="8" t="s">
        <v>1177</v>
      </c>
      <c r="C5205" s="8" t="n">
        <v>5</v>
      </c>
      <c r="D5205" s="8" t="n">
        <v>83</v>
      </c>
      <c r="E5205" s="8" t="n">
        <v>0</v>
      </c>
      <c r="F5205" s="8" t="n">
        <v>0</v>
      </c>
    </row>
    <row r="5206" customFormat="false" ht="15" hidden="false" customHeight="true" outlineLevel="0" collapsed="false">
      <c r="A5206" s="8" t="s">
        <v>203</v>
      </c>
      <c r="B5206" s="8" t="s">
        <v>1177</v>
      </c>
      <c r="C5206" s="8" t="n">
        <v>10</v>
      </c>
      <c r="D5206" s="8" t="n">
        <v>185</v>
      </c>
      <c r="E5206" s="8" t="n">
        <v>2</v>
      </c>
      <c r="F5206" s="8" t="n">
        <v>37</v>
      </c>
    </row>
    <row r="5207" customFormat="false" ht="15" hidden="false" customHeight="true" outlineLevel="0" collapsed="false">
      <c r="A5207" s="8" t="s">
        <v>211</v>
      </c>
      <c r="B5207" s="8" t="s">
        <v>1250</v>
      </c>
      <c r="C5207" s="8" t="n">
        <v>6</v>
      </c>
      <c r="D5207" s="8" t="n">
        <v>150</v>
      </c>
      <c r="E5207" s="8" t="n">
        <v>0</v>
      </c>
      <c r="F5207" s="8" t="n">
        <v>0</v>
      </c>
    </row>
    <row r="5208" customFormat="false" ht="15" hidden="false" customHeight="true" outlineLevel="0" collapsed="false">
      <c r="A5208" s="8" t="s">
        <v>248</v>
      </c>
      <c r="B5208" s="8" t="s">
        <v>1242</v>
      </c>
      <c r="C5208" s="8" t="n">
        <v>5</v>
      </c>
      <c r="D5208" s="8" t="n">
        <v>105</v>
      </c>
      <c r="E5208" s="8" t="n">
        <v>4</v>
      </c>
      <c r="F5208" s="8" t="n">
        <v>84</v>
      </c>
    </row>
    <row r="5209" customFormat="false" ht="15" hidden="false" customHeight="true" outlineLevel="0" collapsed="false">
      <c r="A5209" s="8" t="s">
        <v>196</v>
      </c>
      <c r="B5209" s="8" t="s">
        <v>1243</v>
      </c>
      <c r="C5209" s="8" t="n">
        <v>4</v>
      </c>
      <c r="D5209" s="8" t="n">
        <v>214</v>
      </c>
      <c r="E5209" s="8" t="n">
        <v>0</v>
      </c>
      <c r="F5209" s="8" t="n">
        <v>0</v>
      </c>
    </row>
    <row r="5210" customFormat="false" ht="15" hidden="false" customHeight="true" outlineLevel="0" collapsed="false">
      <c r="A5210" s="8" t="s">
        <v>212</v>
      </c>
      <c r="B5210" s="8" t="s">
        <v>1278</v>
      </c>
      <c r="C5210" s="8" t="n">
        <v>2</v>
      </c>
      <c r="D5210" s="8" t="n">
        <v>187</v>
      </c>
      <c r="E5210" s="8" t="n">
        <v>0</v>
      </c>
      <c r="F5210" s="8" t="n">
        <v>0</v>
      </c>
    </row>
    <row r="5211" customFormat="false" ht="15" hidden="false" customHeight="true" outlineLevel="0" collapsed="false">
      <c r="A5211" s="8" t="s">
        <v>312</v>
      </c>
      <c r="B5211" s="8" t="s">
        <v>767</v>
      </c>
      <c r="C5211" s="8" t="n">
        <v>1</v>
      </c>
      <c r="D5211" s="8" t="n">
        <v>20.5</v>
      </c>
      <c r="E5211" s="8" t="n">
        <v>0</v>
      </c>
      <c r="F5211" s="8" t="n">
        <v>0</v>
      </c>
    </row>
    <row r="5212" customFormat="false" ht="15" hidden="false" customHeight="true" outlineLevel="0" collapsed="false">
      <c r="A5212" s="8" t="s">
        <v>226</v>
      </c>
      <c r="B5212" s="8" t="s">
        <v>566</v>
      </c>
      <c r="C5212" s="8" t="n">
        <v>4</v>
      </c>
      <c r="D5212" s="8" t="n">
        <v>83.2</v>
      </c>
      <c r="E5212" s="8" t="n">
        <v>0</v>
      </c>
      <c r="F5212" s="8" t="n">
        <v>0</v>
      </c>
    </row>
    <row r="5213" customFormat="false" ht="15" hidden="false" customHeight="true" outlineLevel="0" collapsed="false">
      <c r="A5213" s="8" t="s">
        <v>344</v>
      </c>
      <c r="B5213" s="8" t="s">
        <v>1293</v>
      </c>
      <c r="C5213" s="8" t="n">
        <v>1</v>
      </c>
      <c r="D5213" s="8" t="n">
        <v>73.8</v>
      </c>
      <c r="E5213" s="8" t="n">
        <v>0</v>
      </c>
      <c r="F5213" s="8" t="n">
        <v>0</v>
      </c>
    </row>
    <row r="5214" customFormat="false" ht="15" hidden="false" customHeight="true" outlineLevel="0" collapsed="false">
      <c r="A5214" s="8" t="s">
        <v>347</v>
      </c>
      <c r="B5214" s="8" t="s">
        <v>1293</v>
      </c>
      <c r="C5214" s="8" t="n">
        <v>0</v>
      </c>
      <c r="D5214" s="8" t="n">
        <v>0</v>
      </c>
      <c r="E5214" s="8" t="n">
        <v>1</v>
      </c>
      <c r="F5214" s="8" t="n">
        <v>73.8</v>
      </c>
    </row>
    <row r="5215" customFormat="false" ht="15" hidden="false" customHeight="true" outlineLevel="0" collapsed="false">
      <c r="A5215" s="8" t="s">
        <v>340</v>
      </c>
      <c r="B5215" s="8" t="s">
        <v>1267</v>
      </c>
      <c r="C5215" s="8" t="n">
        <v>1</v>
      </c>
      <c r="D5215" s="8" t="n">
        <v>128.71</v>
      </c>
      <c r="E5215" s="8" t="n">
        <v>0</v>
      </c>
      <c r="F5215" s="8" t="n">
        <v>0</v>
      </c>
    </row>
    <row r="5216" customFormat="false" ht="15" hidden="false" customHeight="true" outlineLevel="0" collapsed="false">
      <c r="A5216" s="8" t="s">
        <v>262</v>
      </c>
      <c r="B5216" s="8" t="s">
        <v>1267</v>
      </c>
      <c r="C5216" s="8" t="n">
        <v>3</v>
      </c>
      <c r="D5216" s="8" t="n">
        <v>386.13</v>
      </c>
      <c r="E5216" s="8" t="n">
        <v>1</v>
      </c>
      <c r="F5216" s="8" t="n">
        <v>128.71</v>
      </c>
    </row>
    <row r="5217" customFormat="false" ht="15" hidden="false" customHeight="true" outlineLevel="0" collapsed="false">
      <c r="A5217" s="8" t="s">
        <v>200</v>
      </c>
      <c r="B5217" s="8" t="s">
        <v>1279</v>
      </c>
      <c r="C5217" s="8" t="n">
        <v>2</v>
      </c>
      <c r="D5217" s="8" t="n">
        <v>154.48</v>
      </c>
      <c r="E5217" s="8" t="n">
        <v>0</v>
      </c>
      <c r="F5217" s="8" t="n">
        <v>0</v>
      </c>
    </row>
    <row r="5218" customFormat="false" ht="15" hidden="false" customHeight="true" outlineLevel="0" collapsed="false">
      <c r="A5218" s="8" t="s">
        <v>253</v>
      </c>
      <c r="B5218" s="8" t="s">
        <v>1222</v>
      </c>
      <c r="C5218" s="8" t="n">
        <v>1</v>
      </c>
      <c r="D5218" s="8" t="n">
        <v>65</v>
      </c>
      <c r="E5218" s="8" t="n">
        <v>0</v>
      </c>
      <c r="F5218" s="8" t="n">
        <v>0</v>
      </c>
    </row>
    <row r="5219" customFormat="false" ht="15" hidden="false" customHeight="true" outlineLevel="0" collapsed="false">
      <c r="A5219" s="8" t="s">
        <v>207</v>
      </c>
      <c r="B5219" s="8" t="s">
        <v>1222</v>
      </c>
      <c r="C5219" s="8" t="n">
        <v>1</v>
      </c>
      <c r="D5219" s="8" t="n">
        <v>65</v>
      </c>
      <c r="E5219" s="8" t="n">
        <v>0</v>
      </c>
      <c r="F5219" s="8" t="n">
        <v>0</v>
      </c>
    </row>
    <row r="5220" customFormat="false" ht="15" hidden="false" customHeight="true" outlineLevel="0" collapsed="false">
      <c r="A5220" s="8" t="s">
        <v>163</v>
      </c>
      <c r="B5220" s="8" t="s">
        <v>897</v>
      </c>
      <c r="C5220" s="8" t="n">
        <v>21</v>
      </c>
      <c r="D5220" s="8" t="n">
        <v>1365</v>
      </c>
      <c r="E5220" s="8" t="n">
        <v>0</v>
      </c>
      <c r="F5220" s="8" t="n">
        <v>0</v>
      </c>
    </row>
    <row r="5221" customFormat="false" ht="15" hidden="false" customHeight="true" outlineLevel="0" collapsed="false">
      <c r="A5221" s="8" t="s">
        <v>181</v>
      </c>
      <c r="B5221" s="8" t="s">
        <v>897</v>
      </c>
      <c r="C5221" s="8" t="n">
        <v>4</v>
      </c>
      <c r="D5221" s="8" t="n">
        <v>260</v>
      </c>
      <c r="E5221" s="8" t="n">
        <v>0</v>
      </c>
      <c r="F5221" s="8" t="n">
        <v>0</v>
      </c>
    </row>
    <row r="5222" customFormat="false" ht="15" hidden="false" customHeight="true" outlineLevel="0" collapsed="false">
      <c r="A5222" s="8" t="s">
        <v>165</v>
      </c>
      <c r="B5222" s="8" t="s">
        <v>897</v>
      </c>
      <c r="C5222" s="8" t="n">
        <v>5</v>
      </c>
      <c r="D5222" s="8" t="n">
        <v>325</v>
      </c>
      <c r="E5222" s="8" t="n">
        <v>2</v>
      </c>
      <c r="F5222" s="8" t="n">
        <v>130</v>
      </c>
    </row>
    <row r="5223" customFormat="false" ht="15" hidden="false" customHeight="true" outlineLevel="0" collapsed="false">
      <c r="A5223" s="8" t="s">
        <v>184</v>
      </c>
      <c r="B5223" s="8" t="s">
        <v>897</v>
      </c>
      <c r="C5223" s="8" t="n">
        <v>10</v>
      </c>
      <c r="D5223" s="8" t="n">
        <v>650</v>
      </c>
      <c r="E5223" s="8" t="n">
        <v>0</v>
      </c>
      <c r="F5223" s="8" t="n">
        <v>0</v>
      </c>
    </row>
    <row r="5224" customFormat="false" ht="15" hidden="false" customHeight="true" outlineLevel="0" collapsed="false">
      <c r="A5224" s="8" t="s">
        <v>175</v>
      </c>
      <c r="B5224" s="8" t="s">
        <v>1244</v>
      </c>
      <c r="C5224" s="8" t="n">
        <v>1</v>
      </c>
      <c r="D5224" s="8" t="n">
        <v>175.5</v>
      </c>
      <c r="E5224" s="8" t="n">
        <v>0</v>
      </c>
      <c r="F5224" s="8" t="n">
        <v>0</v>
      </c>
    </row>
    <row r="5225" customFormat="false" ht="15" hidden="false" customHeight="true" outlineLevel="0" collapsed="false">
      <c r="A5225" s="8" t="s">
        <v>230</v>
      </c>
      <c r="B5225" s="8" t="s">
        <v>1244</v>
      </c>
      <c r="C5225" s="8" t="n">
        <v>1</v>
      </c>
      <c r="D5225" s="8" t="n">
        <v>175.5</v>
      </c>
      <c r="E5225" s="8" t="n">
        <v>0</v>
      </c>
      <c r="F5225" s="8" t="n">
        <v>0</v>
      </c>
    </row>
    <row r="5226" customFormat="false" ht="15" hidden="false" customHeight="true" outlineLevel="0" collapsed="false">
      <c r="A5226" s="8" t="s">
        <v>173</v>
      </c>
      <c r="B5226" s="8" t="s">
        <v>1244</v>
      </c>
      <c r="C5226" s="8" t="n">
        <v>1</v>
      </c>
      <c r="D5226" s="8" t="n">
        <v>175.5</v>
      </c>
      <c r="E5226" s="8" t="n">
        <v>0</v>
      </c>
      <c r="F5226" s="8" t="n">
        <v>0</v>
      </c>
    </row>
    <row r="5227" customFormat="false" ht="15" hidden="false" customHeight="true" outlineLevel="0" collapsed="false">
      <c r="A5227" s="8" t="s">
        <v>191</v>
      </c>
      <c r="B5227" s="8" t="s">
        <v>1179</v>
      </c>
      <c r="C5227" s="8" t="n">
        <v>1</v>
      </c>
      <c r="D5227" s="8" t="n">
        <v>72.34</v>
      </c>
      <c r="E5227" s="8" t="n">
        <v>0</v>
      </c>
      <c r="F5227" s="8" t="n">
        <v>0</v>
      </c>
    </row>
    <row r="5228" customFormat="false" ht="15" hidden="false" customHeight="true" outlineLevel="0" collapsed="false">
      <c r="A5228" s="8" t="s">
        <v>280</v>
      </c>
      <c r="B5228" s="8" t="s">
        <v>1282</v>
      </c>
      <c r="C5228" s="8" t="n">
        <v>5</v>
      </c>
      <c r="D5228" s="8" t="n">
        <v>535.45</v>
      </c>
      <c r="E5228" s="8" t="n">
        <v>0</v>
      </c>
      <c r="F5228" s="8" t="n">
        <v>0</v>
      </c>
    </row>
    <row r="5229" customFormat="false" ht="15" hidden="false" customHeight="true" outlineLevel="0" collapsed="false">
      <c r="A5229" s="8" t="s">
        <v>298</v>
      </c>
      <c r="B5229" s="8" t="s">
        <v>1282</v>
      </c>
      <c r="C5229" s="8" t="n">
        <v>1</v>
      </c>
      <c r="D5229" s="8" t="n">
        <v>107.09</v>
      </c>
      <c r="E5229" s="8" t="n">
        <v>0</v>
      </c>
      <c r="F5229" s="8" t="n">
        <v>0</v>
      </c>
    </row>
    <row r="5230" customFormat="false" ht="15" hidden="false" customHeight="true" outlineLevel="0" collapsed="false">
      <c r="A5230" s="8" t="s">
        <v>291</v>
      </c>
      <c r="B5230" s="8" t="s">
        <v>1286</v>
      </c>
      <c r="C5230" s="8" t="n">
        <v>5</v>
      </c>
      <c r="D5230" s="8" t="n">
        <v>324.45</v>
      </c>
      <c r="E5230" s="8" t="n">
        <v>0</v>
      </c>
      <c r="F5230" s="8" t="n">
        <v>0</v>
      </c>
    </row>
    <row r="5231" customFormat="false" ht="15" hidden="false" customHeight="true" outlineLevel="0" collapsed="false">
      <c r="A5231" s="8" t="s">
        <v>372</v>
      </c>
      <c r="B5231" s="8" t="s">
        <v>1286</v>
      </c>
      <c r="C5231" s="8" t="n">
        <v>2</v>
      </c>
      <c r="D5231" s="8" t="n">
        <v>129.78</v>
      </c>
      <c r="E5231" s="8" t="n">
        <v>0</v>
      </c>
      <c r="F5231" s="8" t="n">
        <v>0</v>
      </c>
    </row>
    <row r="5232" customFormat="false" ht="15" hidden="false" customHeight="true" outlineLevel="0" collapsed="false">
      <c r="A5232" s="8" t="s">
        <v>183</v>
      </c>
      <c r="B5232" s="8" t="s">
        <v>1224</v>
      </c>
      <c r="C5232" s="8" t="n">
        <v>12</v>
      </c>
      <c r="D5232" s="8" t="n">
        <v>293.16</v>
      </c>
      <c r="E5232" s="8" t="n">
        <v>0</v>
      </c>
      <c r="F5232" s="8" t="n">
        <v>0</v>
      </c>
    </row>
    <row r="5233" customFormat="false" ht="15" hidden="false" customHeight="true" outlineLevel="0" collapsed="false">
      <c r="A5233" s="8" t="s">
        <v>286</v>
      </c>
      <c r="B5233" s="8" t="s">
        <v>1269</v>
      </c>
      <c r="C5233" s="8" t="n">
        <v>6</v>
      </c>
      <c r="D5233" s="8" t="n">
        <v>66</v>
      </c>
      <c r="E5233" s="8" t="n">
        <v>0</v>
      </c>
      <c r="F5233" s="8" t="n">
        <v>0</v>
      </c>
    </row>
    <row r="5234" customFormat="false" ht="15" hidden="false" customHeight="true" outlineLevel="0" collapsed="false">
      <c r="A5234" s="8" t="s">
        <v>289</v>
      </c>
      <c r="B5234" s="8" t="s">
        <v>1270</v>
      </c>
      <c r="C5234" s="8" t="n">
        <v>6</v>
      </c>
      <c r="D5234" s="8" t="n">
        <v>66</v>
      </c>
      <c r="E5234" s="8" t="n">
        <v>0</v>
      </c>
      <c r="F5234" s="8" t="n">
        <v>0</v>
      </c>
    </row>
    <row r="5235" customFormat="false" ht="15" hidden="false" customHeight="true" outlineLevel="0" collapsed="false">
      <c r="A5235" s="8" t="s">
        <v>324</v>
      </c>
      <c r="B5235" s="8" t="s">
        <v>1271</v>
      </c>
      <c r="C5235" s="8" t="n">
        <v>6</v>
      </c>
      <c r="D5235" s="8" t="n">
        <v>66</v>
      </c>
      <c r="E5235" s="8" t="n">
        <v>0</v>
      </c>
      <c r="F5235" s="8" t="n">
        <v>0</v>
      </c>
    </row>
    <row r="5236" customFormat="false" ht="15" hidden="false" customHeight="true" outlineLevel="0" collapsed="false">
      <c r="A5236" s="8" t="s">
        <v>161</v>
      </c>
      <c r="B5236" s="8" t="s">
        <v>1208</v>
      </c>
      <c r="C5236" s="8" t="n">
        <v>13</v>
      </c>
      <c r="D5236" s="8" t="n">
        <v>591.5</v>
      </c>
      <c r="E5236" s="8" t="n">
        <v>0</v>
      </c>
      <c r="F5236" s="8" t="n">
        <v>0</v>
      </c>
    </row>
    <row r="5237" customFormat="false" ht="15" hidden="false" customHeight="true" outlineLevel="0" collapsed="false">
      <c r="A5237" s="8" t="s">
        <v>162</v>
      </c>
      <c r="B5237" s="8" t="s">
        <v>1209</v>
      </c>
      <c r="C5237" s="8" t="n">
        <v>1</v>
      </c>
      <c r="D5237" s="8" t="n">
        <v>77.8</v>
      </c>
      <c r="E5237" s="8" t="n">
        <v>0</v>
      </c>
      <c r="F5237" s="8" t="n">
        <v>0</v>
      </c>
    </row>
    <row r="5238" customFormat="false" ht="15" hidden="false" customHeight="true" outlineLevel="0" collapsed="false">
      <c r="A5238" s="8" t="s">
        <v>171</v>
      </c>
      <c r="B5238" s="8" t="s">
        <v>1210</v>
      </c>
      <c r="C5238" s="8" t="n">
        <v>2</v>
      </c>
      <c r="D5238" s="8" t="n">
        <v>94.46</v>
      </c>
      <c r="E5238" s="8" t="n">
        <v>0</v>
      </c>
      <c r="F5238" s="8" t="n">
        <v>0</v>
      </c>
    </row>
    <row r="5239" customFormat="false" ht="15" hidden="false" customHeight="true" outlineLevel="0" collapsed="false">
      <c r="A5239" s="8" t="s">
        <v>174</v>
      </c>
      <c r="B5239" s="8" t="s">
        <v>1210</v>
      </c>
      <c r="C5239" s="8" t="n">
        <v>2</v>
      </c>
      <c r="D5239" s="8" t="n">
        <v>94.46</v>
      </c>
      <c r="E5239" s="8" t="n">
        <v>0</v>
      </c>
      <c r="F5239" s="8" t="n">
        <v>0</v>
      </c>
    </row>
    <row r="5240" customFormat="false" ht="15" hidden="false" customHeight="true" outlineLevel="0" collapsed="false">
      <c r="A5240" s="8" t="s">
        <v>166</v>
      </c>
      <c r="B5240" s="8" t="s">
        <v>1211</v>
      </c>
      <c r="C5240" s="8" t="n">
        <v>1</v>
      </c>
      <c r="D5240" s="8" t="n">
        <v>63.27</v>
      </c>
      <c r="E5240" s="8" t="n">
        <v>1</v>
      </c>
      <c r="F5240" s="8" t="n">
        <v>63.27</v>
      </c>
    </row>
    <row r="5241" customFormat="false" ht="15" hidden="false" customHeight="true" outlineLevel="0" collapsed="false">
      <c r="A5241" s="8" t="s">
        <v>164</v>
      </c>
      <c r="B5241" s="8" t="s">
        <v>1211</v>
      </c>
      <c r="C5241" s="8" t="n">
        <v>1</v>
      </c>
      <c r="D5241" s="8" t="n">
        <v>63.27</v>
      </c>
      <c r="E5241" s="8" t="n">
        <v>0</v>
      </c>
      <c r="F5241" s="8" t="n">
        <v>0</v>
      </c>
    </row>
    <row r="5242" customFormat="false" ht="15" hidden="false" customHeight="true" outlineLevel="0" collapsed="false">
      <c r="A5242" s="8" t="s">
        <v>270</v>
      </c>
      <c r="B5242" s="8" t="s">
        <v>1251</v>
      </c>
      <c r="C5242" s="8" t="n">
        <v>5</v>
      </c>
      <c r="D5242" s="8" t="n">
        <v>49.1</v>
      </c>
      <c r="E5242" s="8" t="n">
        <v>0</v>
      </c>
      <c r="F5242" s="8" t="n">
        <v>0</v>
      </c>
    </row>
    <row r="5243" customFormat="false" ht="15" hidden="false" customHeight="true" outlineLevel="0" collapsed="false">
      <c r="A5243" s="8" t="s">
        <v>307</v>
      </c>
      <c r="B5243" s="8" t="s">
        <v>1252</v>
      </c>
      <c r="C5243" s="8" t="n">
        <v>1</v>
      </c>
      <c r="D5243" s="8" t="n">
        <v>14.28</v>
      </c>
      <c r="E5243" s="8" t="n">
        <v>0</v>
      </c>
      <c r="F5243" s="8" t="n">
        <v>0</v>
      </c>
    </row>
    <row r="5244" customFormat="false" ht="15" hidden="false" customHeight="true" outlineLevel="0" collapsed="false">
      <c r="A5244" s="8" t="s">
        <v>263</v>
      </c>
      <c r="B5244" s="8" t="s">
        <v>407</v>
      </c>
      <c r="C5244" s="8" t="n">
        <v>3</v>
      </c>
      <c r="D5244" s="8" t="n">
        <v>38.46</v>
      </c>
      <c r="E5244" s="8" t="n">
        <v>0</v>
      </c>
      <c r="F5244" s="8" t="n">
        <v>0</v>
      </c>
    </row>
    <row r="5245" customFormat="false" ht="15" hidden="false" customHeight="true" outlineLevel="0" collapsed="false">
      <c r="A5245" s="8" t="s">
        <v>188</v>
      </c>
      <c r="B5245" s="8" t="s">
        <v>1225</v>
      </c>
      <c r="C5245" s="8" t="n">
        <v>1</v>
      </c>
      <c r="D5245" s="8" t="n">
        <v>28.93</v>
      </c>
      <c r="E5245" s="8" t="n">
        <v>1</v>
      </c>
      <c r="F5245" s="8" t="n">
        <v>28.93</v>
      </c>
    </row>
    <row r="5246" customFormat="false" ht="15" hidden="false" customHeight="true" outlineLevel="0" collapsed="false">
      <c r="A5246" s="8" t="s">
        <v>186</v>
      </c>
      <c r="B5246" s="8" t="s">
        <v>1225</v>
      </c>
      <c r="C5246" s="8" t="n">
        <v>1</v>
      </c>
      <c r="D5246" s="8" t="n">
        <v>28.93</v>
      </c>
      <c r="E5246" s="8" t="n">
        <v>0</v>
      </c>
      <c r="F5246" s="8" t="n">
        <v>0</v>
      </c>
    </row>
    <row r="5247" customFormat="false" ht="15" hidden="false" customHeight="true" outlineLevel="0" collapsed="false">
      <c r="A5247" s="8" t="s">
        <v>210</v>
      </c>
      <c r="B5247" s="8" t="s">
        <v>1225</v>
      </c>
      <c r="C5247" s="8" t="n">
        <v>3</v>
      </c>
      <c r="D5247" s="8" t="n">
        <v>86.79</v>
      </c>
      <c r="E5247" s="8" t="n">
        <v>0</v>
      </c>
      <c r="F5247" s="8" t="n">
        <v>0</v>
      </c>
    </row>
    <row r="5248" customFormat="false" ht="15" hidden="false" customHeight="true" outlineLevel="0" collapsed="false">
      <c r="A5248" s="8" t="s">
        <v>238</v>
      </c>
      <c r="B5248" s="8" t="s">
        <v>1226</v>
      </c>
      <c r="C5248" s="8" t="n">
        <v>1</v>
      </c>
      <c r="D5248" s="8" t="n">
        <v>42.17</v>
      </c>
      <c r="E5248" s="8" t="n">
        <v>0</v>
      </c>
      <c r="F5248" s="8" t="n">
        <v>0</v>
      </c>
    </row>
    <row r="5249" customFormat="false" ht="15" hidden="false" customHeight="true" outlineLevel="0" collapsed="false">
      <c r="A5249" s="8" t="s">
        <v>201</v>
      </c>
      <c r="B5249" s="8" t="s">
        <v>1226</v>
      </c>
      <c r="C5249" s="8" t="n">
        <v>1</v>
      </c>
      <c r="D5249" s="8" t="n">
        <v>42.17</v>
      </c>
      <c r="E5249" s="8" t="n">
        <v>0</v>
      </c>
      <c r="F5249" s="8" t="n">
        <v>0</v>
      </c>
    </row>
    <row r="5250" customFormat="false" ht="15" hidden="false" customHeight="true" outlineLevel="0" collapsed="false">
      <c r="A5250" s="8" t="s">
        <v>214</v>
      </c>
      <c r="B5250" s="8" t="s">
        <v>1226</v>
      </c>
      <c r="C5250" s="8" t="n">
        <v>1</v>
      </c>
      <c r="D5250" s="8" t="n">
        <v>42.17</v>
      </c>
      <c r="E5250" s="8" t="n">
        <v>0</v>
      </c>
      <c r="F5250" s="8" t="n">
        <v>0</v>
      </c>
    </row>
    <row r="5251" customFormat="false" ht="15" hidden="false" customHeight="true" outlineLevel="0" collapsed="false">
      <c r="A5251" s="8" t="s">
        <v>241</v>
      </c>
      <c r="B5251" s="8" t="s">
        <v>1227</v>
      </c>
      <c r="C5251" s="8" t="n">
        <v>4</v>
      </c>
      <c r="D5251" s="8" t="n">
        <v>68</v>
      </c>
      <c r="E5251" s="8" t="n">
        <v>0</v>
      </c>
      <c r="F5251" s="8" t="n">
        <v>0</v>
      </c>
    </row>
    <row r="5252" customFormat="false" ht="15" hidden="false" customHeight="true" outlineLevel="0" collapsed="false">
      <c r="A5252" s="8" t="s">
        <v>219</v>
      </c>
      <c r="B5252" s="8" t="s">
        <v>1227</v>
      </c>
      <c r="C5252" s="8" t="n">
        <v>1</v>
      </c>
      <c r="D5252" s="8" t="n">
        <v>17</v>
      </c>
      <c r="E5252" s="8" t="n">
        <v>0</v>
      </c>
      <c r="F5252" s="8" t="n">
        <v>0</v>
      </c>
    </row>
    <row r="5253" customFormat="false" ht="15" hidden="false" customHeight="true" outlineLevel="0" collapsed="false">
      <c r="A5253" s="8" t="s">
        <v>292</v>
      </c>
      <c r="B5253" s="8" t="s">
        <v>1227</v>
      </c>
      <c r="C5253" s="8" t="n">
        <v>2</v>
      </c>
      <c r="D5253" s="8" t="n">
        <v>34</v>
      </c>
      <c r="E5253" s="8" t="n">
        <v>0</v>
      </c>
      <c r="F5253" s="8" t="n">
        <v>0</v>
      </c>
    </row>
    <row r="5254" customFormat="false" ht="15" hidden="false" customHeight="true" outlineLevel="0" collapsed="false">
      <c r="A5254" s="8" t="s">
        <v>223</v>
      </c>
      <c r="B5254" s="8" t="s">
        <v>1227</v>
      </c>
      <c r="C5254" s="8" t="n">
        <v>2</v>
      </c>
      <c r="D5254" s="8" t="n">
        <v>34</v>
      </c>
      <c r="E5254" s="8" t="n">
        <v>1</v>
      </c>
      <c r="F5254" s="8" t="n">
        <v>17</v>
      </c>
    </row>
    <row r="5255" customFormat="false" ht="15" hidden="false" customHeight="true" outlineLevel="0" collapsed="false">
      <c r="A5255" s="8" t="s">
        <v>229</v>
      </c>
      <c r="B5255" s="8" t="s">
        <v>881</v>
      </c>
      <c r="C5255" s="8" t="n">
        <v>2</v>
      </c>
      <c r="D5255" s="8" t="n">
        <v>82.4</v>
      </c>
      <c r="E5255" s="8" t="n">
        <v>0</v>
      </c>
      <c r="F5255" s="8" t="n">
        <v>0</v>
      </c>
    </row>
    <row r="5256" customFormat="false" ht="15" hidden="false" customHeight="true" outlineLevel="0" collapsed="false">
      <c r="A5256" s="8" t="s">
        <v>237</v>
      </c>
      <c r="B5256" s="8" t="s">
        <v>1259</v>
      </c>
      <c r="C5256" s="8" t="n">
        <v>1</v>
      </c>
      <c r="D5256" s="8" t="n">
        <v>18.45</v>
      </c>
      <c r="E5256" s="8" t="n">
        <v>0</v>
      </c>
      <c r="F5256" s="8" t="n">
        <v>0</v>
      </c>
    </row>
    <row r="5257" customFormat="false" ht="15" hidden="false" customHeight="true" outlineLevel="0" collapsed="false">
      <c r="A5257" s="8" t="s">
        <v>271</v>
      </c>
      <c r="B5257" s="8" t="s">
        <v>1260</v>
      </c>
      <c r="C5257" s="8" t="n">
        <v>3</v>
      </c>
      <c r="D5257" s="8" t="n">
        <v>70.2</v>
      </c>
      <c r="E5257" s="8" t="n">
        <v>0</v>
      </c>
      <c r="F5257" s="8" t="n">
        <v>0</v>
      </c>
    </row>
    <row r="5258" customFormat="false" ht="15" hidden="false" customHeight="true" outlineLevel="0" collapsed="false">
      <c r="A5258" s="8" t="s">
        <v>266</v>
      </c>
      <c r="B5258" s="8" t="s">
        <v>1228</v>
      </c>
      <c r="C5258" s="8" t="n">
        <v>3</v>
      </c>
      <c r="D5258" s="8" t="n">
        <v>59.76</v>
      </c>
      <c r="E5258" s="8" t="n">
        <v>0</v>
      </c>
      <c r="F5258" s="8" t="n">
        <v>0</v>
      </c>
    </row>
    <row r="5259" customFormat="false" ht="15" hidden="false" customHeight="true" outlineLevel="0" collapsed="false">
      <c r="A5259" s="8" t="s">
        <v>246</v>
      </c>
      <c r="B5259" s="8" t="s">
        <v>1261</v>
      </c>
      <c r="C5259" s="8" t="n">
        <v>3</v>
      </c>
      <c r="D5259" s="8" t="n">
        <v>52.05</v>
      </c>
      <c r="E5259" s="8" t="n">
        <v>0</v>
      </c>
      <c r="F5259" s="8" t="n">
        <v>0</v>
      </c>
    </row>
    <row r="5260" customFormat="false" ht="15" hidden="false" customHeight="true" outlineLevel="0" collapsed="false">
      <c r="A5260" s="8" t="s">
        <v>202</v>
      </c>
      <c r="B5260" s="8" t="s">
        <v>1212</v>
      </c>
      <c r="C5260" s="8" t="n">
        <v>5</v>
      </c>
      <c r="D5260" s="8" t="n">
        <v>47.5</v>
      </c>
      <c r="E5260" s="8" t="n">
        <v>2</v>
      </c>
      <c r="F5260" s="8" t="n">
        <v>19</v>
      </c>
    </row>
    <row r="5261" customFormat="false" ht="15" hidden="false" customHeight="true" outlineLevel="0" collapsed="false">
      <c r="A5261" s="8" t="s">
        <v>244</v>
      </c>
      <c r="B5261" s="8" t="s">
        <v>1213</v>
      </c>
      <c r="C5261" s="8" t="n">
        <v>5</v>
      </c>
      <c r="D5261" s="8" t="n">
        <v>47.5</v>
      </c>
      <c r="E5261" s="8" t="n">
        <v>0</v>
      </c>
      <c r="F5261" s="8" t="n">
        <v>0</v>
      </c>
    </row>
    <row r="5262" customFormat="false" ht="15" hidden="false" customHeight="true" outlineLevel="0" collapsed="false">
      <c r="A5262" s="8" t="s">
        <v>243</v>
      </c>
      <c r="B5262" s="8" t="s">
        <v>1253</v>
      </c>
      <c r="C5262" s="8" t="n">
        <v>2</v>
      </c>
      <c r="D5262" s="8" t="n">
        <v>25.9</v>
      </c>
      <c r="E5262" s="8" t="n">
        <v>0</v>
      </c>
      <c r="F5262" s="8" t="n">
        <v>0</v>
      </c>
    </row>
    <row r="5263" customFormat="false" ht="15" hidden="false" customHeight="true" outlineLevel="0" collapsed="false">
      <c r="A5263" s="8" t="s">
        <v>251</v>
      </c>
      <c r="B5263" s="8" t="s">
        <v>1262</v>
      </c>
      <c r="C5263" s="8" t="n">
        <v>3</v>
      </c>
      <c r="D5263" s="8" t="n">
        <v>29.13</v>
      </c>
      <c r="E5263" s="8" t="n">
        <v>0</v>
      </c>
      <c r="F5263" s="8" t="n">
        <v>0</v>
      </c>
    </row>
    <row r="5264" customFormat="false" ht="15" hidden="false" customHeight="true" outlineLevel="0" collapsed="false">
      <c r="A5264" s="8" t="s">
        <v>308</v>
      </c>
      <c r="B5264" s="8" t="s">
        <v>1229</v>
      </c>
      <c r="C5264" s="8" t="n">
        <v>2</v>
      </c>
      <c r="D5264" s="8" t="n">
        <v>16.16</v>
      </c>
      <c r="E5264" s="8" t="n">
        <v>0</v>
      </c>
      <c r="F5264" s="8" t="n">
        <v>0</v>
      </c>
    </row>
    <row r="5265" customFormat="false" ht="15" hidden="false" customHeight="true" outlineLevel="0" collapsed="false">
      <c r="A5265" s="8" t="s">
        <v>172</v>
      </c>
      <c r="B5265" s="8" t="s">
        <v>1214</v>
      </c>
      <c r="C5265" s="8" t="n">
        <v>4</v>
      </c>
      <c r="D5265" s="8" t="n">
        <v>48.72</v>
      </c>
      <c r="E5265" s="8" t="n">
        <v>0</v>
      </c>
      <c r="F5265" s="8" t="n">
        <v>0</v>
      </c>
    </row>
    <row r="5266" customFormat="false" ht="15" hidden="false" customHeight="true" outlineLevel="0" collapsed="false">
      <c r="A5266" s="8" t="s">
        <v>242</v>
      </c>
      <c r="B5266" s="8" t="s">
        <v>1230</v>
      </c>
      <c r="C5266" s="8" t="n">
        <v>2</v>
      </c>
      <c r="D5266" s="8" t="n">
        <v>77.4</v>
      </c>
      <c r="E5266" s="8" t="n">
        <v>0</v>
      </c>
      <c r="F5266" s="8" t="n">
        <v>0</v>
      </c>
    </row>
    <row r="5267" customFormat="false" ht="15" hidden="false" customHeight="true" outlineLevel="0" collapsed="false">
      <c r="A5267" s="8" t="s">
        <v>261</v>
      </c>
      <c r="B5267" s="8" t="s">
        <v>1215</v>
      </c>
      <c r="C5267" s="8" t="n">
        <v>3</v>
      </c>
      <c r="D5267" s="8" t="n">
        <v>63.63</v>
      </c>
      <c r="E5267" s="8" t="n">
        <v>0</v>
      </c>
      <c r="F5267" s="8" t="n">
        <v>0</v>
      </c>
    </row>
    <row r="5268" customFormat="false" ht="15" hidden="false" customHeight="true" outlineLevel="0" collapsed="false">
      <c r="A5268" s="8" t="s">
        <v>269</v>
      </c>
      <c r="B5268" s="8" t="s">
        <v>1231</v>
      </c>
      <c r="C5268" s="8" t="n">
        <v>3</v>
      </c>
      <c r="D5268" s="8" t="n">
        <v>33.99</v>
      </c>
      <c r="E5268" s="8" t="n">
        <v>0</v>
      </c>
      <c r="F5268" s="8" t="n">
        <v>0</v>
      </c>
    </row>
    <row r="5269" customFormat="false" ht="15" hidden="false" customHeight="true" outlineLevel="0" collapsed="false">
      <c r="A5269" s="8" t="s">
        <v>213</v>
      </c>
      <c r="B5269" s="8" t="s">
        <v>1232</v>
      </c>
      <c r="C5269" s="8" t="n">
        <v>3</v>
      </c>
      <c r="D5269" s="8" t="n">
        <v>82.65</v>
      </c>
      <c r="E5269" s="8" t="n">
        <v>0</v>
      </c>
      <c r="F5269" s="8" t="n">
        <v>0</v>
      </c>
    </row>
    <row r="5270" customFormat="false" ht="15" hidden="false" customHeight="true" outlineLevel="0" collapsed="false">
      <c r="A5270" s="8" t="s">
        <v>288</v>
      </c>
      <c r="B5270" s="8" t="s">
        <v>939</v>
      </c>
      <c r="C5270" s="8" t="n">
        <v>3</v>
      </c>
      <c r="D5270" s="8" t="n">
        <v>60.72</v>
      </c>
      <c r="E5270" s="8" t="n">
        <v>0</v>
      </c>
      <c r="F5270" s="8" t="n">
        <v>0</v>
      </c>
    </row>
    <row r="5271" customFormat="false" ht="15" hidden="false" customHeight="true" outlineLevel="0" collapsed="false">
      <c r="A5271" s="8" t="s">
        <v>281</v>
      </c>
      <c r="B5271" s="8" t="s">
        <v>1254</v>
      </c>
      <c r="C5271" s="8" t="n">
        <v>2</v>
      </c>
      <c r="D5271" s="8" t="n">
        <v>27.68</v>
      </c>
      <c r="E5271" s="8" t="n">
        <v>0</v>
      </c>
      <c r="F5271" s="8" t="n">
        <v>0</v>
      </c>
    </row>
    <row r="5272" customFormat="false" ht="15" hidden="false" customHeight="true" outlineLevel="0" collapsed="false">
      <c r="A5272" s="8" t="s">
        <v>232</v>
      </c>
      <c r="B5272" s="8" t="s">
        <v>1233</v>
      </c>
      <c r="C5272" s="8" t="n">
        <v>11</v>
      </c>
      <c r="D5272" s="8" t="n">
        <v>178.2</v>
      </c>
      <c r="E5272" s="8" t="n">
        <v>0</v>
      </c>
      <c r="F5272" s="8" t="n">
        <v>0</v>
      </c>
    </row>
    <row r="5273" customFormat="false" ht="15" hidden="false" customHeight="true" outlineLevel="0" collapsed="false">
      <c r="A5273" s="8" t="s">
        <v>215</v>
      </c>
      <c r="B5273" s="8" t="s">
        <v>1233</v>
      </c>
      <c r="C5273" s="8" t="n">
        <v>4</v>
      </c>
      <c r="D5273" s="8" t="n">
        <v>71.28</v>
      </c>
      <c r="E5273" s="8" t="n">
        <v>0</v>
      </c>
      <c r="F5273" s="8" t="n">
        <v>0</v>
      </c>
    </row>
    <row r="5274" customFormat="false" ht="15" hidden="false" customHeight="true" outlineLevel="0" collapsed="false">
      <c r="A5274" s="8" t="s">
        <v>265</v>
      </c>
      <c r="B5274" s="8" t="s">
        <v>621</v>
      </c>
      <c r="C5274" s="8" t="n">
        <v>1</v>
      </c>
      <c r="D5274" s="8" t="n">
        <v>42</v>
      </c>
      <c r="E5274" s="8" t="n">
        <v>0</v>
      </c>
      <c r="F5274" s="8" t="n">
        <v>0</v>
      </c>
    </row>
    <row r="5275" customFormat="false" ht="15" hidden="false" customHeight="true" outlineLevel="0" collapsed="false">
      <c r="A5275" s="8" t="s">
        <v>276</v>
      </c>
      <c r="B5275" s="8" t="s">
        <v>621</v>
      </c>
      <c r="C5275" s="8" t="n">
        <v>1</v>
      </c>
      <c r="D5275" s="8" t="n">
        <v>42</v>
      </c>
      <c r="E5275" s="8" t="n">
        <v>0</v>
      </c>
      <c r="F5275" s="8" t="n">
        <v>0</v>
      </c>
    </row>
    <row r="5276" customFormat="false" ht="15" hidden="false" customHeight="true" outlineLevel="0" collapsed="false">
      <c r="A5276" s="8" t="s">
        <v>217</v>
      </c>
      <c r="B5276" s="8" t="s">
        <v>1237</v>
      </c>
      <c r="C5276" s="8" t="n">
        <v>2</v>
      </c>
      <c r="D5276" s="8" t="n">
        <v>36.8</v>
      </c>
      <c r="E5276" s="8" t="n">
        <v>0</v>
      </c>
      <c r="F5276" s="8" t="n">
        <v>0</v>
      </c>
    </row>
    <row r="5277" customFormat="false" ht="15" hidden="false" customHeight="true" outlineLevel="0" collapsed="false">
      <c r="A5277" s="8" t="s">
        <v>335</v>
      </c>
      <c r="B5277" s="8" t="s">
        <v>1294</v>
      </c>
      <c r="C5277" s="8" t="n">
        <v>1</v>
      </c>
      <c r="D5277" s="8" t="n">
        <v>18.4</v>
      </c>
      <c r="E5277" s="8" t="n">
        <v>0</v>
      </c>
      <c r="F5277" s="8" t="n">
        <v>0</v>
      </c>
    </row>
    <row r="5278" customFormat="false" ht="15" hidden="false" customHeight="true" outlineLevel="0" collapsed="false">
      <c r="A5278" s="8" t="s">
        <v>192</v>
      </c>
      <c r="B5278" s="8" t="s">
        <v>1240</v>
      </c>
      <c r="C5278" s="8" t="n">
        <v>3</v>
      </c>
      <c r="D5278" s="8" t="n">
        <v>125.43</v>
      </c>
      <c r="E5278" s="8" t="n">
        <v>0</v>
      </c>
      <c r="F5278" s="8" t="n">
        <v>0</v>
      </c>
    </row>
    <row r="5279" customFormat="false" ht="15" hidden="false" customHeight="true" outlineLevel="0" collapsed="false">
      <c r="A5279" s="8" t="s">
        <v>180</v>
      </c>
      <c r="B5279" s="8" t="s">
        <v>1216</v>
      </c>
      <c r="C5279" s="8" t="n">
        <v>4</v>
      </c>
      <c r="D5279" s="8" t="n">
        <v>66</v>
      </c>
      <c r="E5279" s="8" t="n">
        <v>0</v>
      </c>
      <c r="F5279" s="8" t="n">
        <v>0</v>
      </c>
    </row>
    <row r="5280" customFormat="false" ht="15" hidden="false" customHeight="true" outlineLevel="0" collapsed="false">
      <c r="A5280" s="8" t="s">
        <v>189</v>
      </c>
      <c r="B5280" s="8" t="s">
        <v>1216</v>
      </c>
      <c r="C5280" s="8" t="n">
        <v>3</v>
      </c>
      <c r="D5280" s="8" t="n">
        <v>49.5</v>
      </c>
      <c r="E5280" s="8" t="n">
        <v>2</v>
      </c>
      <c r="F5280" s="8" t="n">
        <v>33</v>
      </c>
    </row>
    <row r="5281" customFormat="false" ht="15" hidden="false" customHeight="true" outlineLevel="0" collapsed="false">
      <c r="A5281" s="8" t="s">
        <v>267</v>
      </c>
      <c r="B5281" s="8" t="s">
        <v>1216</v>
      </c>
      <c r="C5281" s="8" t="n">
        <v>4</v>
      </c>
      <c r="D5281" s="8" t="n">
        <v>66</v>
      </c>
      <c r="E5281" s="8" t="n">
        <v>0</v>
      </c>
      <c r="F5281" s="8" t="n">
        <v>0</v>
      </c>
    </row>
    <row r="5282" customFormat="false" ht="15" hidden="false" customHeight="true" outlineLevel="0" collapsed="false">
      <c r="A5282" s="8" t="s">
        <v>199</v>
      </c>
      <c r="B5282" s="8" t="s">
        <v>1216</v>
      </c>
      <c r="C5282" s="8" t="n">
        <v>5</v>
      </c>
      <c r="D5282" s="8" t="n">
        <v>82.5</v>
      </c>
      <c r="E5282" s="8" t="n">
        <v>0</v>
      </c>
      <c r="F5282" s="8" t="n">
        <v>0</v>
      </c>
    </row>
    <row r="5283" customFormat="false" ht="15" hidden="false" customHeight="true" outlineLevel="0" collapsed="false">
      <c r="A5283" s="8" t="s">
        <v>250</v>
      </c>
      <c r="B5283" s="8" t="s">
        <v>1216</v>
      </c>
      <c r="C5283" s="8" t="n">
        <v>8</v>
      </c>
      <c r="D5283" s="8" t="n">
        <v>132</v>
      </c>
      <c r="E5283" s="8" t="n">
        <v>0</v>
      </c>
      <c r="F5283" s="8" t="n">
        <v>0</v>
      </c>
    </row>
    <row r="5284" customFormat="false" ht="15" hidden="false" customHeight="true" outlineLevel="0" collapsed="false">
      <c r="A5284" s="8" t="s">
        <v>198</v>
      </c>
      <c r="B5284" s="8" t="s">
        <v>1217</v>
      </c>
      <c r="C5284" s="8" t="n">
        <v>15</v>
      </c>
      <c r="D5284" s="8" t="n">
        <v>307.5</v>
      </c>
      <c r="E5284" s="8" t="n">
        <v>0</v>
      </c>
      <c r="F5284" s="8" t="n">
        <v>0</v>
      </c>
    </row>
    <row r="5285" customFormat="false" ht="15" hidden="false" customHeight="true" outlineLevel="0" collapsed="false">
      <c r="A5285" s="8" t="s">
        <v>193</v>
      </c>
      <c r="B5285" s="8" t="s">
        <v>1217</v>
      </c>
      <c r="C5285" s="8" t="n">
        <v>2</v>
      </c>
      <c r="D5285" s="8" t="n">
        <v>41</v>
      </c>
      <c r="E5285" s="8" t="n">
        <v>2</v>
      </c>
      <c r="F5285" s="8" t="n">
        <v>41</v>
      </c>
    </row>
    <row r="5286" customFormat="false" ht="15" hidden="false" customHeight="true" outlineLevel="0" collapsed="false">
      <c r="A5286" s="8" t="s">
        <v>205</v>
      </c>
      <c r="B5286" s="8" t="s">
        <v>1217</v>
      </c>
      <c r="C5286" s="8" t="n">
        <v>12</v>
      </c>
      <c r="D5286" s="8" t="n">
        <v>246</v>
      </c>
      <c r="E5286" s="8" t="n">
        <v>0</v>
      </c>
      <c r="F5286" s="8" t="n">
        <v>0</v>
      </c>
    </row>
    <row r="5287" customFormat="false" ht="15" hidden="false" customHeight="true" outlineLevel="0" collapsed="false">
      <c r="A5287" s="8" t="s">
        <v>259</v>
      </c>
      <c r="B5287" s="8" t="s">
        <v>1265</v>
      </c>
      <c r="C5287" s="8" t="n">
        <v>2</v>
      </c>
      <c r="D5287" s="8" t="n">
        <v>253.14</v>
      </c>
      <c r="E5287" s="8" t="n">
        <v>0</v>
      </c>
      <c r="F5287" s="8" t="n">
        <v>0</v>
      </c>
    </row>
    <row r="5288" customFormat="false" ht="15" hidden="false" customHeight="true" outlineLevel="0" collapsed="false">
      <c r="A5288" s="8" t="s">
        <v>277</v>
      </c>
      <c r="B5288" s="8" t="s">
        <v>1285</v>
      </c>
      <c r="C5288" s="8" t="n">
        <v>1</v>
      </c>
      <c r="D5288" s="8" t="n">
        <v>136.3</v>
      </c>
      <c r="E5288" s="8" t="n">
        <v>0</v>
      </c>
      <c r="F5288" s="8" t="n">
        <v>0</v>
      </c>
    </row>
    <row r="5289" customFormat="false" ht="15" hidden="false" customHeight="true" outlineLevel="0" collapsed="false">
      <c r="A5289" s="8" t="s">
        <v>249</v>
      </c>
      <c r="B5289" s="8" t="s">
        <v>1285</v>
      </c>
      <c r="C5289" s="8" t="n">
        <v>4</v>
      </c>
      <c r="D5289" s="8" t="n">
        <v>545.2</v>
      </c>
      <c r="E5289" s="8" t="n">
        <v>0</v>
      </c>
      <c r="F5289" s="8" t="n">
        <v>0</v>
      </c>
    </row>
    <row r="5290" customFormat="false" ht="15" hidden="false" customHeight="true" outlineLevel="0" collapsed="false">
      <c r="A5290" s="8" t="s">
        <v>260</v>
      </c>
      <c r="B5290" s="8" t="s">
        <v>1285</v>
      </c>
      <c r="C5290" s="8" t="n">
        <v>2</v>
      </c>
      <c r="D5290" s="8" t="n">
        <v>272.6</v>
      </c>
      <c r="E5290" s="8" t="n">
        <v>0</v>
      </c>
      <c r="F5290" s="8" t="n">
        <v>0</v>
      </c>
    </row>
    <row r="5291" customFormat="false" ht="15" hidden="false" customHeight="true" outlineLevel="0" collapsed="false">
      <c r="A5291" s="8" t="s">
        <v>356</v>
      </c>
      <c r="B5291" s="8" t="s">
        <v>1285</v>
      </c>
      <c r="C5291" s="8" t="n">
        <v>0</v>
      </c>
      <c r="D5291" s="8" t="n">
        <v>0</v>
      </c>
      <c r="E5291" s="8" t="n">
        <v>1</v>
      </c>
      <c r="F5291" s="8" t="n">
        <v>136.3</v>
      </c>
    </row>
    <row r="5292" customFormat="false" ht="15" hidden="false" customHeight="true" outlineLevel="0" collapsed="false">
      <c r="A5292" s="8" t="s">
        <v>228</v>
      </c>
      <c r="B5292" s="8" t="s">
        <v>1275</v>
      </c>
      <c r="C5292" s="8" t="n">
        <v>2</v>
      </c>
      <c r="D5292" s="8" t="n">
        <v>28.5</v>
      </c>
      <c r="E5292" s="8" t="n">
        <v>0</v>
      </c>
      <c r="F5292" s="8" t="n">
        <v>0</v>
      </c>
    </row>
    <row r="5293" customFormat="false" ht="15" hidden="false" customHeight="true" outlineLevel="0" collapsed="false">
      <c r="A5293" s="8" t="s">
        <v>95</v>
      </c>
      <c r="B5293" s="8" t="s">
        <v>1247</v>
      </c>
      <c r="C5293" s="8" t="n">
        <v>2</v>
      </c>
      <c r="D5293" s="8" t="n">
        <v>50</v>
      </c>
      <c r="E5293" s="8" t="n">
        <v>0</v>
      </c>
      <c r="F5293" s="8" t="n">
        <v>0</v>
      </c>
    </row>
    <row r="5294" customFormat="false" ht="15" hidden="false" customHeight="true" outlineLevel="0" collapsed="false">
      <c r="A5294" s="8" t="s">
        <v>113</v>
      </c>
      <c r="B5294" s="8" t="s">
        <v>1247</v>
      </c>
      <c r="C5294" s="8" t="n">
        <v>2</v>
      </c>
      <c r="D5294" s="8" t="n">
        <v>50</v>
      </c>
      <c r="E5294" s="8" t="n">
        <v>0</v>
      </c>
      <c r="F5294" s="8" t="n">
        <v>0</v>
      </c>
    </row>
    <row r="5295" customFormat="false" ht="15" hidden="false" customHeight="true" outlineLevel="0" collapsed="false">
      <c r="A5295" s="8" t="s">
        <v>120</v>
      </c>
      <c r="B5295" s="8" t="s">
        <v>1247</v>
      </c>
      <c r="C5295" s="8" t="n">
        <v>3</v>
      </c>
      <c r="D5295" s="8" t="n">
        <v>75</v>
      </c>
      <c r="E5295" s="8" t="n">
        <v>0</v>
      </c>
      <c r="F5295" s="8" t="n">
        <v>0</v>
      </c>
    </row>
    <row r="5296" customFormat="false" ht="15" hidden="false" customHeight="true" outlineLevel="0" collapsed="false">
      <c r="A5296" s="8" t="s">
        <v>178</v>
      </c>
      <c r="B5296" s="8" t="s">
        <v>1236</v>
      </c>
      <c r="C5296" s="8" t="n">
        <v>2</v>
      </c>
      <c r="D5296" s="8" t="n">
        <v>70</v>
      </c>
      <c r="E5296" s="8" t="n">
        <v>0</v>
      </c>
      <c r="F5296" s="8" t="n">
        <v>0</v>
      </c>
    </row>
    <row r="5297" customFormat="false" ht="15" hidden="false" customHeight="true" outlineLevel="0" collapsed="false">
      <c r="A5297" s="8" t="s">
        <v>176</v>
      </c>
      <c r="B5297" s="8" t="s">
        <v>1236</v>
      </c>
      <c r="C5297" s="8" t="n">
        <v>2</v>
      </c>
      <c r="D5297" s="8" t="n">
        <v>70</v>
      </c>
      <c r="E5297" s="8" t="n">
        <v>0</v>
      </c>
      <c r="F5297" s="8" t="n">
        <v>0</v>
      </c>
    </row>
    <row r="5298" customFormat="false" ht="15" hidden="false" customHeight="true" outlineLevel="0" collapsed="false">
      <c r="A5298" s="8" t="s">
        <v>224</v>
      </c>
      <c r="B5298" s="8" t="s">
        <v>1236</v>
      </c>
      <c r="C5298" s="8" t="n">
        <v>4</v>
      </c>
      <c r="D5298" s="8" t="n">
        <v>140</v>
      </c>
      <c r="E5298" s="8" t="n">
        <v>0</v>
      </c>
      <c r="F5298" s="8" t="n">
        <v>0</v>
      </c>
    </row>
    <row r="5299" customFormat="false" ht="15" hidden="false" customHeight="true" outlineLevel="0" collapsed="false">
      <c r="A5299" s="8" t="s">
        <v>240</v>
      </c>
      <c r="B5299" s="8" t="s">
        <v>769</v>
      </c>
      <c r="C5299" s="8" t="n">
        <v>5</v>
      </c>
      <c r="D5299" s="8" t="n">
        <v>85</v>
      </c>
      <c r="E5299" s="8" t="n">
        <v>0</v>
      </c>
      <c r="F5299" s="8" t="n">
        <v>0</v>
      </c>
    </row>
    <row r="5300" customFormat="false" ht="15" hidden="false" customHeight="true" outlineLevel="0" collapsed="false">
      <c r="A5300" s="8" t="s">
        <v>234</v>
      </c>
      <c r="B5300" s="8" t="s">
        <v>769</v>
      </c>
      <c r="C5300" s="8" t="n">
        <v>9</v>
      </c>
      <c r="D5300" s="8" t="n">
        <v>153</v>
      </c>
      <c r="E5300" s="8" t="n">
        <v>0</v>
      </c>
      <c r="F5300" s="8" t="n">
        <v>0</v>
      </c>
    </row>
    <row r="5301" customFormat="false" ht="15" hidden="false" customHeight="true" outlineLevel="0" collapsed="false">
      <c r="A5301" s="8" t="s">
        <v>182</v>
      </c>
      <c r="B5301" s="8" t="s">
        <v>799</v>
      </c>
      <c r="C5301" s="8" t="n">
        <v>2</v>
      </c>
      <c r="D5301" s="8" t="n">
        <v>40</v>
      </c>
      <c r="E5301" s="8" t="n">
        <v>0</v>
      </c>
      <c r="F5301" s="8" t="n">
        <v>0</v>
      </c>
    </row>
    <row r="5302" customFormat="false" ht="15" hidden="false" customHeight="true" outlineLevel="0" collapsed="false">
      <c r="A5302" s="8" t="s">
        <v>167</v>
      </c>
      <c r="B5302" s="8" t="s">
        <v>1238</v>
      </c>
      <c r="C5302" s="8" t="n">
        <v>3</v>
      </c>
      <c r="D5302" s="8" t="n">
        <v>40.2</v>
      </c>
      <c r="E5302" s="8" t="n">
        <v>0</v>
      </c>
      <c r="F5302" s="8" t="n">
        <v>0</v>
      </c>
    </row>
    <row r="5303" customFormat="false" ht="15" hidden="false" customHeight="true" outlineLevel="0" collapsed="false">
      <c r="A5303" s="8" t="s">
        <v>275</v>
      </c>
      <c r="B5303" s="8" t="s">
        <v>1257</v>
      </c>
      <c r="C5303" s="8" t="n">
        <v>2</v>
      </c>
      <c r="D5303" s="8" t="n">
        <v>43.2</v>
      </c>
      <c r="E5303" s="8" t="n">
        <v>0</v>
      </c>
      <c r="F5303" s="8" t="n">
        <v>0</v>
      </c>
    </row>
    <row r="5304" customFormat="false" ht="15" hidden="false" customHeight="true" outlineLevel="0" collapsed="false">
      <c r="A5304" s="8" t="s">
        <v>264</v>
      </c>
      <c r="B5304" s="8" t="s">
        <v>1221</v>
      </c>
      <c r="C5304" s="8" t="n">
        <v>2</v>
      </c>
      <c r="D5304" s="8" t="n">
        <v>11.62</v>
      </c>
      <c r="E5304" s="8" t="n">
        <v>0</v>
      </c>
      <c r="F5304" s="8" t="n">
        <v>0</v>
      </c>
    </row>
    <row r="5305" customFormat="false" ht="15" hidden="false" customHeight="true" outlineLevel="0" collapsed="false">
      <c r="A5305" s="8" t="s">
        <v>252</v>
      </c>
      <c r="B5305" s="8" t="s">
        <v>1177</v>
      </c>
      <c r="C5305" s="8" t="n">
        <v>6</v>
      </c>
      <c r="D5305" s="8" t="n">
        <v>99.6</v>
      </c>
      <c r="E5305" s="8" t="n">
        <v>0</v>
      </c>
      <c r="F5305" s="8" t="n">
        <v>0</v>
      </c>
    </row>
    <row r="5306" customFormat="false" ht="15" hidden="false" customHeight="true" outlineLevel="0" collapsed="false">
      <c r="A5306" s="8" t="s">
        <v>203</v>
      </c>
      <c r="B5306" s="8" t="s">
        <v>1177</v>
      </c>
      <c r="C5306" s="8" t="n">
        <v>3</v>
      </c>
      <c r="D5306" s="8" t="n">
        <v>55.5</v>
      </c>
      <c r="E5306" s="8" t="n">
        <v>0</v>
      </c>
      <c r="F5306" s="8" t="n">
        <v>0</v>
      </c>
    </row>
    <row r="5307" customFormat="false" ht="15" hidden="false" customHeight="true" outlineLevel="0" collapsed="false">
      <c r="A5307" s="8" t="s">
        <v>248</v>
      </c>
      <c r="B5307" s="8" t="s">
        <v>1242</v>
      </c>
      <c r="C5307" s="8" t="n">
        <v>2</v>
      </c>
      <c r="D5307" s="8" t="n">
        <v>42</v>
      </c>
      <c r="E5307" s="8" t="n">
        <v>1</v>
      </c>
      <c r="F5307" s="8" t="n">
        <v>21</v>
      </c>
    </row>
    <row r="5308" customFormat="false" ht="15" hidden="false" customHeight="true" outlineLevel="0" collapsed="false">
      <c r="A5308" s="8" t="s">
        <v>196</v>
      </c>
      <c r="B5308" s="8" t="s">
        <v>1243</v>
      </c>
      <c r="C5308" s="8" t="n">
        <v>11</v>
      </c>
      <c r="D5308" s="8" t="n">
        <v>588.5</v>
      </c>
      <c r="E5308" s="8" t="n">
        <v>0</v>
      </c>
      <c r="F5308" s="8" t="n">
        <v>0</v>
      </c>
    </row>
    <row r="5309" customFormat="false" ht="15" hidden="false" customHeight="true" outlineLevel="0" collapsed="false">
      <c r="A5309" s="8" t="s">
        <v>212</v>
      </c>
      <c r="B5309" s="8" t="s">
        <v>1278</v>
      </c>
      <c r="C5309" s="8" t="n">
        <v>3</v>
      </c>
      <c r="D5309" s="8" t="n">
        <v>280.5</v>
      </c>
      <c r="E5309" s="8" t="n">
        <v>0</v>
      </c>
      <c r="F5309" s="8" t="n">
        <v>0</v>
      </c>
    </row>
    <row r="5310" customFormat="false" ht="15" hidden="false" customHeight="true" outlineLevel="0" collapsed="false">
      <c r="A5310" s="8" t="s">
        <v>312</v>
      </c>
      <c r="B5310" s="8" t="s">
        <v>767</v>
      </c>
      <c r="C5310" s="8" t="n">
        <v>1</v>
      </c>
      <c r="D5310" s="8" t="n">
        <v>20.5</v>
      </c>
      <c r="E5310" s="8" t="n">
        <v>0</v>
      </c>
      <c r="F5310" s="8" t="n">
        <v>0</v>
      </c>
    </row>
    <row r="5311" customFormat="false" ht="15" hidden="false" customHeight="true" outlineLevel="0" collapsed="false">
      <c r="A5311" s="8" t="s">
        <v>226</v>
      </c>
      <c r="B5311" s="8" t="s">
        <v>566</v>
      </c>
      <c r="C5311" s="8" t="n">
        <v>4</v>
      </c>
      <c r="D5311" s="8" t="n">
        <v>83.2</v>
      </c>
      <c r="E5311" s="8" t="n">
        <v>0</v>
      </c>
      <c r="F5311" s="8" t="n">
        <v>0</v>
      </c>
    </row>
    <row r="5312" customFormat="false" ht="15" hidden="false" customHeight="true" outlineLevel="0" collapsed="false">
      <c r="A5312" s="8" t="s">
        <v>262</v>
      </c>
      <c r="B5312" s="8" t="s">
        <v>1267</v>
      </c>
      <c r="C5312" s="8" t="n">
        <v>2</v>
      </c>
      <c r="D5312" s="8" t="n">
        <v>257.42</v>
      </c>
      <c r="E5312" s="8" t="n">
        <v>0</v>
      </c>
      <c r="F5312" s="8" t="n">
        <v>0</v>
      </c>
    </row>
    <row r="5313" customFormat="false" ht="15" hidden="false" customHeight="true" outlineLevel="0" collapsed="false">
      <c r="A5313" s="8" t="s">
        <v>172</v>
      </c>
      <c r="B5313" s="8" t="s">
        <v>1214</v>
      </c>
      <c r="C5313" s="8" t="n">
        <v>3</v>
      </c>
      <c r="D5313" s="8" t="n">
        <v>36.54</v>
      </c>
      <c r="E5313" s="8" t="n">
        <v>0</v>
      </c>
      <c r="F5313" s="8" t="n">
        <v>0</v>
      </c>
    </row>
    <row r="5314" customFormat="false" ht="15" hidden="false" customHeight="true" outlineLevel="0" collapsed="false">
      <c r="A5314" s="8" t="s">
        <v>168</v>
      </c>
      <c r="B5314" s="8" t="s">
        <v>1240</v>
      </c>
      <c r="C5314" s="8" t="n">
        <v>5</v>
      </c>
      <c r="D5314" s="8" t="n">
        <v>209.05</v>
      </c>
      <c r="E5314" s="8" t="n">
        <v>0</v>
      </c>
      <c r="F5314" s="8" t="n">
        <v>0</v>
      </c>
    </row>
    <row r="5315" customFormat="false" ht="15" hidden="false" customHeight="true" outlineLevel="0" collapsed="false">
      <c r="A5315" s="8" t="s">
        <v>198</v>
      </c>
      <c r="B5315" s="8" t="s">
        <v>1217</v>
      </c>
      <c r="C5315" s="8" t="n">
        <v>4</v>
      </c>
      <c r="D5315" s="8" t="n">
        <v>82</v>
      </c>
      <c r="E5315" s="8" t="n">
        <v>0</v>
      </c>
      <c r="F5315" s="8" t="n">
        <v>0</v>
      </c>
    </row>
    <row r="5316" customFormat="false" ht="15" hidden="false" customHeight="true" outlineLevel="0" collapsed="false">
      <c r="A5316" s="8" t="s">
        <v>205</v>
      </c>
      <c r="B5316" s="8" t="s">
        <v>1217</v>
      </c>
      <c r="C5316" s="8" t="n">
        <v>4</v>
      </c>
      <c r="D5316" s="8" t="n">
        <v>82</v>
      </c>
      <c r="E5316" s="8" t="n">
        <v>0</v>
      </c>
      <c r="F5316" s="8" t="n">
        <v>0</v>
      </c>
    </row>
    <row r="5317" customFormat="false" ht="15" hidden="false" customHeight="true" outlineLevel="0" collapsed="false">
      <c r="A5317" s="8" t="s">
        <v>113</v>
      </c>
      <c r="B5317" s="8" t="s">
        <v>1247</v>
      </c>
      <c r="C5317" s="8" t="n">
        <v>3</v>
      </c>
      <c r="D5317" s="8" t="n">
        <v>75</v>
      </c>
      <c r="E5317" s="8" t="n">
        <v>0</v>
      </c>
      <c r="F5317" s="8" t="n">
        <v>0</v>
      </c>
    </row>
    <row r="5318" customFormat="false" ht="15" hidden="false" customHeight="true" outlineLevel="0" collapsed="false">
      <c r="A5318" s="8" t="s">
        <v>99</v>
      </c>
      <c r="B5318" s="8" t="s">
        <v>1247</v>
      </c>
      <c r="C5318" s="8" t="n">
        <v>3</v>
      </c>
      <c r="D5318" s="8" t="n">
        <v>75</v>
      </c>
      <c r="E5318" s="8" t="n">
        <v>0</v>
      </c>
      <c r="F5318" s="8" t="n">
        <v>0</v>
      </c>
    </row>
    <row r="5319" customFormat="false" ht="15" hidden="false" customHeight="true" outlineLevel="0" collapsed="false">
      <c r="A5319" s="8" t="s">
        <v>120</v>
      </c>
      <c r="B5319" s="8" t="s">
        <v>1247</v>
      </c>
      <c r="C5319" s="8" t="n">
        <v>3</v>
      </c>
      <c r="D5319" s="8" t="n">
        <v>75</v>
      </c>
      <c r="E5319" s="8" t="n">
        <v>0</v>
      </c>
      <c r="F5319" s="8" t="n">
        <v>0</v>
      </c>
    </row>
    <row r="5320" customFormat="false" ht="15" hidden="false" customHeight="true" outlineLevel="0" collapsed="false">
      <c r="A5320" s="8" t="s">
        <v>303</v>
      </c>
      <c r="B5320" s="8" t="s">
        <v>1247</v>
      </c>
      <c r="C5320" s="8" t="n">
        <v>3</v>
      </c>
      <c r="D5320" s="8" t="n">
        <v>188.91</v>
      </c>
      <c r="E5320" s="8" t="n">
        <v>0</v>
      </c>
      <c r="F5320" s="8" t="n">
        <v>0</v>
      </c>
    </row>
    <row r="5321" customFormat="false" ht="15" hidden="false" customHeight="true" outlineLevel="0" collapsed="false">
      <c r="A5321" s="8" t="s">
        <v>178</v>
      </c>
      <c r="B5321" s="8" t="s">
        <v>1236</v>
      </c>
      <c r="C5321" s="8" t="n">
        <v>3</v>
      </c>
      <c r="D5321" s="8" t="n">
        <v>105</v>
      </c>
      <c r="E5321" s="8" t="n">
        <v>0</v>
      </c>
      <c r="F5321" s="8" t="n">
        <v>0</v>
      </c>
    </row>
    <row r="5322" customFormat="false" ht="15" hidden="false" customHeight="true" outlineLevel="0" collapsed="false">
      <c r="A5322" s="8" t="s">
        <v>176</v>
      </c>
      <c r="B5322" s="8" t="s">
        <v>1236</v>
      </c>
      <c r="C5322" s="8" t="n">
        <v>3</v>
      </c>
      <c r="D5322" s="8" t="n">
        <v>105</v>
      </c>
      <c r="E5322" s="8" t="n">
        <v>0</v>
      </c>
      <c r="F5322" s="8" t="n">
        <v>0</v>
      </c>
    </row>
    <row r="5323" customFormat="false" ht="15" hidden="false" customHeight="true" outlineLevel="0" collapsed="false">
      <c r="A5323" s="8" t="s">
        <v>235</v>
      </c>
      <c r="B5323" s="8" t="s">
        <v>1236</v>
      </c>
      <c r="C5323" s="8" t="n">
        <v>2</v>
      </c>
      <c r="D5323" s="8" t="n">
        <v>70</v>
      </c>
      <c r="E5323" s="8" t="n">
        <v>0</v>
      </c>
      <c r="F5323" s="8" t="n">
        <v>0</v>
      </c>
    </row>
    <row r="5324" customFormat="false" ht="15" hidden="false" customHeight="true" outlineLevel="0" collapsed="false">
      <c r="A5324" s="8" t="s">
        <v>224</v>
      </c>
      <c r="B5324" s="8" t="s">
        <v>1236</v>
      </c>
      <c r="C5324" s="8" t="n">
        <v>3</v>
      </c>
      <c r="D5324" s="8" t="n">
        <v>105</v>
      </c>
      <c r="E5324" s="8" t="n">
        <v>0</v>
      </c>
      <c r="F5324" s="8" t="n">
        <v>0</v>
      </c>
    </row>
    <row r="5325" customFormat="false" ht="15" hidden="false" customHeight="true" outlineLevel="0" collapsed="false">
      <c r="A5325" s="8" t="s">
        <v>170</v>
      </c>
      <c r="B5325" s="8" t="s">
        <v>1220</v>
      </c>
      <c r="C5325" s="8" t="n">
        <v>12</v>
      </c>
      <c r="D5325" s="8" t="n">
        <v>177.6</v>
      </c>
      <c r="E5325" s="8" t="n">
        <v>0</v>
      </c>
      <c r="F5325" s="8" t="n">
        <v>0</v>
      </c>
    </row>
    <row r="5326" customFormat="false" ht="15" hidden="false" customHeight="true" outlineLevel="0" collapsed="false">
      <c r="A5326" s="8" t="s">
        <v>165</v>
      </c>
      <c r="B5326" s="8" t="s">
        <v>897</v>
      </c>
      <c r="C5326" s="8" t="n">
        <v>0</v>
      </c>
      <c r="D5326" s="8" t="n">
        <v>0</v>
      </c>
      <c r="E5326" s="8" t="n">
        <v>1</v>
      </c>
      <c r="F5326" s="8" t="n">
        <v>65</v>
      </c>
    </row>
    <row r="5327" customFormat="false" ht="15" hidden="false" customHeight="true" outlineLevel="0" collapsed="false">
      <c r="A5327" s="8" t="s">
        <v>236</v>
      </c>
      <c r="B5327" s="8" t="s">
        <v>1223</v>
      </c>
      <c r="C5327" s="8" t="n">
        <v>1</v>
      </c>
      <c r="D5327" s="8" t="n">
        <v>77.8</v>
      </c>
      <c r="E5327" s="8" t="n">
        <v>0</v>
      </c>
      <c r="F5327" s="8" t="n">
        <v>0</v>
      </c>
    </row>
    <row r="5328" customFormat="false" ht="15" hidden="false" customHeight="true" outlineLevel="0" collapsed="false">
      <c r="A5328" s="8" t="s">
        <v>190</v>
      </c>
      <c r="B5328" s="8" t="s">
        <v>1224</v>
      </c>
      <c r="C5328" s="8" t="n">
        <v>3</v>
      </c>
      <c r="D5328" s="8" t="n">
        <v>73.29</v>
      </c>
      <c r="E5328" s="8" t="n">
        <v>0</v>
      </c>
      <c r="F5328" s="8" t="n">
        <v>0</v>
      </c>
    </row>
    <row r="5329" customFormat="false" ht="15" hidden="false" customHeight="true" outlineLevel="0" collapsed="false">
      <c r="A5329" s="8" t="s">
        <v>218</v>
      </c>
      <c r="B5329" s="8" t="s">
        <v>1224</v>
      </c>
      <c r="C5329" s="8" t="n">
        <v>1</v>
      </c>
      <c r="D5329" s="8" t="n">
        <v>24.43</v>
      </c>
      <c r="E5329" s="8" t="n">
        <v>0</v>
      </c>
      <c r="F5329" s="8" t="n">
        <v>0</v>
      </c>
    </row>
    <row r="5330" customFormat="false" ht="15" hidden="false" customHeight="true" outlineLevel="0" collapsed="false">
      <c r="A5330" s="8" t="s">
        <v>231</v>
      </c>
      <c r="B5330" s="8" t="s">
        <v>1224</v>
      </c>
      <c r="C5330" s="8" t="n">
        <v>2</v>
      </c>
      <c r="D5330" s="8" t="n">
        <v>48.86</v>
      </c>
      <c r="E5330" s="8" t="n">
        <v>0</v>
      </c>
      <c r="F5330" s="8" t="n">
        <v>0</v>
      </c>
    </row>
    <row r="5331" customFormat="false" ht="15" hidden="false" customHeight="true" outlineLevel="0" collapsed="false">
      <c r="A5331" s="8" t="s">
        <v>161</v>
      </c>
      <c r="B5331" s="8" t="s">
        <v>1208</v>
      </c>
      <c r="C5331" s="8" t="n">
        <v>6</v>
      </c>
      <c r="D5331" s="8" t="n">
        <v>273</v>
      </c>
      <c r="E5331" s="8" t="n">
        <v>0</v>
      </c>
      <c r="F5331" s="8" t="n">
        <v>0</v>
      </c>
    </row>
    <row r="5332" customFormat="false" ht="15" hidden="false" customHeight="true" outlineLevel="0" collapsed="false">
      <c r="A5332" s="8" t="s">
        <v>162</v>
      </c>
      <c r="B5332" s="8" t="s">
        <v>1209</v>
      </c>
      <c r="C5332" s="8" t="n">
        <v>0</v>
      </c>
      <c r="D5332" s="8" t="n">
        <v>0</v>
      </c>
      <c r="E5332" s="8" t="n">
        <v>1</v>
      </c>
      <c r="F5332" s="8" t="n">
        <v>77.8</v>
      </c>
    </row>
    <row r="5333" customFormat="false" ht="15" hidden="false" customHeight="true" outlineLevel="0" collapsed="false">
      <c r="A5333" s="8" t="s">
        <v>166</v>
      </c>
      <c r="B5333" s="8" t="s">
        <v>1211</v>
      </c>
      <c r="C5333" s="8" t="n">
        <v>2</v>
      </c>
      <c r="D5333" s="8" t="n">
        <v>126.54</v>
      </c>
      <c r="E5333" s="8" t="n">
        <v>0</v>
      </c>
      <c r="F5333" s="8" t="n">
        <v>0</v>
      </c>
    </row>
    <row r="5334" customFormat="false" ht="15" hidden="false" customHeight="true" outlineLevel="0" collapsed="false">
      <c r="A5334" s="8" t="s">
        <v>187</v>
      </c>
      <c r="B5334" s="8" t="s">
        <v>1211</v>
      </c>
      <c r="C5334" s="8" t="n">
        <v>0</v>
      </c>
      <c r="D5334" s="8" t="n">
        <v>0</v>
      </c>
      <c r="E5334" s="8" t="n">
        <v>2</v>
      </c>
      <c r="F5334" s="8" t="n">
        <v>126.54</v>
      </c>
    </row>
    <row r="5335" customFormat="false" ht="15" hidden="false" customHeight="true" outlineLevel="0" collapsed="false">
      <c r="A5335" s="8" t="s">
        <v>270</v>
      </c>
      <c r="B5335" s="8" t="s">
        <v>1251</v>
      </c>
      <c r="C5335" s="8" t="n">
        <v>0</v>
      </c>
      <c r="D5335" s="8" t="n">
        <v>0</v>
      </c>
      <c r="E5335" s="8" t="n">
        <v>2</v>
      </c>
      <c r="F5335" s="8" t="n">
        <v>19.64</v>
      </c>
    </row>
    <row r="5336" customFormat="false" ht="15" hidden="false" customHeight="true" outlineLevel="0" collapsed="false">
      <c r="A5336" s="8" t="s">
        <v>188</v>
      </c>
      <c r="B5336" s="8" t="s">
        <v>1225</v>
      </c>
      <c r="C5336" s="8" t="n">
        <v>0</v>
      </c>
      <c r="D5336" s="8" t="n">
        <v>0</v>
      </c>
      <c r="E5336" s="8" t="n">
        <v>1</v>
      </c>
      <c r="F5336" s="8" t="n">
        <v>28.93</v>
      </c>
    </row>
    <row r="5337" customFormat="false" ht="15" hidden="false" customHeight="true" outlineLevel="0" collapsed="false">
      <c r="A5337" s="8" t="s">
        <v>210</v>
      </c>
      <c r="B5337" s="8" t="s">
        <v>1225</v>
      </c>
      <c r="C5337" s="8" t="n">
        <v>0</v>
      </c>
      <c r="D5337" s="8" t="n">
        <v>0</v>
      </c>
      <c r="E5337" s="8" t="n">
        <v>1</v>
      </c>
      <c r="F5337" s="8" t="n">
        <v>28.93</v>
      </c>
    </row>
    <row r="5338" customFormat="false" ht="15" hidden="false" customHeight="true" outlineLevel="0" collapsed="false">
      <c r="A5338" s="8" t="s">
        <v>238</v>
      </c>
      <c r="B5338" s="8" t="s">
        <v>1226</v>
      </c>
      <c r="C5338" s="8" t="n">
        <v>0</v>
      </c>
      <c r="D5338" s="8" t="n">
        <v>0</v>
      </c>
      <c r="E5338" s="8" t="n">
        <v>2</v>
      </c>
      <c r="F5338" s="8" t="n">
        <v>84.34</v>
      </c>
    </row>
    <row r="5339" customFormat="false" ht="15" hidden="false" customHeight="true" outlineLevel="0" collapsed="false">
      <c r="A5339" s="8" t="s">
        <v>314</v>
      </c>
      <c r="B5339" s="8" t="s">
        <v>1226</v>
      </c>
      <c r="C5339" s="8" t="n">
        <v>0</v>
      </c>
      <c r="D5339" s="8" t="n">
        <v>0</v>
      </c>
      <c r="E5339" s="8" t="n">
        <v>1</v>
      </c>
      <c r="F5339" s="8" t="n">
        <v>42.17</v>
      </c>
    </row>
    <row r="5340" customFormat="false" ht="15" hidden="false" customHeight="true" outlineLevel="0" collapsed="false">
      <c r="A5340" s="8" t="s">
        <v>271</v>
      </c>
      <c r="B5340" s="8" t="s">
        <v>1260</v>
      </c>
      <c r="C5340" s="8" t="n">
        <v>3</v>
      </c>
      <c r="D5340" s="8" t="n">
        <v>70.2</v>
      </c>
      <c r="E5340" s="8" t="n">
        <v>0</v>
      </c>
      <c r="F5340" s="8" t="n">
        <v>0</v>
      </c>
    </row>
    <row r="5341" customFormat="false" ht="15" hidden="false" customHeight="true" outlineLevel="0" collapsed="false">
      <c r="A5341" s="8" t="s">
        <v>251</v>
      </c>
      <c r="B5341" s="8" t="s">
        <v>1262</v>
      </c>
      <c r="C5341" s="8" t="n">
        <v>4</v>
      </c>
      <c r="D5341" s="8" t="n">
        <v>38.84</v>
      </c>
      <c r="E5341" s="8" t="n">
        <v>0</v>
      </c>
      <c r="F5341" s="8" t="n">
        <v>0</v>
      </c>
    </row>
    <row r="5342" customFormat="false" ht="15" hidden="false" customHeight="true" outlineLevel="0" collapsed="false">
      <c r="A5342" s="8" t="s">
        <v>308</v>
      </c>
      <c r="B5342" s="8" t="s">
        <v>1229</v>
      </c>
      <c r="C5342" s="8" t="n">
        <v>0</v>
      </c>
      <c r="D5342" s="8" t="n">
        <v>0</v>
      </c>
      <c r="E5342" s="8" t="n">
        <v>3</v>
      </c>
      <c r="F5342" s="8" t="n">
        <v>24.24</v>
      </c>
    </row>
    <row r="5343" customFormat="false" ht="15" hidden="false" customHeight="true" outlineLevel="0" collapsed="false">
      <c r="A5343" s="8" t="s">
        <v>172</v>
      </c>
      <c r="B5343" s="8" t="s">
        <v>1214</v>
      </c>
      <c r="C5343" s="8" t="n">
        <v>3</v>
      </c>
      <c r="D5343" s="8" t="n">
        <v>36.54</v>
      </c>
      <c r="E5343" s="8" t="n">
        <v>0</v>
      </c>
      <c r="F5343" s="8" t="n">
        <v>0</v>
      </c>
    </row>
    <row r="5344" customFormat="false" ht="15" hidden="false" customHeight="true" outlineLevel="0" collapsed="false">
      <c r="A5344" s="8" t="s">
        <v>215</v>
      </c>
      <c r="B5344" s="8" t="s">
        <v>1233</v>
      </c>
      <c r="C5344" s="8" t="n">
        <v>1</v>
      </c>
      <c r="D5344" s="8" t="n">
        <v>17.82</v>
      </c>
      <c r="E5344" s="8" t="n">
        <v>0</v>
      </c>
      <c r="F5344" s="8" t="n">
        <v>0</v>
      </c>
    </row>
    <row r="5345" customFormat="false" ht="15" hidden="false" customHeight="true" outlineLevel="0" collapsed="false">
      <c r="A5345" s="8" t="s">
        <v>168</v>
      </c>
      <c r="B5345" s="8" t="s">
        <v>1240</v>
      </c>
      <c r="C5345" s="8" t="n">
        <v>11</v>
      </c>
      <c r="D5345" s="8" t="n">
        <v>459.91</v>
      </c>
      <c r="E5345" s="8" t="n">
        <v>0</v>
      </c>
      <c r="F5345" s="8" t="n">
        <v>0</v>
      </c>
    </row>
    <row r="5346" customFormat="false" ht="15" hidden="false" customHeight="true" outlineLevel="0" collapsed="false">
      <c r="A5346" s="8" t="s">
        <v>180</v>
      </c>
      <c r="B5346" s="8" t="s">
        <v>1216</v>
      </c>
      <c r="C5346" s="8" t="n">
        <v>8</v>
      </c>
      <c r="D5346" s="8" t="n">
        <v>132</v>
      </c>
      <c r="E5346" s="8" t="n">
        <v>0</v>
      </c>
      <c r="F5346" s="8" t="n">
        <v>0</v>
      </c>
    </row>
    <row r="5347" customFormat="false" ht="15" hidden="false" customHeight="true" outlineLevel="0" collapsed="false">
      <c r="A5347" s="8" t="s">
        <v>189</v>
      </c>
      <c r="B5347" s="8" t="s">
        <v>1216</v>
      </c>
      <c r="C5347" s="8" t="n">
        <v>7</v>
      </c>
      <c r="D5347" s="8" t="n">
        <v>115.5</v>
      </c>
      <c r="E5347" s="8" t="n">
        <v>0</v>
      </c>
      <c r="F5347" s="8" t="n">
        <v>0</v>
      </c>
    </row>
    <row r="5348" customFormat="false" ht="15" hidden="false" customHeight="true" outlineLevel="0" collapsed="false">
      <c r="A5348" s="8" t="s">
        <v>199</v>
      </c>
      <c r="B5348" s="8" t="s">
        <v>1216</v>
      </c>
      <c r="C5348" s="8" t="n">
        <v>6</v>
      </c>
      <c r="D5348" s="8" t="n">
        <v>99</v>
      </c>
      <c r="E5348" s="8" t="n">
        <v>0</v>
      </c>
      <c r="F5348" s="8" t="n">
        <v>0</v>
      </c>
    </row>
    <row r="5349" customFormat="false" ht="15" hidden="false" customHeight="true" outlineLevel="0" collapsed="false">
      <c r="A5349" s="8" t="s">
        <v>250</v>
      </c>
      <c r="B5349" s="8" t="s">
        <v>1216</v>
      </c>
      <c r="C5349" s="8" t="n">
        <v>1</v>
      </c>
      <c r="D5349" s="8" t="n">
        <v>16.5</v>
      </c>
      <c r="E5349" s="8" t="n">
        <v>0</v>
      </c>
      <c r="F5349" s="8" t="n">
        <v>0</v>
      </c>
    </row>
    <row r="5350" customFormat="false" ht="15" hidden="false" customHeight="true" outlineLevel="0" collapsed="false">
      <c r="A5350" s="8" t="s">
        <v>249</v>
      </c>
      <c r="B5350" s="8" t="s">
        <v>1285</v>
      </c>
      <c r="C5350" s="8" t="n">
        <v>1</v>
      </c>
      <c r="D5350" s="8" t="n">
        <v>136.3</v>
      </c>
      <c r="E5350" s="8" t="n">
        <v>0</v>
      </c>
      <c r="F5350" s="8" t="n">
        <v>0</v>
      </c>
    </row>
    <row r="5351" customFormat="false" ht="15" hidden="false" customHeight="true" outlineLevel="0" collapsed="false">
      <c r="A5351" s="8" t="s">
        <v>178</v>
      </c>
      <c r="B5351" s="8" t="s">
        <v>1236</v>
      </c>
      <c r="C5351" s="8" t="n">
        <v>3</v>
      </c>
      <c r="D5351" s="8" t="n">
        <v>105</v>
      </c>
      <c r="E5351" s="8" t="n">
        <v>0</v>
      </c>
      <c r="F5351" s="8" t="n">
        <v>0</v>
      </c>
    </row>
    <row r="5352" customFormat="false" ht="15" hidden="false" customHeight="true" outlineLevel="0" collapsed="false">
      <c r="A5352" s="8" t="s">
        <v>176</v>
      </c>
      <c r="B5352" s="8" t="s">
        <v>1236</v>
      </c>
      <c r="C5352" s="8" t="n">
        <v>2</v>
      </c>
      <c r="D5352" s="8" t="n">
        <v>70</v>
      </c>
      <c r="E5352" s="8" t="n">
        <v>0</v>
      </c>
      <c r="F5352" s="8" t="n">
        <v>0</v>
      </c>
    </row>
    <row r="5353" customFormat="false" ht="15" hidden="false" customHeight="true" outlineLevel="0" collapsed="false">
      <c r="A5353" s="8" t="s">
        <v>240</v>
      </c>
      <c r="B5353" s="8" t="s">
        <v>769</v>
      </c>
      <c r="C5353" s="8" t="n">
        <v>0</v>
      </c>
      <c r="D5353" s="8" t="n">
        <v>0</v>
      </c>
      <c r="E5353" s="8" t="n">
        <v>1</v>
      </c>
      <c r="F5353" s="8" t="n">
        <v>17</v>
      </c>
    </row>
    <row r="5354" customFormat="false" ht="15" hidden="false" customHeight="true" outlineLevel="0" collapsed="false">
      <c r="A5354" s="8" t="s">
        <v>182</v>
      </c>
      <c r="B5354" s="8" t="s">
        <v>799</v>
      </c>
      <c r="C5354" s="8" t="n">
        <v>0</v>
      </c>
      <c r="D5354" s="8" t="n">
        <v>0</v>
      </c>
      <c r="E5354" s="8" t="n">
        <v>1</v>
      </c>
      <c r="F5354" s="8" t="n">
        <v>20</v>
      </c>
    </row>
    <row r="5355" customFormat="false" ht="15" hidden="false" customHeight="true" outlineLevel="0" collapsed="false">
      <c r="A5355" s="8" t="s">
        <v>170</v>
      </c>
      <c r="B5355" s="8" t="s">
        <v>1220</v>
      </c>
      <c r="C5355" s="8" t="n">
        <v>12</v>
      </c>
      <c r="D5355" s="8" t="n">
        <v>177.6</v>
      </c>
      <c r="E5355" s="8" t="n">
        <v>0</v>
      </c>
      <c r="F5355" s="8" t="n">
        <v>0</v>
      </c>
    </row>
    <row r="5356" customFormat="false" ht="15" hidden="false" customHeight="true" outlineLevel="0" collapsed="false">
      <c r="A5356" s="8" t="s">
        <v>167</v>
      </c>
      <c r="B5356" s="8" t="s">
        <v>1238</v>
      </c>
      <c r="C5356" s="8" t="n">
        <v>8</v>
      </c>
      <c r="D5356" s="8" t="n">
        <v>107.2</v>
      </c>
      <c r="E5356" s="8" t="n">
        <v>0</v>
      </c>
      <c r="F5356" s="8" t="n">
        <v>0</v>
      </c>
    </row>
    <row r="5357" customFormat="false" ht="15" hidden="false" customHeight="true" outlineLevel="0" collapsed="false">
      <c r="A5357" s="8" t="s">
        <v>275</v>
      </c>
      <c r="B5357" s="8" t="s">
        <v>1257</v>
      </c>
      <c r="C5357" s="8" t="n">
        <v>7</v>
      </c>
      <c r="D5357" s="8" t="n">
        <v>151.2</v>
      </c>
      <c r="E5357" s="8" t="n">
        <v>0</v>
      </c>
      <c r="F5357" s="8" t="n">
        <v>0</v>
      </c>
    </row>
    <row r="5358" customFormat="false" ht="15" hidden="false" customHeight="true" outlineLevel="0" collapsed="false">
      <c r="A5358" s="8" t="s">
        <v>163</v>
      </c>
      <c r="B5358" s="8" t="s">
        <v>897</v>
      </c>
      <c r="C5358" s="8" t="n">
        <v>4</v>
      </c>
      <c r="D5358" s="8" t="n">
        <v>260</v>
      </c>
      <c r="E5358" s="8" t="n">
        <v>0</v>
      </c>
      <c r="F5358" s="8" t="n">
        <v>0</v>
      </c>
    </row>
    <row r="5359" customFormat="false" ht="15" hidden="false" customHeight="true" outlineLevel="0" collapsed="false">
      <c r="A5359" s="8" t="s">
        <v>165</v>
      </c>
      <c r="B5359" s="8" t="s">
        <v>897</v>
      </c>
      <c r="C5359" s="8" t="n">
        <v>0</v>
      </c>
      <c r="D5359" s="8" t="n">
        <v>0</v>
      </c>
      <c r="E5359" s="8" t="n">
        <v>1</v>
      </c>
      <c r="F5359" s="8" t="n">
        <v>65</v>
      </c>
    </row>
    <row r="5360" customFormat="false" ht="15" hidden="false" customHeight="true" outlineLevel="0" collapsed="false">
      <c r="A5360" s="8" t="s">
        <v>184</v>
      </c>
      <c r="B5360" s="8" t="s">
        <v>897</v>
      </c>
      <c r="C5360" s="8" t="n">
        <v>0</v>
      </c>
      <c r="D5360" s="8" t="n">
        <v>0</v>
      </c>
      <c r="E5360" s="8" t="n">
        <v>1</v>
      </c>
      <c r="F5360" s="8" t="n">
        <v>65</v>
      </c>
    </row>
    <row r="5361" customFormat="false" ht="15" hidden="false" customHeight="true" outlineLevel="0" collapsed="false">
      <c r="A5361" s="8" t="s">
        <v>175</v>
      </c>
      <c r="B5361" s="8" t="s">
        <v>1244</v>
      </c>
      <c r="C5361" s="8" t="n">
        <v>2</v>
      </c>
      <c r="D5361" s="8" t="n">
        <v>351</v>
      </c>
      <c r="E5361" s="8" t="n">
        <v>0</v>
      </c>
      <c r="F5361" s="8" t="n">
        <v>0</v>
      </c>
    </row>
    <row r="5362" customFormat="false" ht="15" hidden="false" customHeight="true" outlineLevel="0" collapsed="false">
      <c r="A5362" s="8" t="s">
        <v>173</v>
      </c>
      <c r="B5362" s="8" t="s">
        <v>1244</v>
      </c>
      <c r="C5362" s="8" t="n">
        <v>3</v>
      </c>
      <c r="D5362" s="8" t="n">
        <v>526.5</v>
      </c>
      <c r="E5362" s="8" t="n">
        <v>1</v>
      </c>
      <c r="F5362" s="8" t="n">
        <v>175.5</v>
      </c>
    </row>
    <row r="5363" customFormat="false" ht="15" hidden="false" customHeight="true" outlineLevel="0" collapsed="false">
      <c r="A5363" s="8" t="s">
        <v>191</v>
      </c>
      <c r="B5363" s="8" t="s">
        <v>1179</v>
      </c>
      <c r="C5363" s="8" t="n">
        <v>0</v>
      </c>
      <c r="D5363" s="8" t="n">
        <v>0</v>
      </c>
      <c r="E5363" s="8" t="n">
        <v>1</v>
      </c>
      <c r="F5363" s="8" t="n">
        <v>72.34</v>
      </c>
    </row>
    <row r="5364" customFormat="false" ht="15" hidden="false" customHeight="true" outlineLevel="0" collapsed="false">
      <c r="A5364" s="8" t="s">
        <v>190</v>
      </c>
      <c r="B5364" s="8" t="s">
        <v>1224</v>
      </c>
      <c r="C5364" s="8" t="n">
        <v>2</v>
      </c>
      <c r="D5364" s="8" t="n">
        <v>48.86</v>
      </c>
      <c r="E5364" s="8" t="n">
        <v>2</v>
      </c>
      <c r="F5364" s="8" t="n">
        <v>48.86</v>
      </c>
    </row>
    <row r="5365" customFormat="false" ht="15" hidden="false" customHeight="true" outlineLevel="0" collapsed="false">
      <c r="A5365" s="8" t="s">
        <v>183</v>
      </c>
      <c r="B5365" s="8" t="s">
        <v>1224</v>
      </c>
      <c r="C5365" s="8" t="n">
        <v>3</v>
      </c>
      <c r="D5365" s="8" t="n">
        <v>73.29</v>
      </c>
      <c r="E5365" s="8" t="n">
        <v>0</v>
      </c>
      <c r="F5365" s="8" t="n">
        <v>0</v>
      </c>
    </row>
    <row r="5366" customFormat="false" ht="15" hidden="false" customHeight="true" outlineLevel="0" collapsed="false">
      <c r="A5366" s="8" t="s">
        <v>218</v>
      </c>
      <c r="B5366" s="8" t="s">
        <v>1224</v>
      </c>
      <c r="C5366" s="8" t="n">
        <v>0</v>
      </c>
      <c r="D5366" s="8" t="n">
        <v>0</v>
      </c>
      <c r="E5366" s="8" t="n">
        <v>2</v>
      </c>
      <c r="F5366" s="8" t="n">
        <v>48.86</v>
      </c>
    </row>
    <row r="5367" customFormat="false" ht="15" hidden="false" customHeight="true" outlineLevel="0" collapsed="false">
      <c r="A5367" s="8" t="s">
        <v>161</v>
      </c>
      <c r="B5367" s="8" t="s">
        <v>1208</v>
      </c>
      <c r="C5367" s="8" t="n">
        <v>4</v>
      </c>
      <c r="D5367" s="8" t="n">
        <v>182</v>
      </c>
      <c r="E5367" s="8" t="n">
        <v>3</v>
      </c>
      <c r="F5367" s="8" t="n">
        <v>136.5</v>
      </c>
    </row>
    <row r="5368" customFormat="false" ht="15" hidden="false" customHeight="true" outlineLevel="0" collapsed="false">
      <c r="A5368" s="8" t="s">
        <v>162</v>
      </c>
      <c r="B5368" s="8" t="s">
        <v>1209</v>
      </c>
      <c r="C5368" s="8" t="n">
        <v>1</v>
      </c>
      <c r="D5368" s="8" t="n">
        <v>77.8</v>
      </c>
      <c r="E5368" s="8" t="n">
        <v>0</v>
      </c>
      <c r="F5368" s="8" t="n">
        <v>0</v>
      </c>
    </row>
    <row r="5369" customFormat="false" ht="15" hidden="false" customHeight="true" outlineLevel="0" collapsed="false">
      <c r="A5369" s="8" t="s">
        <v>171</v>
      </c>
      <c r="B5369" s="8" t="s">
        <v>1210</v>
      </c>
      <c r="C5369" s="8" t="n">
        <v>2</v>
      </c>
      <c r="D5369" s="8" t="n">
        <v>94.46</v>
      </c>
      <c r="E5369" s="8" t="n">
        <v>0</v>
      </c>
      <c r="F5369" s="8" t="n">
        <v>0</v>
      </c>
    </row>
    <row r="5370" customFormat="false" ht="15" hidden="false" customHeight="true" outlineLevel="0" collapsed="false">
      <c r="A5370" s="8" t="s">
        <v>174</v>
      </c>
      <c r="B5370" s="8" t="s">
        <v>1210</v>
      </c>
      <c r="C5370" s="8" t="n">
        <v>2</v>
      </c>
      <c r="D5370" s="8" t="n">
        <v>94.46</v>
      </c>
      <c r="E5370" s="8" t="n">
        <v>0</v>
      </c>
      <c r="F5370" s="8" t="n">
        <v>0</v>
      </c>
    </row>
    <row r="5371" customFormat="false" ht="15" hidden="false" customHeight="true" outlineLevel="0" collapsed="false">
      <c r="A5371" s="8" t="s">
        <v>166</v>
      </c>
      <c r="B5371" s="8" t="s">
        <v>1211</v>
      </c>
      <c r="C5371" s="8" t="n">
        <v>2</v>
      </c>
      <c r="D5371" s="8" t="n">
        <v>126.54</v>
      </c>
      <c r="E5371" s="8" t="n">
        <v>0</v>
      </c>
      <c r="F5371" s="8" t="n">
        <v>0</v>
      </c>
    </row>
    <row r="5372" customFormat="false" ht="15" hidden="false" customHeight="true" outlineLevel="0" collapsed="false">
      <c r="A5372" s="8" t="s">
        <v>222</v>
      </c>
      <c r="B5372" s="8" t="s">
        <v>1211</v>
      </c>
      <c r="C5372" s="8" t="n">
        <v>8</v>
      </c>
      <c r="D5372" s="8" t="n">
        <v>506.16</v>
      </c>
      <c r="E5372" s="8" t="n">
        <v>0</v>
      </c>
      <c r="F5372" s="8" t="n">
        <v>0</v>
      </c>
    </row>
    <row r="5373" customFormat="false" ht="15" hidden="false" customHeight="true" outlineLevel="0" collapsed="false">
      <c r="A5373" s="8" t="s">
        <v>241</v>
      </c>
      <c r="B5373" s="8" t="s">
        <v>1227</v>
      </c>
      <c r="C5373" s="8" t="n">
        <v>8</v>
      </c>
      <c r="D5373" s="8" t="n">
        <v>136</v>
      </c>
      <c r="E5373" s="8" t="n">
        <v>0</v>
      </c>
      <c r="F5373" s="8" t="n">
        <v>0</v>
      </c>
    </row>
    <row r="5374" customFormat="false" ht="15" hidden="false" customHeight="true" outlineLevel="0" collapsed="false">
      <c r="A5374" s="8" t="s">
        <v>219</v>
      </c>
      <c r="B5374" s="8" t="s">
        <v>1227</v>
      </c>
      <c r="C5374" s="8" t="n">
        <v>8</v>
      </c>
      <c r="D5374" s="8" t="n">
        <v>136</v>
      </c>
      <c r="E5374" s="8" t="n">
        <v>0</v>
      </c>
      <c r="F5374" s="8" t="n">
        <v>0</v>
      </c>
    </row>
    <row r="5375" customFormat="false" ht="15" hidden="false" customHeight="true" outlineLevel="0" collapsed="false">
      <c r="A5375" s="8" t="s">
        <v>292</v>
      </c>
      <c r="B5375" s="8" t="s">
        <v>1227</v>
      </c>
      <c r="C5375" s="8" t="n">
        <v>2</v>
      </c>
      <c r="D5375" s="8" t="n">
        <v>34</v>
      </c>
      <c r="E5375" s="8" t="n">
        <v>0</v>
      </c>
      <c r="F5375" s="8" t="n">
        <v>0</v>
      </c>
    </row>
    <row r="5376" customFormat="false" ht="15" hidden="false" customHeight="true" outlineLevel="0" collapsed="false">
      <c r="A5376" s="8" t="s">
        <v>223</v>
      </c>
      <c r="B5376" s="8" t="s">
        <v>1227</v>
      </c>
      <c r="C5376" s="8" t="n">
        <v>3</v>
      </c>
      <c r="D5376" s="8" t="n">
        <v>51</v>
      </c>
      <c r="E5376" s="8" t="n">
        <v>0</v>
      </c>
      <c r="F5376" s="8" t="n">
        <v>0</v>
      </c>
    </row>
    <row r="5377" customFormat="false" ht="15" hidden="false" customHeight="true" outlineLevel="0" collapsed="false">
      <c r="A5377" s="8" t="s">
        <v>368</v>
      </c>
      <c r="B5377" s="8" t="s">
        <v>1227</v>
      </c>
      <c r="C5377" s="8" t="n">
        <v>0</v>
      </c>
      <c r="D5377" s="8" t="n">
        <v>0</v>
      </c>
      <c r="E5377" s="8" t="n">
        <v>2</v>
      </c>
      <c r="F5377" s="8" t="n">
        <v>34</v>
      </c>
    </row>
    <row r="5378" customFormat="false" ht="15" hidden="false" customHeight="true" outlineLevel="0" collapsed="false">
      <c r="A5378" s="8" t="s">
        <v>287</v>
      </c>
      <c r="B5378" s="8" t="s">
        <v>1227</v>
      </c>
      <c r="C5378" s="8" t="n">
        <v>4</v>
      </c>
      <c r="D5378" s="8" t="n">
        <v>68</v>
      </c>
      <c r="E5378" s="8" t="n">
        <v>0</v>
      </c>
      <c r="F5378" s="8" t="n">
        <v>0</v>
      </c>
    </row>
    <row r="5379" customFormat="false" ht="15" hidden="false" customHeight="true" outlineLevel="0" collapsed="false">
      <c r="A5379" s="8" t="s">
        <v>237</v>
      </c>
      <c r="B5379" s="8" t="s">
        <v>1259</v>
      </c>
      <c r="C5379" s="8" t="n">
        <v>1</v>
      </c>
      <c r="D5379" s="8" t="n">
        <v>18.45</v>
      </c>
      <c r="E5379" s="8" t="n">
        <v>0</v>
      </c>
      <c r="F5379" s="8" t="n">
        <v>0</v>
      </c>
    </row>
    <row r="5380" customFormat="false" ht="15" hidden="false" customHeight="true" outlineLevel="0" collapsed="false">
      <c r="A5380" s="8" t="s">
        <v>266</v>
      </c>
      <c r="B5380" s="8" t="s">
        <v>1228</v>
      </c>
      <c r="C5380" s="8" t="n">
        <v>3</v>
      </c>
      <c r="D5380" s="8" t="n">
        <v>59.76</v>
      </c>
      <c r="E5380" s="8" t="n">
        <v>2</v>
      </c>
      <c r="F5380" s="8" t="n">
        <v>39.84</v>
      </c>
    </row>
    <row r="5381" customFormat="false" ht="15" hidden="false" customHeight="true" outlineLevel="0" collapsed="false">
      <c r="A5381" s="8" t="s">
        <v>202</v>
      </c>
      <c r="B5381" s="8" t="s">
        <v>1212</v>
      </c>
      <c r="C5381" s="8" t="n">
        <v>5</v>
      </c>
      <c r="D5381" s="8" t="n">
        <v>47.5</v>
      </c>
      <c r="E5381" s="8" t="n">
        <v>0</v>
      </c>
      <c r="F5381" s="8" t="n">
        <v>0</v>
      </c>
    </row>
    <row r="5382" customFormat="false" ht="15" hidden="false" customHeight="true" outlineLevel="0" collapsed="false">
      <c r="A5382" s="8" t="s">
        <v>244</v>
      </c>
      <c r="B5382" s="8" t="s">
        <v>1213</v>
      </c>
      <c r="C5382" s="8" t="n">
        <v>0</v>
      </c>
      <c r="D5382" s="8" t="n">
        <v>0</v>
      </c>
      <c r="E5382" s="8" t="n">
        <v>1</v>
      </c>
      <c r="F5382" s="8" t="n">
        <v>9.5</v>
      </c>
    </row>
    <row r="5383" customFormat="false" ht="15" hidden="false" customHeight="true" outlineLevel="0" collapsed="false">
      <c r="A5383" s="8" t="s">
        <v>243</v>
      </c>
      <c r="B5383" s="8" t="s">
        <v>1253</v>
      </c>
      <c r="C5383" s="8" t="n">
        <v>3</v>
      </c>
      <c r="D5383" s="8" t="n">
        <v>38.85</v>
      </c>
      <c r="E5383" s="8" t="n">
        <v>0</v>
      </c>
      <c r="F5383" s="8" t="n">
        <v>0</v>
      </c>
    </row>
    <row r="5384" customFormat="false" ht="15" hidden="false" customHeight="true" outlineLevel="0" collapsed="false">
      <c r="A5384" s="8" t="s">
        <v>251</v>
      </c>
      <c r="B5384" s="8" t="s">
        <v>1262</v>
      </c>
      <c r="C5384" s="8" t="n">
        <v>8</v>
      </c>
      <c r="D5384" s="8" t="n">
        <v>77.68</v>
      </c>
      <c r="E5384" s="8" t="n">
        <v>2</v>
      </c>
      <c r="F5384" s="8" t="n">
        <v>19.42</v>
      </c>
    </row>
    <row r="5385" customFormat="false" ht="15" hidden="false" customHeight="true" outlineLevel="0" collapsed="false">
      <c r="A5385" s="8" t="s">
        <v>308</v>
      </c>
      <c r="B5385" s="8" t="s">
        <v>1229</v>
      </c>
      <c r="C5385" s="8" t="n">
        <v>3</v>
      </c>
      <c r="D5385" s="8" t="n">
        <v>24.24</v>
      </c>
      <c r="E5385" s="8" t="n">
        <v>2</v>
      </c>
      <c r="F5385" s="8" t="n">
        <v>16.16</v>
      </c>
    </row>
    <row r="5386" customFormat="false" ht="15" hidden="false" customHeight="true" outlineLevel="0" collapsed="false">
      <c r="A5386" s="8" t="s">
        <v>172</v>
      </c>
      <c r="B5386" s="8" t="s">
        <v>1214</v>
      </c>
      <c r="C5386" s="8" t="n">
        <v>7</v>
      </c>
      <c r="D5386" s="8" t="n">
        <v>85.26</v>
      </c>
      <c r="E5386" s="8" t="n">
        <v>7</v>
      </c>
      <c r="F5386" s="8" t="n">
        <v>85.26</v>
      </c>
    </row>
    <row r="5387" customFormat="false" ht="15" hidden="false" customHeight="true" outlineLevel="0" collapsed="false">
      <c r="A5387" s="8" t="s">
        <v>261</v>
      </c>
      <c r="B5387" s="8" t="s">
        <v>1215</v>
      </c>
      <c r="C5387" s="8" t="n">
        <v>3</v>
      </c>
      <c r="D5387" s="8" t="n">
        <v>63.63</v>
      </c>
      <c r="E5387" s="8" t="n">
        <v>8</v>
      </c>
      <c r="F5387" s="8" t="n">
        <v>169.68</v>
      </c>
    </row>
    <row r="5388" customFormat="false" ht="15" hidden="false" customHeight="true" outlineLevel="0" collapsed="false">
      <c r="A5388" s="8" t="s">
        <v>269</v>
      </c>
      <c r="B5388" s="8" t="s">
        <v>1231</v>
      </c>
      <c r="C5388" s="8" t="n">
        <v>2</v>
      </c>
      <c r="D5388" s="8" t="n">
        <v>22.66</v>
      </c>
      <c r="E5388" s="8" t="n">
        <v>0</v>
      </c>
      <c r="F5388" s="8" t="n">
        <v>0</v>
      </c>
    </row>
    <row r="5389" customFormat="false" ht="15" hidden="false" customHeight="true" outlineLevel="0" collapsed="false">
      <c r="A5389" s="8" t="s">
        <v>215</v>
      </c>
      <c r="B5389" s="8" t="s">
        <v>1233</v>
      </c>
      <c r="C5389" s="8" t="n">
        <v>2</v>
      </c>
      <c r="D5389" s="8" t="n">
        <v>35.64</v>
      </c>
      <c r="E5389" s="8" t="n">
        <v>0</v>
      </c>
      <c r="F5389" s="8" t="n">
        <v>0</v>
      </c>
    </row>
    <row r="5390" customFormat="false" ht="15" hidden="false" customHeight="true" outlineLevel="0" collapsed="false">
      <c r="A5390" s="8" t="s">
        <v>318</v>
      </c>
      <c r="B5390" s="8" t="s">
        <v>1256</v>
      </c>
      <c r="C5390" s="8" t="n">
        <v>2</v>
      </c>
      <c r="D5390" s="8" t="n">
        <v>47.2</v>
      </c>
      <c r="E5390" s="8" t="n">
        <v>0</v>
      </c>
      <c r="F5390" s="8" t="n">
        <v>0</v>
      </c>
    </row>
    <row r="5391" customFormat="false" ht="15" hidden="false" customHeight="true" outlineLevel="0" collapsed="false">
      <c r="A5391" s="8" t="s">
        <v>225</v>
      </c>
      <c r="B5391" s="8" t="s">
        <v>1237</v>
      </c>
      <c r="C5391" s="8" t="n">
        <v>5</v>
      </c>
      <c r="D5391" s="8" t="n">
        <v>92</v>
      </c>
      <c r="E5391" s="8" t="n">
        <v>0</v>
      </c>
      <c r="F5391" s="8" t="n">
        <v>0</v>
      </c>
    </row>
    <row r="5392" customFormat="false" ht="15" hidden="false" customHeight="true" outlineLevel="0" collapsed="false">
      <c r="A5392" s="8" t="s">
        <v>217</v>
      </c>
      <c r="B5392" s="8" t="s">
        <v>1237</v>
      </c>
      <c r="C5392" s="8" t="n">
        <v>5</v>
      </c>
      <c r="D5392" s="8" t="n">
        <v>92</v>
      </c>
      <c r="E5392" s="8" t="n">
        <v>0</v>
      </c>
      <c r="F5392" s="8" t="n">
        <v>0</v>
      </c>
    </row>
    <row r="5393" customFormat="false" ht="15" hidden="false" customHeight="true" outlineLevel="0" collapsed="false">
      <c r="A5393" s="8" t="s">
        <v>316</v>
      </c>
      <c r="B5393" s="8" t="s">
        <v>1294</v>
      </c>
      <c r="C5393" s="8" t="n">
        <v>3</v>
      </c>
      <c r="D5393" s="8" t="n">
        <v>55.2</v>
      </c>
      <c r="E5393" s="8" t="n">
        <v>0</v>
      </c>
      <c r="F5393" s="8" t="n">
        <v>0</v>
      </c>
    </row>
    <row r="5394" customFormat="false" ht="15" hidden="false" customHeight="true" outlineLevel="0" collapsed="false">
      <c r="A5394" s="8" t="s">
        <v>168</v>
      </c>
      <c r="B5394" s="8" t="s">
        <v>1240</v>
      </c>
      <c r="C5394" s="8" t="n">
        <v>5</v>
      </c>
      <c r="D5394" s="8" t="n">
        <v>209.05</v>
      </c>
      <c r="E5394" s="8" t="n">
        <v>0</v>
      </c>
      <c r="F5394" s="8" t="n">
        <v>0</v>
      </c>
    </row>
    <row r="5395" customFormat="false" ht="15" hidden="false" customHeight="true" outlineLevel="0" collapsed="false">
      <c r="A5395" s="8" t="s">
        <v>209</v>
      </c>
      <c r="B5395" s="8" t="s">
        <v>1245</v>
      </c>
      <c r="C5395" s="8" t="n">
        <v>1</v>
      </c>
      <c r="D5395" s="8" t="n">
        <v>64.89</v>
      </c>
      <c r="E5395" s="8" t="n">
        <v>0</v>
      </c>
      <c r="F5395" s="8" t="n">
        <v>0</v>
      </c>
    </row>
    <row r="5396" customFormat="false" ht="15" hidden="false" customHeight="true" outlineLevel="0" collapsed="false">
      <c r="A5396" s="8" t="s">
        <v>180</v>
      </c>
      <c r="B5396" s="8" t="s">
        <v>1216</v>
      </c>
      <c r="C5396" s="8" t="n">
        <v>5</v>
      </c>
      <c r="D5396" s="8" t="n">
        <v>82.5</v>
      </c>
      <c r="E5396" s="8" t="n">
        <v>5</v>
      </c>
      <c r="F5396" s="8" t="n">
        <v>82.5</v>
      </c>
    </row>
    <row r="5397" customFormat="false" ht="15" hidden="false" customHeight="true" outlineLevel="0" collapsed="false">
      <c r="A5397" s="8" t="s">
        <v>189</v>
      </c>
      <c r="B5397" s="8" t="s">
        <v>1216</v>
      </c>
      <c r="C5397" s="8" t="n">
        <v>3</v>
      </c>
      <c r="D5397" s="8" t="n">
        <v>49.5</v>
      </c>
      <c r="E5397" s="8" t="n">
        <v>2</v>
      </c>
      <c r="F5397" s="8" t="n">
        <v>33</v>
      </c>
    </row>
    <row r="5398" customFormat="false" ht="15" hidden="false" customHeight="true" outlineLevel="0" collapsed="false">
      <c r="A5398" s="8" t="s">
        <v>267</v>
      </c>
      <c r="B5398" s="8" t="s">
        <v>1216</v>
      </c>
      <c r="C5398" s="8" t="n">
        <v>1</v>
      </c>
      <c r="D5398" s="8" t="n">
        <v>16.5</v>
      </c>
      <c r="E5398" s="8" t="n">
        <v>0</v>
      </c>
      <c r="F5398" s="8" t="n">
        <v>0</v>
      </c>
    </row>
    <row r="5399" customFormat="false" ht="15" hidden="false" customHeight="true" outlineLevel="0" collapsed="false">
      <c r="A5399" s="8" t="s">
        <v>199</v>
      </c>
      <c r="B5399" s="8" t="s">
        <v>1216</v>
      </c>
      <c r="C5399" s="8" t="n">
        <v>0</v>
      </c>
      <c r="D5399" s="8" t="n">
        <v>0</v>
      </c>
      <c r="E5399" s="8" t="n">
        <v>6</v>
      </c>
      <c r="F5399" s="8" t="n">
        <v>99</v>
      </c>
    </row>
    <row r="5400" customFormat="false" ht="15" hidden="false" customHeight="true" outlineLevel="0" collapsed="false">
      <c r="A5400" s="8" t="s">
        <v>250</v>
      </c>
      <c r="B5400" s="8" t="s">
        <v>1216</v>
      </c>
      <c r="C5400" s="8" t="n">
        <v>1</v>
      </c>
      <c r="D5400" s="8" t="n">
        <v>16.5</v>
      </c>
      <c r="E5400" s="8" t="n">
        <v>0</v>
      </c>
      <c r="F5400" s="8" t="n">
        <v>0</v>
      </c>
    </row>
    <row r="5401" customFormat="false" ht="15" hidden="false" customHeight="true" outlineLevel="0" collapsed="false">
      <c r="A5401" s="8" t="s">
        <v>198</v>
      </c>
      <c r="B5401" s="8" t="s">
        <v>1217</v>
      </c>
      <c r="C5401" s="8" t="n">
        <v>5</v>
      </c>
      <c r="D5401" s="8" t="n">
        <v>102.5</v>
      </c>
      <c r="E5401" s="8" t="n">
        <v>0</v>
      </c>
      <c r="F5401" s="8" t="n">
        <v>0</v>
      </c>
    </row>
    <row r="5402" customFormat="false" ht="15" hidden="false" customHeight="true" outlineLevel="0" collapsed="false">
      <c r="A5402" s="8" t="s">
        <v>193</v>
      </c>
      <c r="B5402" s="8" t="s">
        <v>1217</v>
      </c>
      <c r="C5402" s="8" t="n">
        <v>12</v>
      </c>
      <c r="D5402" s="8" t="n">
        <v>246</v>
      </c>
      <c r="E5402" s="8" t="n">
        <v>0</v>
      </c>
      <c r="F5402" s="8" t="n">
        <v>0</v>
      </c>
    </row>
    <row r="5403" customFormat="false" ht="15" hidden="false" customHeight="true" outlineLevel="0" collapsed="false">
      <c r="A5403" s="8" t="s">
        <v>302</v>
      </c>
      <c r="B5403" s="8" t="s">
        <v>1217</v>
      </c>
      <c r="C5403" s="8" t="n">
        <v>1</v>
      </c>
      <c r="D5403" s="8" t="n">
        <v>20.5</v>
      </c>
      <c r="E5403" s="8" t="n">
        <v>0</v>
      </c>
      <c r="F5403" s="8" t="n">
        <v>0</v>
      </c>
    </row>
    <row r="5404" customFormat="false" ht="15" hidden="false" customHeight="true" outlineLevel="0" collapsed="false">
      <c r="A5404" s="8" t="s">
        <v>205</v>
      </c>
      <c r="B5404" s="8" t="s">
        <v>1217</v>
      </c>
      <c r="C5404" s="8" t="n">
        <v>8</v>
      </c>
      <c r="D5404" s="8" t="n">
        <v>164</v>
      </c>
      <c r="E5404" s="8" t="n">
        <v>0</v>
      </c>
      <c r="F5404" s="8" t="n">
        <v>0</v>
      </c>
    </row>
    <row r="5405" customFormat="false" ht="15" hidden="false" customHeight="true" outlineLevel="0" collapsed="false">
      <c r="A5405" s="8" t="s">
        <v>353</v>
      </c>
      <c r="B5405" s="8" t="s">
        <v>1283</v>
      </c>
      <c r="C5405" s="8" t="n">
        <v>2</v>
      </c>
      <c r="D5405" s="8" t="n">
        <v>391.46</v>
      </c>
      <c r="E5405" s="8" t="n">
        <v>0</v>
      </c>
      <c r="F5405" s="8" t="n">
        <v>0</v>
      </c>
    </row>
    <row r="5406" customFormat="false" ht="15" hidden="false" customHeight="true" outlineLevel="0" collapsed="false">
      <c r="A5406" s="8" t="s">
        <v>297</v>
      </c>
      <c r="B5406" s="8" t="s">
        <v>1265</v>
      </c>
      <c r="C5406" s="8" t="n">
        <v>2</v>
      </c>
      <c r="D5406" s="8" t="n">
        <v>253.14</v>
      </c>
      <c r="E5406" s="8" t="n">
        <v>0</v>
      </c>
      <c r="F5406" s="8" t="n">
        <v>0</v>
      </c>
    </row>
    <row r="5407" customFormat="false" ht="15" hidden="false" customHeight="true" outlineLevel="0" collapsed="false">
      <c r="A5407" s="8" t="s">
        <v>228</v>
      </c>
      <c r="B5407" s="8" t="s">
        <v>1275</v>
      </c>
      <c r="C5407" s="8" t="n">
        <v>0</v>
      </c>
      <c r="D5407" s="8" t="n">
        <v>0</v>
      </c>
      <c r="E5407" s="8" t="n">
        <v>2</v>
      </c>
      <c r="F5407" s="8" t="n">
        <v>28.5</v>
      </c>
    </row>
    <row r="5408" customFormat="false" ht="15" hidden="false" customHeight="true" outlineLevel="0" collapsed="false">
      <c r="A5408" s="8" t="s">
        <v>178</v>
      </c>
      <c r="B5408" s="8" t="s">
        <v>1236</v>
      </c>
      <c r="C5408" s="8" t="n">
        <v>5</v>
      </c>
      <c r="D5408" s="8" t="n">
        <v>175</v>
      </c>
      <c r="E5408" s="8" t="n">
        <v>0</v>
      </c>
      <c r="F5408" s="8" t="n">
        <v>0</v>
      </c>
    </row>
    <row r="5409" customFormat="false" ht="15" hidden="false" customHeight="true" outlineLevel="0" collapsed="false">
      <c r="A5409" s="8" t="s">
        <v>176</v>
      </c>
      <c r="B5409" s="8" t="s">
        <v>1236</v>
      </c>
      <c r="C5409" s="8" t="n">
        <v>2</v>
      </c>
      <c r="D5409" s="8" t="n">
        <v>70</v>
      </c>
      <c r="E5409" s="8" t="n">
        <v>0</v>
      </c>
      <c r="F5409" s="8" t="n">
        <v>0</v>
      </c>
    </row>
    <row r="5410" customFormat="false" ht="15" hidden="false" customHeight="true" outlineLevel="0" collapsed="false">
      <c r="A5410" s="8" t="s">
        <v>235</v>
      </c>
      <c r="B5410" s="8" t="s">
        <v>1236</v>
      </c>
      <c r="C5410" s="8" t="n">
        <v>3</v>
      </c>
      <c r="D5410" s="8" t="n">
        <v>105</v>
      </c>
      <c r="E5410" s="8" t="n">
        <v>2</v>
      </c>
      <c r="F5410" s="8" t="n">
        <v>70</v>
      </c>
    </row>
    <row r="5411" customFormat="false" ht="15" hidden="false" customHeight="true" outlineLevel="0" collapsed="false">
      <c r="A5411" s="8" t="s">
        <v>273</v>
      </c>
      <c r="B5411" s="8" t="s">
        <v>1218</v>
      </c>
      <c r="C5411" s="8" t="n">
        <v>1</v>
      </c>
      <c r="D5411" s="8" t="n">
        <v>126.5</v>
      </c>
      <c r="E5411" s="8" t="n">
        <v>0</v>
      </c>
      <c r="F5411" s="8" t="n">
        <v>0</v>
      </c>
    </row>
    <row r="5412" customFormat="false" ht="15" hidden="false" customHeight="true" outlineLevel="0" collapsed="false">
      <c r="A5412" s="8" t="s">
        <v>240</v>
      </c>
      <c r="B5412" s="8" t="s">
        <v>769</v>
      </c>
      <c r="C5412" s="8" t="n">
        <v>4</v>
      </c>
      <c r="D5412" s="8" t="n">
        <v>68</v>
      </c>
      <c r="E5412" s="8" t="n">
        <v>0</v>
      </c>
      <c r="F5412" s="8" t="n">
        <v>0</v>
      </c>
    </row>
    <row r="5413" customFormat="false" ht="15" hidden="false" customHeight="true" outlineLevel="0" collapsed="false">
      <c r="A5413" s="8" t="s">
        <v>234</v>
      </c>
      <c r="B5413" s="8" t="s">
        <v>769</v>
      </c>
      <c r="C5413" s="8" t="n">
        <v>8</v>
      </c>
      <c r="D5413" s="8" t="n">
        <v>136</v>
      </c>
      <c r="E5413" s="8" t="n">
        <v>2</v>
      </c>
      <c r="F5413" s="8" t="n">
        <v>34</v>
      </c>
    </row>
    <row r="5414" customFormat="false" ht="15" hidden="false" customHeight="true" outlineLevel="0" collapsed="false">
      <c r="A5414" s="8" t="s">
        <v>247</v>
      </c>
      <c r="B5414" s="8" t="s">
        <v>769</v>
      </c>
      <c r="C5414" s="8" t="n">
        <v>2</v>
      </c>
      <c r="D5414" s="8" t="n">
        <v>34</v>
      </c>
      <c r="E5414" s="8" t="n">
        <v>0</v>
      </c>
      <c r="F5414" s="8" t="n">
        <v>0</v>
      </c>
    </row>
    <row r="5415" customFormat="false" ht="15" hidden="false" customHeight="true" outlineLevel="0" collapsed="false">
      <c r="A5415" s="8" t="s">
        <v>182</v>
      </c>
      <c r="B5415" s="8" t="s">
        <v>799</v>
      </c>
      <c r="C5415" s="8" t="n">
        <v>8</v>
      </c>
      <c r="D5415" s="8" t="n">
        <v>160</v>
      </c>
      <c r="E5415" s="8" t="n">
        <v>0</v>
      </c>
      <c r="F5415" s="8" t="n">
        <v>0</v>
      </c>
    </row>
    <row r="5416" customFormat="false" ht="15" hidden="false" customHeight="true" outlineLevel="0" collapsed="false">
      <c r="A5416" s="8" t="s">
        <v>274</v>
      </c>
      <c r="B5416" s="8" t="s">
        <v>1219</v>
      </c>
      <c r="C5416" s="8" t="n">
        <v>4</v>
      </c>
      <c r="D5416" s="8" t="n">
        <v>34.92</v>
      </c>
      <c r="E5416" s="8" t="n">
        <v>0</v>
      </c>
      <c r="F5416" s="8" t="n">
        <v>0</v>
      </c>
    </row>
    <row r="5417" customFormat="false" ht="15" hidden="false" customHeight="true" outlineLevel="0" collapsed="false">
      <c r="A5417" s="8" t="s">
        <v>170</v>
      </c>
      <c r="B5417" s="8" t="s">
        <v>1220</v>
      </c>
      <c r="C5417" s="8" t="n">
        <v>6</v>
      </c>
      <c r="D5417" s="8" t="n">
        <v>88.8</v>
      </c>
      <c r="E5417" s="8" t="n">
        <v>0</v>
      </c>
      <c r="F5417" s="8" t="n">
        <v>0</v>
      </c>
    </row>
    <row r="5418" customFormat="false" ht="15" hidden="false" customHeight="true" outlineLevel="0" collapsed="false">
      <c r="A5418" s="8" t="s">
        <v>167</v>
      </c>
      <c r="B5418" s="8" t="s">
        <v>1238</v>
      </c>
      <c r="C5418" s="8" t="n">
        <v>5</v>
      </c>
      <c r="D5418" s="8" t="n">
        <v>67</v>
      </c>
      <c r="E5418" s="8" t="n">
        <v>0</v>
      </c>
      <c r="F5418" s="8" t="n">
        <v>0</v>
      </c>
    </row>
    <row r="5419" customFormat="false" ht="15" hidden="false" customHeight="true" outlineLevel="0" collapsed="false">
      <c r="A5419" s="8" t="s">
        <v>252</v>
      </c>
      <c r="B5419" s="8" t="s">
        <v>1177</v>
      </c>
      <c r="C5419" s="8" t="n">
        <v>2</v>
      </c>
      <c r="D5419" s="8" t="n">
        <v>33.2</v>
      </c>
      <c r="E5419" s="8" t="n">
        <v>0</v>
      </c>
      <c r="F5419" s="8" t="n">
        <v>0</v>
      </c>
    </row>
    <row r="5420" customFormat="false" ht="15" hidden="false" customHeight="true" outlineLevel="0" collapsed="false">
      <c r="A5420" s="8" t="s">
        <v>203</v>
      </c>
      <c r="B5420" s="8" t="s">
        <v>1177</v>
      </c>
      <c r="C5420" s="8" t="n">
        <v>8</v>
      </c>
      <c r="D5420" s="8" t="n">
        <v>148</v>
      </c>
      <c r="E5420" s="8" t="n">
        <v>2</v>
      </c>
      <c r="F5420" s="8" t="n">
        <v>37</v>
      </c>
    </row>
    <row r="5421" customFormat="false" ht="15" hidden="false" customHeight="true" outlineLevel="0" collapsed="false">
      <c r="A5421" s="8" t="s">
        <v>211</v>
      </c>
      <c r="B5421" s="8" t="s">
        <v>1250</v>
      </c>
      <c r="C5421" s="8" t="n">
        <v>8</v>
      </c>
      <c r="D5421" s="8" t="n">
        <v>200</v>
      </c>
      <c r="E5421" s="8" t="n">
        <v>5</v>
      </c>
      <c r="F5421" s="8" t="n">
        <v>125</v>
      </c>
    </row>
    <row r="5422" customFormat="false" ht="15" hidden="false" customHeight="true" outlineLevel="0" collapsed="false">
      <c r="A5422" s="8" t="s">
        <v>196</v>
      </c>
      <c r="B5422" s="8" t="s">
        <v>1243</v>
      </c>
      <c r="C5422" s="8" t="n">
        <v>1</v>
      </c>
      <c r="D5422" s="8" t="n">
        <v>53.5</v>
      </c>
      <c r="E5422" s="8" t="n">
        <v>0</v>
      </c>
      <c r="F5422" s="8" t="n">
        <v>0</v>
      </c>
    </row>
    <row r="5423" customFormat="false" ht="15" hidden="false" customHeight="true" outlineLevel="0" collapsed="false">
      <c r="A5423" s="8" t="s">
        <v>181</v>
      </c>
      <c r="B5423" s="8" t="s">
        <v>897</v>
      </c>
      <c r="C5423" s="8" t="n">
        <v>3</v>
      </c>
      <c r="D5423" s="8" t="n">
        <v>195</v>
      </c>
      <c r="E5423" s="8" t="n">
        <v>0</v>
      </c>
      <c r="F5423" s="8" t="n">
        <v>0</v>
      </c>
    </row>
    <row r="5424" customFormat="false" ht="15" hidden="false" customHeight="true" outlineLevel="0" collapsed="false">
      <c r="A5424" s="8" t="s">
        <v>165</v>
      </c>
      <c r="B5424" s="8" t="s">
        <v>897</v>
      </c>
      <c r="C5424" s="8" t="n">
        <v>4</v>
      </c>
      <c r="D5424" s="8" t="n">
        <v>260</v>
      </c>
      <c r="E5424" s="8" t="n">
        <v>1</v>
      </c>
      <c r="F5424" s="8" t="n">
        <v>65</v>
      </c>
    </row>
    <row r="5425" customFormat="false" ht="15" hidden="false" customHeight="true" outlineLevel="0" collapsed="false">
      <c r="A5425" s="8" t="s">
        <v>208</v>
      </c>
      <c r="B5425" s="8" t="s">
        <v>1179</v>
      </c>
      <c r="C5425" s="8" t="n">
        <v>0</v>
      </c>
      <c r="D5425" s="8" t="n">
        <v>0</v>
      </c>
      <c r="E5425" s="8" t="n">
        <v>1</v>
      </c>
      <c r="F5425" s="8" t="n">
        <v>72.34</v>
      </c>
    </row>
    <row r="5426" customFormat="false" ht="15" hidden="false" customHeight="true" outlineLevel="0" collapsed="false">
      <c r="A5426" s="8" t="s">
        <v>245</v>
      </c>
      <c r="B5426" s="8" t="s">
        <v>1179</v>
      </c>
      <c r="C5426" s="8" t="n">
        <v>2</v>
      </c>
      <c r="D5426" s="8" t="n">
        <v>144.68</v>
      </c>
      <c r="E5426" s="8" t="n">
        <v>0</v>
      </c>
      <c r="F5426" s="8" t="n">
        <v>0</v>
      </c>
    </row>
    <row r="5427" customFormat="false" ht="15" hidden="false" customHeight="true" outlineLevel="0" collapsed="false">
      <c r="A5427" s="8" t="s">
        <v>191</v>
      </c>
      <c r="B5427" s="8" t="s">
        <v>1179</v>
      </c>
      <c r="C5427" s="8" t="n">
        <v>2</v>
      </c>
      <c r="D5427" s="8" t="n">
        <v>144.68</v>
      </c>
      <c r="E5427" s="8" t="n">
        <v>0</v>
      </c>
      <c r="F5427" s="8" t="n">
        <v>0</v>
      </c>
    </row>
    <row r="5428" customFormat="false" ht="15" hidden="false" customHeight="true" outlineLevel="0" collapsed="false">
      <c r="A5428" s="8" t="s">
        <v>190</v>
      </c>
      <c r="B5428" s="8" t="s">
        <v>1224</v>
      </c>
      <c r="C5428" s="8" t="n">
        <v>1</v>
      </c>
      <c r="D5428" s="8" t="n">
        <v>24.43</v>
      </c>
      <c r="E5428" s="8" t="n">
        <v>0</v>
      </c>
      <c r="F5428" s="8" t="n">
        <v>0</v>
      </c>
    </row>
    <row r="5429" customFormat="false" ht="15" hidden="false" customHeight="true" outlineLevel="0" collapsed="false">
      <c r="A5429" s="8" t="s">
        <v>183</v>
      </c>
      <c r="B5429" s="8" t="s">
        <v>1224</v>
      </c>
      <c r="C5429" s="8" t="n">
        <v>3</v>
      </c>
      <c r="D5429" s="8" t="n">
        <v>73.29</v>
      </c>
      <c r="E5429" s="8" t="n">
        <v>0</v>
      </c>
      <c r="F5429" s="8" t="n">
        <v>0</v>
      </c>
    </row>
    <row r="5430" customFormat="false" ht="15" hidden="false" customHeight="true" outlineLevel="0" collapsed="false">
      <c r="A5430" s="8" t="s">
        <v>231</v>
      </c>
      <c r="B5430" s="8" t="s">
        <v>1224</v>
      </c>
      <c r="C5430" s="8" t="n">
        <v>1</v>
      </c>
      <c r="D5430" s="8" t="n">
        <v>24.43</v>
      </c>
      <c r="E5430" s="8" t="n">
        <v>0</v>
      </c>
      <c r="F5430" s="8" t="n">
        <v>0</v>
      </c>
    </row>
    <row r="5431" customFormat="false" ht="15" hidden="false" customHeight="true" outlineLevel="0" collapsed="false">
      <c r="A5431" s="8" t="s">
        <v>206</v>
      </c>
      <c r="B5431" s="8" t="s">
        <v>1288</v>
      </c>
      <c r="C5431" s="8" t="n">
        <v>2</v>
      </c>
      <c r="D5431" s="8" t="n">
        <v>194.7</v>
      </c>
      <c r="E5431" s="8" t="n">
        <v>0</v>
      </c>
      <c r="F5431" s="8" t="n">
        <v>0</v>
      </c>
    </row>
    <row r="5432" customFormat="false" ht="15" hidden="false" customHeight="true" outlineLevel="0" collapsed="false">
      <c r="A5432" s="8" t="s">
        <v>239</v>
      </c>
      <c r="B5432" s="8" t="s">
        <v>1225</v>
      </c>
      <c r="C5432" s="8" t="n">
        <v>1</v>
      </c>
      <c r="D5432" s="8" t="n">
        <v>28.93</v>
      </c>
      <c r="E5432" s="8" t="n">
        <v>0</v>
      </c>
      <c r="F5432" s="8" t="n">
        <v>0</v>
      </c>
    </row>
    <row r="5433" customFormat="false" ht="15" hidden="false" customHeight="true" outlineLevel="0" collapsed="false">
      <c r="A5433" s="8" t="s">
        <v>210</v>
      </c>
      <c r="B5433" s="8" t="s">
        <v>1225</v>
      </c>
      <c r="C5433" s="8" t="n">
        <v>5</v>
      </c>
      <c r="D5433" s="8" t="n">
        <v>144.65</v>
      </c>
      <c r="E5433" s="8" t="n">
        <v>0</v>
      </c>
      <c r="F5433" s="8" t="n">
        <v>0</v>
      </c>
    </row>
    <row r="5434" customFormat="false" ht="15" hidden="false" customHeight="true" outlineLevel="0" collapsed="false">
      <c r="A5434" s="8" t="s">
        <v>242</v>
      </c>
      <c r="B5434" s="8" t="s">
        <v>1230</v>
      </c>
      <c r="C5434" s="8" t="n">
        <v>1</v>
      </c>
      <c r="D5434" s="8" t="n">
        <v>38.7</v>
      </c>
      <c r="E5434" s="8" t="n">
        <v>1</v>
      </c>
      <c r="F5434" s="8" t="n">
        <v>38.7</v>
      </c>
    </row>
    <row r="5435" customFormat="false" ht="15" hidden="false" customHeight="true" outlineLevel="0" collapsed="false">
      <c r="A5435" s="8" t="s">
        <v>299</v>
      </c>
      <c r="B5435" s="8" t="s">
        <v>1263</v>
      </c>
      <c r="C5435" s="8" t="n">
        <v>2</v>
      </c>
      <c r="D5435" s="8" t="n">
        <v>107.06</v>
      </c>
      <c r="E5435" s="8" t="n">
        <v>0</v>
      </c>
      <c r="F5435" s="8" t="n">
        <v>0</v>
      </c>
    </row>
    <row r="5436" customFormat="false" ht="15" hidden="false" customHeight="true" outlineLevel="0" collapsed="false">
      <c r="A5436" s="8" t="s">
        <v>189</v>
      </c>
      <c r="B5436" s="8" t="s">
        <v>1216</v>
      </c>
      <c r="C5436" s="8" t="n">
        <v>1</v>
      </c>
      <c r="D5436" s="8" t="n">
        <v>16.5</v>
      </c>
      <c r="E5436" s="8" t="n">
        <v>0</v>
      </c>
      <c r="F5436" s="8" t="n">
        <v>0</v>
      </c>
    </row>
    <row r="5437" customFormat="false" ht="15" hidden="false" customHeight="true" outlineLevel="0" collapsed="false">
      <c r="A5437" s="8" t="s">
        <v>199</v>
      </c>
      <c r="B5437" s="8" t="s">
        <v>1216</v>
      </c>
      <c r="C5437" s="8" t="n">
        <v>1</v>
      </c>
      <c r="D5437" s="8" t="n">
        <v>16.5</v>
      </c>
      <c r="E5437" s="8" t="n">
        <v>0</v>
      </c>
      <c r="F5437" s="8" t="n">
        <v>0</v>
      </c>
    </row>
    <row r="5438" customFormat="false" ht="15" hidden="false" customHeight="true" outlineLevel="0" collapsed="false">
      <c r="A5438" s="8" t="s">
        <v>198</v>
      </c>
      <c r="B5438" s="8" t="s">
        <v>1217</v>
      </c>
      <c r="C5438" s="8" t="n">
        <v>1</v>
      </c>
      <c r="D5438" s="8" t="n">
        <v>20.5</v>
      </c>
      <c r="E5438" s="8" t="n">
        <v>0</v>
      </c>
      <c r="F5438" s="8" t="n">
        <v>0</v>
      </c>
    </row>
    <row r="5439" customFormat="false" ht="15" hidden="false" customHeight="true" outlineLevel="0" collapsed="false">
      <c r="A5439" s="8" t="s">
        <v>193</v>
      </c>
      <c r="B5439" s="8" t="s">
        <v>1217</v>
      </c>
      <c r="C5439" s="8" t="n">
        <v>4</v>
      </c>
      <c r="D5439" s="8" t="n">
        <v>82</v>
      </c>
      <c r="E5439" s="8" t="n">
        <v>0</v>
      </c>
      <c r="F5439" s="8" t="n">
        <v>0</v>
      </c>
    </row>
    <row r="5440" customFormat="false" ht="15" hidden="false" customHeight="true" outlineLevel="0" collapsed="false">
      <c r="A5440" s="8" t="s">
        <v>205</v>
      </c>
      <c r="B5440" s="8" t="s">
        <v>1217</v>
      </c>
      <c r="C5440" s="8" t="n">
        <v>2</v>
      </c>
      <c r="D5440" s="8" t="n">
        <v>41</v>
      </c>
      <c r="E5440" s="8" t="n">
        <v>0</v>
      </c>
      <c r="F5440" s="8" t="n">
        <v>0</v>
      </c>
    </row>
    <row r="5441" customFormat="false" ht="15" hidden="false" customHeight="true" outlineLevel="0" collapsed="false">
      <c r="A5441" s="8" t="s">
        <v>354</v>
      </c>
      <c r="B5441" s="8" t="s">
        <v>767</v>
      </c>
      <c r="C5441" s="8" t="n">
        <v>1</v>
      </c>
      <c r="D5441" s="8" t="n">
        <v>21</v>
      </c>
      <c r="E5441" s="8" t="n">
        <v>0</v>
      </c>
      <c r="F5441" s="8" t="n">
        <v>0</v>
      </c>
    </row>
    <row r="5442" customFormat="false" ht="15" hidden="false" customHeight="true" outlineLevel="0" collapsed="false">
      <c r="A5442" s="8" t="s">
        <v>378</v>
      </c>
      <c r="B5442" s="8" t="s">
        <v>767</v>
      </c>
      <c r="C5442" s="8" t="n">
        <v>0</v>
      </c>
      <c r="D5442" s="8" t="n">
        <v>0</v>
      </c>
      <c r="E5442" s="8" t="n">
        <v>1</v>
      </c>
      <c r="F5442" s="8" t="n">
        <v>21</v>
      </c>
    </row>
    <row r="5443" customFormat="false" ht="15" hidden="false" customHeight="true" outlineLevel="0" collapsed="false">
      <c r="A5443" s="8" t="s">
        <v>296</v>
      </c>
      <c r="B5443" s="8" t="s">
        <v>1295</v>
      </c>
      <c r="C5443" s="8" t="n">
        <v>3</v>
      </c>
      <c r="D5443" s="8" t="n">
        <v>389.43</v>
      </c>
      <c r="E5443" s="8" t="n">
        <v>0</v>
      </c>
      <c r="F5443" s="8" t="n">
        <v>0</v>
      </c>
    </row>
    <row r="5444" customFormat="false" ht="15" hidden="false" customHeight="true" outlineLevel="0" collapsed="false">
      <c r="A5444" s="8" t="s">
        <v>234</v>
      </c>
      <c r="B5444" s="8" t="s">
        <v>769</v>
      </c>
      <c r="C5444" s="8" t="n">
        <v>3</v>
      </c>
      <c r="D5444" s="8" t="n">
        <v>51</v>
      </c>
      <c r="E5444" s="8" t="n">
        <v>0</v>
      </c>
      <c r="F5444" s="8" t="n">
        <v>0</v>
      </c>
    </row>
    <row r="5445" customFormat="false" ht="15" hidden="false" customHeight="true" outlineLevel="0" collapsed="false">
      <c r="A5445" s="8" t="s">
        <v>182</v>
      </c>
      <c r="B5445" s="8" t="s">
        <v>799</v>
      </c>
      <c r="C5445" s="8" t="n">
        <v>2</v>
      </c>
      <c r="D5445" s="8" t="n">
        <v>40</v>
      </c>
      <c r="E5445" s="8" t="n">
        <v>0</v>
      </c>
      <c r="F5445" s="8" t="n">
        <v>0</v>
      </c>
    </row>
    <row r="5446" customFormat="false" ht="15" hidden="false" customHeight="true" outlineLevel="0" collapsed="false">
      <c r="A5446" s="8" t="s">
        <v>170</v>
      </c>
      <c r="B5446" s="8" t="s">
        <v>1220</v>
      </c>
      <c r="C5446" s="8" t="n">
        <v>6</v>
      </c>
      <c r="D5446" s="8" t="n">
        <v>88.8</v>
      </c>
      <c r="E5446" s="8" t="n">
        <v>0</v>
      </c>
      <c r="F5446" s="8" t="n">
        <v>0</v>
      </c>
    </row>
    <row r="5447" customFormat="false" ht="15" hidden="false" customHeight="true" outlineLevel="0" collapsed="false">
      <c r="A5447" s="8" t="s">
        <v>233</v>
      </c>
      <c r="B5447" s="8" t="s">
        <v>1249</v>
      </c>
      <c r="C5447" s="8" t="n">
        <v>3</v>
      </c>
      <c r="D5447" s="8" t="n">
        <v>53.85</v>
      </c>
      <c r="E5447" s="8" t="n">
        <v>0</v>
      </c>
      <c r="F5447" s="8" t="n">
        <v>0</v>
      </c>
    </row>
    <row r="5448" customFormat="false" ht="15" hidden="false" customHeight="true" outlineLevel="0" collapsed="false">
      <c r="A5448" s="8" t="s">
        <v>258</v>
      </c>
      <c r="B5448" s="8" t="s">
        <v>562</v>
      </c>
      <c r="C5448" s="8" t="n">
        <v>2</v>
      </c>
      <c r="D5448" s="8" t="n">
        <v>72</v>
      </c>
      <c r="E5448" s="8" t="n">
        <v>0</v>
      </c>
      <c r="F5448" s="8" t="n">
        <v>0</v>
      </c>
    </row>
    <row r="5449" customFormat="false" ht="15" hidden="false" customHeight="true" outlineLevel="0" collapsed="false">
      <c r="A5449" s="8" t="s">
        <v>252</v>
      </c>
      <c r="B5449" s="8" t="s">
        <v>1177</v>
      </c>
      <c r="C5449" s="8" t="n">
        <v>6</v>
      </c>
      <c r="D5449" s="8" t="n">
        <v>99.6</v>
      </c>
      <c r="E5449" s="8" t="n">
        <v>0</v>
      </c>
      <c r="F5449" s="8" t="n">
        <v>0</v>
      </c>
    </row>
    <row r="5450" customFormat="false" ht="15" hidden="false" customHeight="true" outlineLevel="0" collapsed="false">
      <c r="A5450" s="8" t="s">
        <v>203</v>
      </c>
      <c r="B5450" s="8" t="s">
        <v>1177</v>
      </c>
      <c r="C5450" s="8" t="n">
        <v>6</v>
      </c>
      <c r="D5450" s="8" t="n">
        <v>111</v>
      </c>
      <c r="E5450" s="8" t="n">
        <v>0</v>
      </c>
      <c r="F5450" s="8" t="n">
        <v>0</v>
      </c>
    </row>
    <row r="5451" customFormat="false" ht="15" hidden="false" customHeight="true" outlineLevel="0" collapsed="false">
      <c r="A5451" s="8" t="s">
        <v>211</v>
      </c>
      <c r="B5451" s="8" t="s">
        <v>1250</v>
      </c>
      <c r="C5451" s="8" t="n">
        <v>6</v>
      </c>
      <c r="D5451" s="8" t="n">
        <v>150</v>
      </c>
      <c r="E5451" s="8" t="n">
        <v>0</v>
      </c>
      <c r="F5451" s="8" t="n">
        <v>0</v>
      </c>
    </row>
    <row r="5452" customFormat="false" ht="15" hidden="false" customHeight="true" outlineLevel="0" collapsed="false">
      <c r="A5452" s="8" t="s">
        <v>196</v>
      </c>
      <c r="B5452" s="8" t="s">
        <v>1243</v>
      </c>
      <c r="C5452" s="8" t="n">
        <v>3</v>
      </c>
      <c r="D5452" s="8" t="n">
        <v>160.5</v>
      </c>
      <c r="E5452" s="8" t="n">
        <v>1</v>
      </c>
      <c r="F5452" s="8" t="n">
        <v>53.5</v>
      </c>
    </row>
    <row r="5453" customFormat="false" ht="15" hidden="false" customHeight="true" outlineLevel="0" collapsed="false">
      <c r="A5453" s="8" t="s">
        <v>340</v>
      </c>
      <c r="B5453" s="8" t="s">
        <v>1267</v>
      </c>
      <c r="C5453" s="8" t="n">
        <v>3</v>
      </c>
      <c r="D5453" s="8" t="n">
        <v>386.13</v>
      </c>
      <c r="E5453" s="8" t="n">
        <v>0</v>
      </c>
      <c r="F5453" s="8" t="n">
        <v>0</v>
      </c>
    </row>
    <row r="5454" customFormat="false" ht="15" hidden="false" customHeight="true" outlineLevel="0" collapsed="false">
      <c r="A5454" s="8" t="s">
        <v>284</v>
      </c>
      <c r="B5454" s="8" t="s">
        <v>1267</v>
      </c>
      <c r="C5454" s="8" t="n">
        <v>1</v>
      </c>
      <c r="D5454" s="8" t="n">
        <v>128.71</v>
      </c>
      <c r="E5454" s="8" t="n">
        <v>0</v>
      </c>
      <c r="F5454" s="8" t="n">
        <v>0</v>
      </c>
    </row>
    <row r="5455" customFormat="false" ht="15" hidden="false" customHeight="true" outlineLevel="0" collapsed="false">
      <c r="A5455" s="8" t="s">
        <v>385</v>
      </c>
      <c r="B5455" s="8" t="s">
        <v>1222</v>
      </c>
      <c r="C5455" s="8" t="n">
        <v>1</v>
      </c>
      <c r="D5455" s="8" t="n">
        <v>65</v>
      </c>
      <c r="E5455" s="8" t="n">
        <v>0</v>
      </c>
      <c r="F5455" s="8" t="n">
        <v>0</v>
      </c>
    </row>
    <row r="5456" customFormat="false" ht="15" hidden="false" customHeight="true" outlineLevel="0" collapsed="false">
      <c r="A5456" s="8" t="s">
        <v>207</v>
      </c>
      <c r="B5456" s="8" t="s">
        <v>1222</v>
      </c>
      <c r="C5456" s="8" t="n">
        <v>4</v>
      </c>
      <c r="D5456" s="8" t="n">
        <v>260</v>
      </c>
      <c r="E5456" s="8" t="n">
        <v>0</v>
      </c>
      <c r="F5456" s="8" t="n">
        <v>0</v>
      </c>
    </row>
    <row r="5457" customFormat="false" ht="15" hidden="false" customHeight="true" outlineLevel="0" collapsed="false">
      <c r="A5457" s="8" t="s">
        <v>184</v>
      </c>
      <c r="B5457" s="8" t="s">
        <v>897</v>
      </c>
      <c r="C5457" s="8" t="n">
        <v>5</v>
      </c>
      <c r="D5457" s="8" t="n">
        <v>325</v>
      </c>
      <c r="E5457" s="8" t="n">
        <v>0</v>
      </c>
      <c r="F5457" s="8" t="n">
        <v>0</v>
      </c>
    </row>
    <row r="5458" customFormat="false" ht="15" hidden="false" customHeight="true" outlineLevel="0" collapsed="false">
      <c r="A5458" s="8" t="s">
        <v>175</v>
      </c>
      <c r="B5458" s="8" t="s">
        <v>1244</v>
      </c>
      <c r="C5458" s="8" t="n">
        <v>6</v>
      </c>
      <c r="D5458" s="8" t="n">
        <v>1053</v>
      </c>
      <c r="E5458" s="8" t="n">
        <v>0</v>
      </c>
      <c r="F5458" s="8" t="n">
        <v>0</v>
      </c>
    </row>
    <row r="5459" customFormat="false" ht="15" hidden="false" customHeight="true" outlineLevel="0" collapsed="false">
      <c r="A5459" s="8" t="s">
        <v>230</v>
      </c>
      <c r="B5459" s="8" t="s">
        <v>1244</v>
      </c>
      <c r="C5459" s="8" t="n">
        <v>2</v>
      </c>
      <c r="D5459" s="8" t="n">
        <v>351</v>
      </c>
      <c r="E5459" s="8" t="n">
        <v>0</v>
      </c>
      <c r="F5459" s="8" t="n">
        <v>0</v>
      </c>
    </row>
    <row r="5460" customFormat="false" ht="15" hidden="false" customHeight="true" outlineLevel="0" collapsed="false">
      <c r="A5460" s="8" t="s">
        <v>173</v>
      </c>
      <c r="B5460" s="8" t="s">
        <v>1244</v>
      </c>
      <c r="C5460" s="8" t="n">
        <v>4</v>
      </c>
      <c r="D5460" s="8" t="n">
        <v>702</v>
      </c>
      <c r="E5460" s="8" t="n">
        <v>0</v>
      </c>
      <c r="F5460" s="8" t="n">
        <v>0</v>
      </c>
    </row>
    <row r="5461" customFormat="false" ht="15" hidden="false" customHeight="true" outlineLevel="0" collapsed="false">
      <c r="A5461" s="8" t="s">
        <v>208</v>
      </c>
      <c r="B5461" s="8" t="s">
        <v>1179</v>
      </c>
      <c r="C5461" s="8" t="n">
        <v>1</v>
      </c>
      <c r="D5461" s="8" t="n">
        <v>72.34</v>
      </c>
      <c r="E5461" s="8" t="n">
        <v>0</v>
      </c>
      <c r="F5461" s="8" t="n">
        <v>0</v>
      </c>
    </row>
    <row r="5462" customFormat="false" ht="15" hidden="false" customHeight="true" outlineLevel="0" collapsed="false">
      <c r="A5462" s="8" t="s">
        <v>191</v>
      </c>
      <c r="B5462" s="8" t="s">
        <v>1179</v>
      </c>
      <c r="C5462" s="8" t="n">
        <v>2</v>
      </c>
      <c r="D5462" s="8" t="n">
        <v>144.68</v>
      </c>
      <c r="E5462" s="8" t="n">
        <v>0</v>
      </c>
      <c r="F5462" s="8" t="n">
        <v>0</v>
      </c>
    </row>
    <row r="5463" customFormat="false" ht="15" hidden="false" customHeight="true" outlineLevel="0" collapsed="false">
      <c r="A5463" s="8" t="s">
        <v>327</v>
      </c>
      <c r="B5463" s="8" t="s">
        <v>1282</v>
      </c>
      <c r="C5463" s="8" t="n">
        <v>2</v>
      </c>
      <c r="D5463" s="8" t="n">
        <v>214.18</v>
      </c>
      <c r="E5463" s="8" t="n">
        <v>0</v>
      </c>
      <c r="F5463" s="8" t="n">
        <v>0</v>
      </c>
    </row>
    <row r="5464" customFormat="false" ht="15" hidden="false" customHeight="true" outlineLevel="0" collapsed="false">
      <c r="A5464" s="8" t="s">
        <v>291</v>
      </c>
      <c r="B5464" s="8" t="s">
        <v>1286</v>
      </c>
      <c r="C5464" s="8" t="n">
        <v>1</v>
      </c>
      <c r="D5464" s="8" t="n">
        <v>64.89</v>
      </c>
      <c r="E5464" s="8" t="n">
        <v>0</v>
      </c>
      <c r="F5464" s="8" t="n">
        <v>0</v>
      </c>
    </row>
    <row r="5465" customFormat="false" ht="15" hidden="false" customHeight="true" outlineLevel="0" collapsed="false">
      <c r="A5465" s="8" t="s">
        <v>372</v>
      </c>
      <c r="B5465" s="8" t="s">
        <v>1286</v>
      </c>
      <c r="C5465" s="8" t="n">
        <v>1</v>
      </c>
      <c r="D5465" s="8" t="n">
        <v>64.89</v>
      </c>
      <c r="E5465" s="8" t="n">
        <v>2</v>
      </c>
      <c r="F5465" s="8" t="n">
        <v>129.78</v>
      </c>
    </row>
    <row r="5466" customFormat="false" ht="15" hidden="false" customHeight="true" outlineLevel="0" collapsed="false">
      <c r="A5466" s="8" t="s">
        <v>216</v>
      </c>
      <c r="B5466" s="8" t="s">
        <v>1223</v>
      </c>
      <c r="C5466" s="8" t="n">
        <v>1</v>
      </c>
      <c r="D5466" s="8" t="n">
        <v>77.8</v>
      </c>
      <c r="E5466" s="8" t="n">
        <v>0</v>
      </c>
      <c r="F5466" s="8" t="n">
        <v>0</v>
      </c>
    </row>
    <row r="5467" customFormat="false" ht="15" hidden="false" customHeight="true" outlineLevel="0" collapsed="false">
      <c r="A5467" s="8" t="s">
        <v>190</v>
      </c>
      <c r="B5467" s="8" t="s">
        <v>1224</v>
      </c>
      <c r="C5467" s="8" t="n">
        <v>4</v>
      </c>
      <c r="D5467" s="8" t="n">
        <v>97.72</v>
      </c>
      <c r="E5467" s="8" t="n">
        <v>0</v>
      </c>
      <c r="F5467" s="8" t="n">
        <v>0</v>
      </c>
    </row>
    <row r="5468" customFormat="false" ht="15" hidden="false" customHeight="true" outlineLevel="0" collapsed="false">
      <c r="A5468" s="8" t="s">
        <v>183</v>
      </c>
      <c r="B5468" s="8" t="s">
        <v>1224</v>
      </c>
      <c r="C5468" s="8" t="n">
        <v>8</v>
      </c>
      <c r="D5468" s="8" t="n">
        <v>195.44</v>
      </c>
      <c r="E5468" s="8" t="n">
        <v>3</v>
      </c>
      <c r="F5468" s="8" t="n">
        <v>73.29</v>
      </c>
    </row>
    <row r="5469" customFormat="false" ht="15" hidden="false" customHeight="true" outlineLevel="0" collapsed="false">
      <c r="A5469" s="8" t="s">
        <v>161</v>
      </c>
      <c r="B5469" s="8" t="s">
        <v>1208</v>
      </c>
      <c r="C5469" s="8" t="n">
        <v>8</v>
      </c>
      <c r="D5469" s="8" t="n">
        <v>364</v>
      </c>
      <c r="E5469" s="8" t="n">
        <v>4</v>
      </c>
      <c r="F5469" s="8" t="n">
        <v>182</v>
      </c>
    </row>
    <row r="5470" customFormat="false" ht="15" hidden="false" customHeight="true" outlineLevel="0" collapsed="false">
      <c r="A5470" s="8" t="s">
        <v>162</v>
      </c>
      <c r="B5470" s="8" t="s">
        <v>1209</v>
      </c>
      <c r="C5470" s="8" t="n">
        <v>5</v>
      </c>
      <c r="D5470" s="8" t="n">
        <v>389</v>
      </c>
      <c r="E5470" s="8" t="n">
        <v>0</v>
      </c>
      <c r="F5470" s="8" t="n">
        <v>0</v>
      </c>
    </row>
    <row r="5471" customFormat="false" ht="15" hidden="false" customHeight="true" outlineLevel="0" collapsed="false">
      <c r="A5471" s="8" t="s">
        <v>174</v>
      </c>
      <c r="B5471" s="8" t="s">
        <v>1210</v>
      </c>
      <c r="C5471" s="8" t="n">
        <v>0</v>
      </c>
      <c r="D5471" s="8" t="n">
        <v>0</v>
      </c>
      <c r="E5471" s="8" t="n">
        <v>2</v>
      </c>
      <c r="F5471" s="8" t="n">
        <v>94.46</v>
      </c>
    </row>
    <row r="5472" customFormat="false" ht="15" hidden="false" customHeight="true" outlineLevel="0" collapsed="false">
      <c r="A5472" s="8" t="s">
        <v>166</v>
      </c>
      <c r="B5472" s="8" t="s">
        <v>1211</v>
      </c>
      <c r="C5472" s="8" t="n">
        <v>4</v>
      </c>
      <c r="D5472" s="8" t="n">
        <v>253.08</v>
      </c>
      <c r="E5472" s="8" t="n">
        <v>0</v>
      </c>
      <c r="F5472" s="8" t="n">
        <v>0</v>
      </c>
    </row>
    <row r="5473" customFormat="false" ht="15" hidden="false" customHeight="true" outlineLevel="0" collapsed="false">
      <c r="A5473" s="8" t="s">
        <v>270</v>
      </c>
      <c r="B5473" s="8" t="s">
        <v>1251</v>
      </c>
      <c r="C5473" s="8" t="n">
        <v>12</v>
      </c>
      <c r="D5473" s="8" t="n">
        <v>117.84</v>
      </c>
      <c r="E5473" s="8" t="n">
        <v>0</v>
      </c>
      <c r="F5473" s="8" t="n">
        <v>0</v>
      </c>
    </row>
    <row r="5474" customFormat="false" ht="15" hidden="false" customHeight="true" outlineLevel="0" collapsed="false">
      <c r="A5474" s="8" t="s">
        <v>307</v>
      </c>
      <c r="B5474" s="8" t="s">
        <v>1252</v>
      </c>
      <c r="C5474" s="8" t="n">
        <v>16</v>
      </c>
      <c r="D5474" s="8" t="n">
        <v>228.48</v>
      </c>
      <c r="E5474" s="8" t="n">
        <v>0</v>
      </c>
      <c r="F5474" s="8" t="n">
        <v>0</v>
      </c>
    </row>
    <row r="5475" customFormat="false" ht="15" hidden="false" customHeight="true" outlineLevel="0" collapsed="false">
      <c r="A5475" s="8" t="s">
        <v>263</v>
      </c>
      <c r="B5475" s="8" t="s">
        <v>407</v>
      </c>
      <c r="C5475" s="8" t="n">
        <v>20</v>
      </c>
      <c r="D5475" s="8" t="n">
        <v>256.4</v>
      </c>
      <c r="E5475" s="8" t="n">
        <v>6</v>
      </c>
      <c r="F5475" s="8" t="n">
        <v>76.92</v>
      </c>
    </row>
    <row r="5476" customFormat="false" ht="15" hidden="false" customHeight="true" outlineLevel="0" collapsed="false">
      <c r="A5476" s="8" t="s">
        <v>201</v>
      </c>
      <c r="B5476" s="8" t="s">
        <v>1226</v>
      </c>
      <c r="C5476" s="8" t="n">
        <v>6</v>
      </c>
      <c r="D5476" s="8" t="n">
        <v>253.02</v>
      </c>
      <c r="E5476" s="8" t="n">
        <v>0</v>
      </c>
      <c r="F5476" s="8" t="n">
        <v>0</v>
      </c>
    </row>
    <row r="5477" customFormat="false" ht="15" hidden="false" customHeight="true" outlineLevel="0" collapsed="false">
      <c r="A5477" s="8" t="s">
        <v>241</v>
      </c>
      <c r="B5477" s="8" t="s">
        <v>1227</v>
      </c>
      <c r="C5477" s="8" t="n">
        <v>2</v>
      </c>
      <c r="D5477" s="8" t="n">
        <v>34</v>
      </c>
      <c r="E5477" s="8" t="n">
        <v>0</v>
      </c>
      <c r="F5477" s="8" t="n">
        <v>0</v>
      </c>
    </row>
    <row r="5478" customFormat="false" ht="15" hidden="false" customHeight="true" outlineLevel="0" collapsed="false">
      <c r="A5478" s="8" t="s">
        <v>223</v>
      </c>
      <c r="B5478" s="8" t="s">
        <v>1227</v>
      </c>
      <c r="C5478" s="8" t="n">
        <v>2</v>
      </c>
      <c r="D5478" s="8" t="n">
        <v>34</v>
      </c>
      <c r="E5478" s="8" t="n">
        <v>0</v>
      </c>
      <c r="F5478" s="8" t="n">
        <v>0</v>
      </c>
    </row>
    <row r="5479" customFormat="false" ht="15" hidden="false" customHeight="true" outlineLevel="0" collapsed="false">
      <c r="A5479" s="8" t="s">
        <v>237</v>
      </c>
      <c r="B5479" s="8" t="s">
        <v>1259</v>
      </c>
      <c r="C5479" s="8" t="n">
        <v>30</v>
      </c>
      <c r="D5479" s="8" t="n">
        <v>553.5</v>
      </c>
      <c r="E5479" s="8" t="n">
        <v>0</v>
      </c>
      <c r="F5479" s="8" t="n">
        <v>0</v>
      </c>
    </row>
    <row r="5480" customFormat="false" ht="15" hidden="false" customHeight="true" outlineLevel="0" collapsed="false">
      <c r="A5480" s="8" t="s">
        <v>271</v>
      </c>
      <c r="B5480" s="8" t="s">
        <v>1260</v>
      </c>
      <c r="C5480" s="8" t="n">
        <v>2</v>
      </c>
      <c r="D5480" s="8" t="n">
        <v>46.8</v>
      </c>
      <c r="E5480" s="8" t="n">
        <v>0</v>
      </c>
      <c r="F5480" s="8" t="n">
        <v>0</v>
      </c>
    </row>
    <row r="5481" customFormat="false" ht="15" hidden="false" customHeight="true" outlineLevel="0" collapsed="false">
      <c r="A5481" s="8" t="s">
        <v>246</v>
      </c>
      <c r="B5481" s="8" t="s">
        <v>1261</v>
      </c>
      <c r="C5481" s="8" t="n">
        <v>24</v>
      </c>
      <c r="D5481" s="8" t="n">
        <v>416.4</v>
      </c>
      <c r="E5481" s="8" t="n">
        <v>0</v>
      </c>
      <c r="F5481" s="8" t="n">
        <v>0</v>
      </c>
    </row>
    <row r="5482" customFormat="false" ht="15" hidden="false" customHeight="true" outlineLevel="0" collapsed="false">
      <c r="A5482" s="8" t="s">
        <v>202</v>
      </c>
      <c r="B5482" s="8" t="s">
        <v>1212</v>
      </c>
      <c r="C5482" s="8" t="n">
        <v>16</v>
      </c>
      <c r="D5482" s="8" t="n">
        <v>152</v>
      </c>
      <c r="E5482" s="8" t="n">
        <v>4</v>
      </c>
      <c r="F5482" s="8" t="n">
        <v>38</v>
      </c>
    </row>
    <row r="5483" customFormat="false" ht="15" hidden="false" customHeight="true" outlineLevel="0" collapsed="false">
      <c r="A5483" s="8" t="s">
        <v>244</v>
      </c>
      <c r="B5483" s="8" t="s">
        <v>1213</v>
      </c>
      <c r="C5483" s="8" t="n">
        <v>7</v>
      </c>
      <c r="D5483" s="8" t="n">
        <v>66.5</v>
      </c>
      <c r="E5483" s="8" t="n">
        <v>0</v>
      </c>
      <c r="F5483" s="8" t="n">
        <v>0</v>
      </c>
    </row>
    <row r="5484" customFormat="false" ht="15" hidden="false" customHeight="true" outlineLevel="0" collapsed="false">
      <c r="A5484" s="8" t="s">
        <v>243</v>
      </c>
      <c r="B5484" s="8" t="s">
        <v>1253</v>
      </c>
      <c r="C5484" s="8" t="n">
        <v>18</v>
      </c>
      <c r="D5484" s="8" t="n">
        <v>233.1</v>
      </c>
      <c r="E5484" s="8" t="n">
        <v>0</v>
      </c>
      <c r="F5484" s="8" t="n">
        <v>0</v>
      </c>
    </row>
    <row r="5485" customFormat="false" ht="15" hidden="false" customHeight="true" outlineLevel="0" collapsed="false">
      <c r="A5485" s="8" t="s">
        <v>251</v>
      </c>
      <c r="B5485" s="8" t="s">
        <v>1262</v>
      </c>
      <c r="C5485" s="8" t="n">
        <v>20</v>
      </c>
      <c r="D5485" s="8" t="n">
        <v>194.2</v>
      </c>
      <c r="E5485" s="8" t="n">
        <v>0</v>
      </c>
      <c r="F5485" s="8" t="n">
        <v>0</v>
      </c>
    </row>
    <row r="5486" customFormat="false" ht="15" hidden="false" customHeight="true" outlineLevel="0" collapsed="false">
      <c r="A5486" s="8" t="s">
        <v>308</v>
      </c>
      <c r="B5486" s="8" t="s">
        <v>1229</v>
      </c>
      <c r="C5486" s="8" t="n">
        <v>6</v>
      </c>
      <c r="D5486" s="8" t="n">
        <v>48.48</v>
      </c>
      <c r="E5486" s="8" t="n">
        <v>10</v>
      </c>
      <c r="F5486" s="8" t="n">
        <v>80.8</v>
      </c>
    </row>
    <row r="5487" customFormat="false" ht="15" hidden="false" customHeight="true" outlineLevel="0" collapsed="false">
      <c r="A5487" s="8" t="s">
        <v>172</v>
      </c>
      <c r="B5487" s="8" t="s">
        <v>1214</v>
      </c>
      <c r="C5487" s="8" t="n">
        <v>34</v>
      </c>
      <c r="D5487" s="8" t="n">
        <v>414.12</v>
      </c>
      <c r="E5487" s="8" t="n">
        <v>20</v>
      </c>
      <c r="F5487" s="8" t="n">
        <v>243.6</v>
      </c>
    </row>
    <row r="5488" customFormat="false" ht="15" hidden="false" customHeight="true" outlineLevel="0" collapsed="false">
      <c r="A5488" s="8" t="s">
        <v>261</v>
      </c>
      <c r="B5488" s="8" t="s">
        <v>1215</v>
      </c>
      <c r="C5488" s="8" t="n">
        <v>0</v>
      </c>
      <c r="D5488" s="8" t="n">
        <v>0</v>
      </c>
      <c r="E5488" s="8" t="n">
        <v>3</v>
      </c>
      <c r="F5488" s="8" t="n">
        <v>63.63</v>
      </c>
    </row>
    <row r="5489" customFormat="false" ht="15" hidden="false" customHeight="true" outlineLevel="0" collapsed="false">
      <c r="A5489" s="8" t="s">
        <v>281</v>
      </c>
      <c r="B5489" s="8" t="s">
        <v>1254</v>
      </c>
      <c r="C5489" s="8" t="n">
        <v>20</v>
      </c>
      <c r="D5489" s="8" t="n">
        <v>276.8</v>
      </c>
      <c r="E5489" s="8" t="n">
        <v>0</v>
      </c>
      <c r="F5489" s="8" t="n">
        <v>0</v>
      </c>
    </row>
    <row r="5490" customFormat="false" ht="15" hidden="false" customHeight="true" outlineLevel="0" collapsed="false">
      <c r="A5490" s="8" t="s">
        <v>232</v>
      </c>
      <c r="B5490" s="8" t="s">
        <v>1233</v>
      </c>
      <c r="C5490" s="8" t="n">
        <v>12</v>
      </c>
      <c r="D5490" s="8" t="n">
        <v>194.4</v>
      </c>
      <c r="E5490" s="8" t="n">
        <v>0</v>
      </c>
      <c r="F5490" s="8" t="n">
        <v>0</v>
      </c>
    </row>
    <row r="5491" customFormat="false" ht="15" hidden="false" customHeight="true" outlineLevel="0" collapsed="false">
      <c r="A5491" s="8" t="s">
        <v>215</v>
      </c>
      <c r="B5491" s="8" t="s">
        <v>1233</v>
      </c>
      <c r="C5491" s="8" t="n">
        <v>9</v>
      </c>
      <c r="D5491" s="8" t="n">
        <v>160.38</v>
      </c>
      <c r="E5491" s="8" t="n">
        <v>0</v>
      </c>
      <c r="F5491" s="8" t="n">
        <v>0</v>
      </c>
    </row>
    <row r="5492" customFormat="false" ht="15" hidden="false" customHeight="true" outlineLevel="0" collapsed="false">
      <c r="A5492" s="8" t="s">
        <v>255</v>
      </c>
      <c r="B5492" s="8" t="s">
        <v>1273</v>
      </c>
      <c r="C5492" s="8" t="n">
        <v>16</v>
      </c>
      <c r="D5492" s="8" t="n">
        <v>131.2</v>
      </c>
      <c r="E5492" s="8" t="n">
        <v>2</v>
      </c>
      <c r="F5492" s="8" t="n">
        <v>16.4</v>
      </c>
    </row>
    <row r="5493" customFormat="false" ht="15" hidden="false" customHeight="true" outlineLevel="0" collapsed="false">
      <c r="A5493" s="8" t="s">
        <v>194</v>
      </c>
      <c r="B5493" s="8" t="s">
        <v>1239</v>
      </c>
      <c r="C5493" s="8" t="n">
        <v>6</v>
      </c>
      <c r="D5493" s="8" t="n">
        <v>58.92</v>
      </c>
      <c r="E5493" s="8" t="n">
        <v>10</v>
      </c>
      <c r="F5493" s="8" t="n">
        <v>98.2</v>
      </c>
    </row>
    <row r="5494" customFormat="false" ht="15" hidden="false" customHeight="true" outlineLevel="0" collapsed="false">
      <c r="A5494" s="8" t="s">
        <v>279</v>
      </c>
      <c r="B5494" s="8" t="s">
        <v>1274</v>
      </c>
      <c r="C5494" s="8" t="n">
        <v>10</v>
      </c>
      <c r="D5494" s="8" t="n">
        <v>98.2</v>
      </c>
      <c r="E5494" s="8" t="n">
        <v>4</v>
      </c>
      <c r="F5494" s="8" t="n">
        <v>39.28</v>
      </c>
    </row>
    <row r="5495" customFormat="false" ht="15" hidden="false" customHeight="true" outlineLevel="0" collapsed="false">
      <c r="A5495" s="8" t="s">
        <v>225</v>
      </c>
      <c r="B5495" s="8" t="s">
        <v>1237</v>
      </c>
      <c r="C5495" s="8" t="n">
        <v>0</v>
      </c>
      <c r="D5495" s="8" t="n">
        <v>0</v>
      </c>
      <c r="E5495" s="8" t="n">
        <v>6</v>
      </c>
      <c r="F5495" s="8" t="n">
        <v>110.4</v>
      </c>
    </row>
    <row r="5496" customFormat="false" ht="15" hidden="false" customHeight="true" outlineLevel="0" collapsed="false">
      <c r="A5496" s="8" t="s">
        <v>364</v>
      </c>
      <c r="B5496" s="8" t="s">
        <v>1264</v>
      </c>
      <c r="C5496" s="8" t="n">
        <v>0</v>
      </c>
      <c r="D5496" s="8" t="n">
        <v>0</v>
      </c>
      <c r="E5496" s="8" t="n">
        <v>10</v>
      </c>
      <c r="F5496" s="8" t="n">
        <v>184</v>
      </c>
    </row>
    <row r="5497" customFormat="false" ht="15" hidden="false" customHeight="true" outlineLevel="0" collapsed="false">
      <c r="A5497" s="8" t="s">
        <v>168</v>
      </c>
      <c r="B5497" s="8" t="s">
        <v>1240</v>
      </c>
      <c r="C5497" s="8" t="n">
        <v>7</v>
      </c>
      <c r="D5497" s="8" t="n">
        <v>292.67</v>
      </c>
      <c r="E5497" s="8" t="n">
        <v>0</v>
      </c>
      <c r="F5497" s="8" t="n">
        <v>0</v>
      </c>
    </row>
    <row r="5498" customFormat="false" ht="15" hidden="false" customHeight="true" outlineLevel="0" collapsed="false">
      <c r="A5498" s="8" t="s">
        <v>180</v>
      </c>
      <c r="B5498" s="8" t="s">
        <v>1216</v>
      </c>
      <c r="C5498" s="8" t="n">
        <v>7</v>
      </c>
      <c r="D5498" s="8" t="n">
        <v>115.5</v>
      </c>
      <c r="E5498" s="8" t="n">
        <v>4</v>
      </c>
      <c r="F5498" s="8" t="n">
        <v>66</v>
      </c>
    </row>
    <row r="5499" customFormat="false" ht="15" hidden="false" customHeight="true" outlineLevel="0" collapsed="false">
      <c r="A5499" s="8" t="s">
        <v>189</v>
      </c>
      <c r="B5499" s="8" t="s">
        <v>1216</v>
      </c>
      <c r="C5499" s="8" t="n">
        <v>10</v>
      </c>
      <c r="D5499" s="8" t="n">
        <v>165</v>
      </c>
      <c r="E5499" s="8" t="n">
        <v>0</v>
      </c>
      <c r="F5499" s="8" t="n">
        <v>0</v>
      </c>
    </row>
    <row r="5500" customFormat="false" ht="15" hidden="false" customHeight="true" outlineLevel="0" collapsed="false">
      <c r="A5500" s="8" t="s">
        <v>267</v>
      </c>
      <c r="B5500" s="8" t="s">
        <v>1216</v>
      </c>
      <c r="C5500" s="8" t="n">
        <v>3</v>
      </c>
      <c r="D5500" s="8" t="n">
        <v>49.5</v>
      </c>
      <c r="E5500" s="8" t="n">
        <v>0</v>
      </c>
      <c r="F5500" s="8" t="n">
        <v>0</v>
      </c>
    </row>
    <row r="5501" customFormat="false" ht="15" hidden="false" customHeight="true" outlineLevel="0" collapsed="false">
      <c r="A5501" s="8" t="s">
        <v>199</v>
      </c>
      <c r="B5501" s="8" t="s">
        <v>1216</v>
      </c>
      <c r="C5501" s="8" t="n">
        <v>4</v>
      </c>
      <c r="D5501" s="8" t="n">
        <v>66</v>
      </c>
      <c r="E5501" s="8" t="n">
        <v>0</v>
      </c>
      <c r="F5501" s="8" t="n">
        <v>0</v>
      </c>
    </row>
    <row r="5502" customFormat="false" ht="15" hidden="false" customHeight="true" outlineLevel="0" collapsed="false">
      <c r="A5502" s="8" t="s">
        <v>296</v>
      </c>
      <c r="B5502" s="8" t="s">
        <v>1295</v>
      </c>
      <c r="C5502" s="8" t="n">
        <v>1</v>
      </c>
      <c r="D5502" s="8" t="n">
        <v>129.81</v>
      </c>
      <c r="E5502" s="8" t="n">
        <v>0</v>
      </c>
      <c r="F5502" s="8" t="n">
        <v>0</v>
      </c>
    </row>
    <row r="5503" customFormat="false" ht="15" hidden="false" customHeight="true" outlineLevel="0" collapsed="false">
      <c r="A5503" s="8" t="s">
        <v>95</v>
      </c>
      <c r="B5503" s="8" t="s">
        <v>1247</v>
      </c>
      <c r="C5503" s="8" t="n">
        <v>0</v>
      </c>
      <c r="D5503" s="8" t="n">
        <v>0</v>
      </c>
      <c r="E5503" s="8" t="n">
        <v>3</v>
      </c>
      <c r="F5503" s="8" t="n">
        <v>75</v>
      </c>
    </row>
    <row r="5504" customFormat="false" ht="15" hidden="false" customHeight="true" outlineLevel="0" collapsed="false">
      <c r="A5504" s="8" t="s">
        <v>113</v>
      </c>
      <c r="B5504" s="8" t="s">
        <v>1247</v>
      </c>
      <c r="C5504" s="8" t="n">
        <v>0</v>
      </c>
      <c r="D5504" s="8" t="n">
        <v>0</v>
      </c>
      <c r="E5504" s="8" t="n">
        <v>3</v>
      </c>
      <c r="F5504" s="8" t="n">
        <v>75</v>
      </c>
    </row>
    <row r="5505" customFormat="false" ht="15" hidden="false" customHeight="true" outlineLevel="0" collapsed="false">
      <c r="A5505" s="8" t="s">
        <v>99</v>
      </c>
      <c r="B5505" s="8" t="s">
        <v>1247</v>
      </c>
      <c r="C5505" s="8" t="n">
        <v>0</v>
      </c>
      <c r="D5505" s="8" t="n">
        <v>0</v>
      </c>
      <c r="E5505" s="8" t="n">
        <v>3</v>
      </c>
      <c r="F5505" s="8" t="n">
        <v>75</v>
      </c>
    </row>
    <row r="5506" customFormat="false" ht="15" hidden="false" customHeight="true" outlineLevel="0" collapsed="false">
      <c r="A5506" s="8" t="s">
        <v>120</v>
      </c>
      <c r="B5506" s="8" t="s">
        <v>1247</v>
      </c>
      <c r="C5506" s="8" t="n">
        <v>4</v>
      </c>
      <c r="D5506" s="8" t="n">
        <v>100</v>
      </c>
      <c r="E5506" s="8" t="n">
        <v>0</v>
      </c>
      <c r="F5506" s="8" t="n">
        <v>0</v>
      </c>
    </row>
    <row r="5507" customFormat="false" ht="15" hidden="false" customHeight="true" outlineLevel="0" collapsed="false">
      <c r="A5507" s="8" t="s">
        <v>273</v>
      </c>
      <c r="B5507" s="8" t="s">
        <v>1218</v>
      </c>
      <c r="C5507" s="8" t="n">
        <v>1</v>
      </c>
      <c r="D5507" s="8" t="n">
        <v>126.5</v>
      </c>
      <c r="E5507" s="8" t="n">
        <v>0</v>
      </c>
      <c r="F5507" s="8" t="n">
        <v>0</v>
      </c>
    </row>
    <row r="5508" customFormat="false" ht="15" hidden="false" customHeight="true" outlineLevel="0" collapsed="false">
      <c r="A5508" s="8" t="s">
        <v>274</v>
      </c>
      <c r="B5508" s="8" t="s">
        <v>1219</v>
      </c>
      <c r="C5508" s="8" t="n">
        <v>15</v>
      </c>
      <c r="D5508" s="8" t="n">
        <v>130.95</v>
      </c>
      <c r="E5508" s="8" t="n">
        <v>0</v>
      </c>
      <c r="F5508" s="8" t="n">
        <v>0</v>
      </c>
    </row>
    <row r="5509" customFormat="false" ht="15" hidden="false" customHeight="true" outlineLevel="0" collapsed="false">
      <c r="A5509" s="8" t="s">
        <v>170</v>
      </c>
      <c r="B5509" s="8" t="s">
        <v>1220</v>
      </c>
      <c r="C5509" s="8" t="n">
        <v>48</v>
      </c>
      <c r="D5509" s="8" t="n">
        <v>710.4</v>
      </c>
      <c r="E5509" s="8" t="n">
        <v>12</v>
      </c>
      <c r="F5509" s="8" t="n">
        <v>177.6</v>
      </c>
    </row>
    <row r="5510" customFormat="false" ht="15" hidden="false" customHeight="true" outlineLevel="0" collapsed="false">
      <c r="A5510" s="8" t="s">
        <v>167</v>
      </c>
      <c r="B5510" s="8" t="s">
        <v>1238</v>
      </c>
      <c r="C5510" s="8" t="n">
        <v>44</v>
      </c>
      <c r="D5510" s="8" t="n">
        <v>589.6</v>
      </c>
      <c r="E5510" s="8" t="n">
        <v>0</v>
      </c>
      <c r="F5510" s="8" t="n">
        <v>0</v>
      </c>
    </row>
    <row r="5511" customFormat="false" ht="15" hidden="false" customHeight="true" outlineLevel="0" collapsed="false">
      <c r="A5511" s="8" t="s">
        <v>315</v>
      </c>
      <c r="B5511" s="8" t="s">
        <v>1266</v>
      </c>
      <c r="C5511" s="8" t="n">
        <v>4</v>
      </c>
      <c r="D5511" s="8" t="n">
        <v>63.64</v>
      </c>
      <c r="E5511" s="8" t="n">
        <v>0</v>
      </c>
      <c r="F5511" s="8" t="n">
        <v>0</v>
      </c>
    </row>
    <row r="5512" customFormat="false" ht="15" hidden="false" customHeight="true" outlineLevel="0" collapsed="false">
      <c r="A5512" s="8" t="s">
        <v>220</v>
      </c>
      <c r="B5512" s="8" t="s">
        <v>1248</v>
      </c>
      <c r="C5512" s="8" t="n">
        <v>42</v>
      </c>
      <c r="D5512" s="8" t="n">
        <v>436.8</v>
      </c>
      <c r="E5512" s="8" t="n">
        <v>30</v>
      </c>
      <c r="F5512" s="8" t="n">
        <v>312</v>
      </c>
    </row>
    <row r="5513" customFormat="false" ht="15" hidden="false" customHeight="true" outlineLevel="0" collapsed="false">
      <c r="A5513" s="8" t="s">
        <v>275</v>
      </c>
      <c r="B5513" s="8" t="s">
        <v>1257</v>
      </c>
      <c r="C5513" s="8" t="n">
        <v>0</v>
      </c>
      <c r="D5513" s="8" t="n">
        <v>0</v>
      </c>
      <c r="E5513" s="8" t="n">
        <v>10</v>
      </c>
      <c r="F5513" s="8" t="n">
        <v>216</v>
      </c>
    </row>
    <row r="5514" customFormat="false" ht="15" hidden="false" customHeight="true" outlineLevel="0" collapsed="false">
      <c r="A5514" s="8" t="s">
        <v>233</v>
      </c>
      <c r="B5514" s="8" t="s">
        <v>1249</v>
      </c>
      <c r="C5514" s="8" t="n">
        <v>33</v>
      </c>
      <c r="D5514" s="8" t="n">
        <v>592.35</v>
      </c>
      <c r="E5514" s="8" t="n">
        <v>10</v>
      </c>
      <c r="F5514" s="8" t="n">
        <v>179.5</v>
      </c>
    </row>
    <row r="5515" customFormat="false" ht="15" hidden="false" customHeight="true" outlineLevel="0" collapsed="false">
      <c r="A5515" s="8" t="s">
        <v>264</v>
      </c>
      <c r="B5515" s="8" t="s">
        <v>1221</v>
      </c>
      <c r="C5515" s="8" t="n">
        <v>32</v>
      </c>
      <c r="D5515" s="8" t="n">
        <v>185.92</v>
      </c>
      <c r="E5515" s="8" t="n">
        <v>10</v>
      </c>
      <c r="F5515" s="8" t="n">
        <v>58.1</v>
      </c>
    </row>
    <row r="5516" customFormat="false" ht="15" hidden="false" customHeight="true" outlineLevel="0" collapsed="false">
      <c r="A5516" s="8" t="s">
        <v>348</v>
      </c>
      <c r="B5516" s="8" t="s">
        <v>1277</v>
      </c>
      <c r="C5516" s="8" t="n">
        <v>16</v>
      </c>
      <c r="D5516" s="8" t="n">
        <v>108.8</v>
      </c>
      <c r="E5516" s="8" t="n">
        <v>0</v>
      </c>
      <c r="F5516" s="8" t="n">
        <v>0</v>
      </c>
    </row>
    <row r="5517" customFormat="false" ht="15" hidden="false" customHeight="true" outlineLevel="0" collapsed="false">
      <c r="A5517" s="8" t="s">
        <v>258</v>
      </c>
      <c r="B5517" s="8" t="s">
        <v>562</v>
      </c>
      <c r="C5517" s="8" t="n">
        <v>2</v>
      </c>
      <c r="D5517" s="8" t="n">
        <v>72</v>
      </c>
      <c r="E5517" s="8" t="n">
        <v>0</v>
      </c>
      <c r="F5517" s="8" t="n">
        <v>0</v>
      </c>
    </row>
    <row r="5518" customFormat="false" ht="15" hidden="false" customHeight="true" outlineLevel="0" collapsed="false">
      <c r="A5518" s="8" t="s">
        <v>252</v>
      </c>
      <c r="B5518" s="8" t="s">
        <v>1177</v>
      </c>
      <c r="C5518" s="8" t="n">
        <v>6</v>
      </c>
      <c r="D5518" s="8" t="n">
        <v>99.6</v>
      </c>
      <c r="E5518" s="8" t="n">
        <v>0</v>
      </c>
      <c r="F5518" s="8" t="n">
        <v>0</v>
      </c>
    </row>
    <row r="5519" customFormat="false" ht="15" hidden="false" customHeight="true" outlineLevel="0" collapsed="false">
      <c r="A5519" s="8" t="s">
        <v>203</v>
      </c>
      <c r="B5519" s="8" t="s">
        <v>1177</v>
      </c>
      <c r="C5519" s="8" t="n">
        <v>6</v>
      </c>
      <c r="D5519" s="8" t="n">
        <v>111</v>
      </c>
      <c r="E5519" s="8" t="n">
        <v>0</v>
      </c>
      <c r="F5519" s="8" t="n">
        <v>0</v>
      </c>
    </row>
    <row r="5520" customFormat="false" ht="15" hidden="false" customHeight="true" outlineLevel="0" collapsed="false">
      <c r="A5520" s="8" t="s">
        <v>211</v>
      </c>
      <c r="B5520" s="8" t="s">
        <v>1250</v>
      </c>
      <c r="C5520" s="8" t="n">
        <v>6</v>
      </c>
      <c r="D5520" s="8" t="n">
        <v>150</v>
      </c>
      <c r="E5520" s="8" t="n">
        <v>0</v>
      </c>
      <c r="F5520" s="8" t="n">
        <v>0</v>
      </c>
    </row>
    <row r="5521" customFormat="false" ht="15" hidden="false" customHeight="true" outlineLevel="0" collapsed="false">
      <c r="A5521" s="8" t="s">
        <v>248</v>
      </c>
      <c r="B5521" s="8" t="s">
        <v>1242</v>
      </c>
      <c r="C5521" s="8" t="n">
        <v>4</v>
      </c>
      <c r="D5521" s="8" t="n">
        <v>84</v>
      </c>
      <c r="E5521" s="8" t="n">
        <v>0</v>
      </c>
      <c r="F5521" s="8" t="n">
        <v>0</v>
      </c>
    </row>
    <row r="5522" customFormat="false" ht="15" hidden="false" customHeight="true" outlineLevel="0" collapsed="false">
      <c r="A5522" s="8" t="s">
        <v>312</v>
      </c>
      <c r="B5522" s="8" t="s">
        <v>767</v>
      </c>
      <c r="C5522" s="8" t="n">
        <v>4</v>
      </c>
      <c r="D5522" s="8" t="n">
        <v>82</v>
      </c>
      <c r="E5522" s="8" t="n">
        <v>0</v>
      </c>
      <c r="F5522" s="8" t="n">
        <v>0</v>
      </c>
    </row>
    <row r="5523" customFormat="false" ht="15" hidden="false" customHeight="true" outlineLevel="0" collapsed="false">
      <c r="A5523" s="8" t="s">
        <v>226</v>
      </c>
      <c r="B5523" s="8" t="s">
        <v>566</v>
      </c>
      <c r="C5523" s="8" t="n">
        <v>2</v>
      </c>
      <c r="D5523" s="8" t="n">
        <v>41.6</v>
      </c>
      <c r="E5523" s="8" t="n">
        <v>0</v>
      </c>
      <c r="F5523" s="8" t="n">
        <v>0</v>
      </c>
    </row>
    <row r="5524" customFormat="false" ht="15" hidden="false" customHeight="true" outlineLevel="0" collapsed="false">
      <c r="A5524" s="8" t="s">
        <v>340</v>
      </c>
      <c r="B5524" s="8" t="s">
        <v>1267</v>
      </c>
      <c r="C5524" s="8" t="n">
        <v>4</v>
      </c>
      <c r="D5524" s="8" t="n">
        <v>514.84</v>
      </c>
      <c r="E5524" s="8" t="n">
        <v>0</v>
      </c>
      <c r="F5524" s="8" t="n">
        <v>0</v>
      </c>
    </row>
    <row r="5525" customFormat="false" ht="15" hidden="false" customHeight="true" outlineLevel="0" collapsed="false">
      <c r="A5525" s="8" t="s">
        <v>262</v>
      </c>
      <c r="B5525" s="8" t="s">
        <v>1267</v>
      </c>
      <c r="C5525" s="8" t="n">
        <v>4</v>
      </c>
      <c r="D5525" s="8" t="n">
        <v>514.84</v>
      </c>
      <c r="E5525" s="8" t="n">
        <v>0</v>
      </c>
      <c r="F5525" s="8" t="n">
        <v>0</v>
      </c>
    </row>
    <row r="5526" customFormat="false" ht="15" hidden="false" customHeight="true" outlineLevel="0" collapsed="false">
      <c r="A5526" s="8" t="s">
        <v>161</v>
      </c>
      <c r="B5526" s="8" t="s">
        <v>1208</v>
      </c>
      <c r="C5526" s="8" t="n">
        <v>5</v>
      </c>
      <c r="D5526" s="8" t="n">
        <v>227.5</v>
      </c>
      <c r="E5526" s="8" t="n">
        <v>0</v>
      </c>
      <c r="F5526" s="8" t="n">
        <v>0</v>
      </c>
    </row>
    <row r="5527" customFormat="false" ht="15" hidden="false" customHeight="true" outlineLevel="0" collapsed="false">
      <c r="A5527" s="8" t="s">
        <v>162</v>
      </c>
      <c r="B5527" s="8" t="s">
        <v>1209</v>
      </c>
      <c r="C5527" s="8" t="n">
        <v>6</v>
      </c>
      <c r="D5527" s="8" t="n">
        <v>466.8</v>
      </c>
      <c r="E5527" s="8" t="n">
        <v>0</v>
      </c>
      <c r="F5527" s="8" t="n">
        <v>0</v>
      </c>
    </row>
    <row r="5528" customFormat="false" ht="15" hidden="false" customHeight="true" outlineLevel="0" collapsed="false">
      <c r="A5528" s="8" t="s">
        <v>180</v>
      </c>
      <c r="B5528" s="8" t="s">
        <v>1216</v>
      </c>
      <c r="C5528" s="8" t="n">
        <v>3</v>
      </c>
      <c r="D5528" s="8" t="n">
        <v>49.5</v>
      </c>
      <c r="E5528" s="8" t="n">
        <v>0</v>
      </c>
      <c r="F5528" s="8" t="n">
        <v>0</v>
      </c>
    </row>
    <row r="5529" customFormat="false" ht="15" hidden="false" customHeight="true" outlineLevel="0" collapsed="false">
      <c r="A5529" s="8" t="s">
        <v>199</v>
      </c>
      <c r="B5529" s="8" t="s">
        <v>1216</v>
      </c>
      <c r="C5529" s="8" t="n">
        <v>3</v>
      </c>
      <c r="D5529" s="8" t="n">
        <v>49.5</v>
      </c>
      <c r="E5529" s="8" t="n">
        <v>0</v>
      </c>
      <c r="F5529" s="8" t="n">
        <v>0</v>
      </c>
    </row>
    <row r="5530" customFormat="false" ht="15" hidden="false" customHeight="true" outlineLevel="0" collapsed="false">
      <c r="A5530" s="8" t="s">
        <v>198</v>
      </c>
      <c r="B5530" s="8" t="s">
        <v>1217</v>
      </c>
      <c r="C5530" s="8" t="n">
        <v>2</v>
      </c>
      <c r="D5530" s="8" t="n">
        <v>41</v>
      </c>
      <c r="E5530" s="8" t="n">
        <v>0</v>
      </c>
      <c r="F5530" s="8" t="n">
        <v>0</v>
      </c>
    </row>
    <row r="5531" customFormat="false" ht="15" hidden="false" customHeight="true" outlineLevel="0" collapsed="false">
      <c r="A5531" s="8" t="s">
        <v>205</v>
      </c>
      <c r="B5531" s="8" t="s">
        <v>1217</v>
      </c>
      <c r="C5531" s="8" t="n">
        <v>2</v>
      </c>
      <c r="D5531" s="8" t="n">
        <v>41</v>
      </c>
      <c r="E5531" s="8" t="n">
        <v>0</v>
      </c>
      <c r="F5531" s="8" t="n">
        <v>0</v>
      </c>
    </row>
    <row r="5532" customFormat="false" ht="15" hidden="false" customHeight="true" outlineLevel="0" collapsed="false">
      <c r="A5532" s="8" t="s">
        <v>113</v>
      </c>
      <c r="B5532" s="8" t="s">
        <v>1247</v>
      </c>
      <c r="C5532" s="8" t="n">
        <v>2</v>
      </c>
      <c r="D5532" s="8" t="n">
        <v>50</v>
      </c>
      <c r="E5532" s="8" t="n">
        <v>0</v>
      </c>
      <c r="F5532" s="8" t="n">
        <v>0</v>
      </c>
    </row>
    <row r="5533" customFormat="false" ht="15" hidden="false" customHeight="true" outlineLevel="0" collapsed="false">
      <c r="A5533" s="8" t="s">
        <v>120</v>
      </c>
      <c r="B5533" s="8" t="s">
        <v>1247</v>
      </c>
      <c r="C5533" s="8" t="n">
        <v>2</v>
      </c>
      <c r="D5533" s="8" t="n">
        <v>50</v>
      </c>
      <c r="E5533" s="8" t="n">
        <v>0</v>
      </c>
      <c r="F5533" s="8" t="n">
        <v>0</v>
      </c>
    </row>
    <row r="5534" customFormat="false" ht="15" hidden="false" customHeight="true" outlineLevel="0" collapsed="false">
      <c r="A5534" s="8" t="s">
        <v>182</v>
      </c>
      <c r="B5534" s="8" t="s">
        <v>799</v>
      </c>
      <c r="C5534" s="8" t="n">
        <v>1</v>
      </c>
      <c r="D5534" s="8" t="n">
        <v>20</v>
      </c>
      <c r="E5534" s="8" t="n">
        <v>0</v>
      </c>
      <c r="F5534" s="8" t="n">
        <v>0</v>
      </c>
    </row>
    <row r="5535" customFormat="false" ht="15" hidden="false" customHeight="true" outlineLevel="0" collapsed="false">
      <c r="A5535" s="8" t="s">
        <v>170</v>
      </c>
      <c r="B5535" s="8" t="s">
        <v>1220</v>
      </c>
      <c r="C5535" s="8" t="n">
        <v>6</v>
      </c>
      <c r="D5535" s="8" t="n">
        <v>88.8</v>
      </c>
      <c r="E5535" s="8" t="n">
        <v>0</v>
      </c>
      <c r="F5535" s="8" t="n">
        <v>0</v>
      </c>
    </row>
    <row r="5536" customFormat="false" ht="15" hidden="false" customHeight="true" outlineLevel="0" collapsed="false">
      <c r="A5536" s="8" t="s">
        <v>203</v>
      </c>
      <c r="B5536" s="8" t="s">
        <v>1177</v>
      </c>
      <c r="C5536" s="8" t="n">
        <v>8</v>
      </c>
      <c r="D5536" s="8" t="n">
        <v>148</v>
      </c>
      <c r="E5536" s="8" t="n">
        <v>0</v>
      </c>
      <c r="F5536" s="8" t="n">
        <v>0</v>
      </c>
    </row>
    <row r="5537" customFormat="false" ht="15" hidden="false" customHeight="true" outlineLevel="0" collapsed="false">
      <c r="A5537" s="8" t="s">
        <v>248</v>
      </c>
      <c r="B5537" s="8" t="s">
        <v>1242</v>
      </c>
      <c r="C5537" s="8" t="n">
        <v>7</v>
      </c>
      <c r="D5537" s="8" t="n">
        <v>147</v>
      </c>
      <c r="E5537" s="8" t="n">
        <v>0</v>
      </c>
      <c r="F5537" s="8" t="n">
        <v>0</v>
      </c>
    </row>
    <row r="5538" customFormat="false" ht="15" hidden="false" customHeight="true" outlineLevel="0" collapsed="false">
      <c r="A5538" s="8" t="s">
        <v>196</v>
      </c>
      <c r="B5538" s="8" t="s">
        <v>1243</v>
      </c>
      <c r="C5538" s="8" t="n">
        <v>2</v>
      </c>
      <c r="D5538" s="8" t="n">
        <v>107</v>
      </c>
      <c r="E5538" s="8" t="n">
        <v>0</v>
      </c>
      <c r="F5538" s="8" t="n">
        <v>0</v>
      </c>
    </row>
    <row r="5539" customFormat="false" ht="15" hidden="false" customHeight="true" outlineLevel="0" collapsed="false">
      <c r="A5539" s="8" t="s">
        <v>212</v>
      </c>
      <c r="B5539" s="8" t="s">
        <v>1278</v>
      </c>
      <c r="C5539" s="8" t="n">
        <v>1</v>
      </c>
      <c r="D5539" s="8" t="n">
        <v>93.5</v>
      </c>
      <c r="E5539" s="8" t="n">
        <v>0</v>
      </c>
      <c r="F5539" s="8" t="n">
        <v>0</v>
      </c>
    </row>
    <row r="5540" customFormat="false" ht="15" hidden="false" customHeight="true" outlineLevel="0" collapsed="false">
      <c r="A5540" s="8" t="s">
        <v>312</v>
      </c>
      <c r="B5540" s="8" t="s">
        <v>767</v>
      </c>
      <c r="C5540" s="8" t="n">
        <v>1</v>
      </c>
      <c r="D5540" s="8" t="n">
        <v>20.5</v>
      </c>
      <c r="E5540" s="8" t="n">
        <v>0</v>
      </c>
      <c r="F5540" s="8" t="n">
        <v>0</v>
      </c>
    </row>
    <row r="5541" customFormat="false" ht="15" hidden="false" customHeight="true" outlineLevel="0" collapsed="false">
      <c r="A5541" s="8" t="s">
        <v>226</v>
      </c>
      <c r="B5541" s="8" t="s">
        <v>566</v>
      </c>
      <c r="C5541" s="8" t="n">
        <v>2</v>
      </c>
      <c r="D5541" s="8" t="n">
        <v>41.6</v>
      </c>
      <c r="E5541" s="8" t="n">
        <v>0</v>
      </c>
      <c r="F5541" s="8" t="n">
        <v>0</v>
      </c>
    </row>
    <row r="5542" customFormat="false" ht="15" hidden="false" customHeight="true" outlineLevel="0" collapsed="false">
      <c r="A5542" s="8" t="s">
        <v>197</v>
      </c>
      <c r="B5542" s="8" t="s">
        <v>1222</v>
      </c>
      <c r="C5542" s="8" t="n">
        <v>2</v>
      </c>
      <c r="D5542" s="8" t="n">
        <v>130</v>
      </c>
      <c r="E5542" s="8" t="n">
        <v>0</v>
      </c>
      <c r="F5542" s="8" t="n">
        <v>0</v>
      </c>
    </row>
    <row r="5543" customFormat="false" ht="15" hidden="false" customHeight="true" outlineLevel="0" collapsed="false">
      <c r="A5543" s="8" t="s">
        <v>163</v>
      </c>
      <c r="B5543" s="8" t="s">
        <v>897</v>
      </c>
      <c r="C5543" s="8" t="n">
        <v>2</v>
      </c>
      <c r="D5543" s="8" t="n">
        <v>130</v>
      </c>
      <c r="E5543" s="8" t="n">
        <v>0</v>
      </c>
      <c r="F5543" s="8" t="n">
        <v>0</v>
      </c>
    </row>
    <row r="5544" customFormat="false" ht="15" hidden="false" customHeight="true" outlineLevel="0" collapsed="false">
      <c r="A5544" s="8" t="s">
        <v>181</v>
      </c>
      <c r="B5544" s="8" t="s">
        <v>897</v>
      </c>
      <c r="C5544" s="8" t="n">
        <v>2</v>
      </c>
      <c r="D5544" s="8" t="n">
        <v>130</v>
      </c>
      <c r="E5544" s="8" t="n">
        <v>0</v>
      </c>
      <c r="F5544" s="8" t="n">
        <v>0</v>
      </c>
    </row>
    <row r="5545" customFormat="false" ht="15" hidden="false" customHeight="true" outlineLevel="0" collapsed="false">
      <c r="A5545" s="8" t="s">
        <v>290</v>
      </c>
      <c r="B5545" s="8" t="s">
        <v>897</v>
      </c>
      <c r="C5545" s="8" t="n">
        <v>2</v>
      </c>
      <c r="D5545" s="8" t="n">
        <v>130</v>
      </c>
      <c r="E5545" s="8" t="n">
        <v>0</v>
      </c>
      <c r="F5545" s="8" t="n">
        <v>0</v>
      </c>
    </row>
    <row r="5546" customFormat="false" ht="15" hidden="false" customHeight="true" outlineLevel="0" collapsed="false">
      <c r="A5546" s="8" t="s">
        <v>165</v>
      </c>
      <c r="B5546" s="8" t="s">
        <v>897</v>
      </c>
      <c r="C5546" s="8" t="n">
        <v>3</v>
      </c>
      <c r="D5546" s="8" t="n">
        <v>195</v>
      </c>
      <c r="E5546" s="8" t="n">
        <v>1</v>
      </c>
      <c r="F5546" s="8" t="n">
        <v>65</v>
      </c>
    </row>
    <row r="5547" customFormat="false" ht="15" hidden="false" customHeight="true" outlineLevel="0" collapsed="false">
      <c r="A5547" s="8" t="s">
        <v>184</v>
      </c>
      <c r="B5547" s="8" t="s">
        <v>897</v>
      </c>
      <c r="C5547" s="8" t="n">
        <v>1</v>
      </c>
      <c r="D5547" s="8" t="n">
        <v>65</v>
      </c>
      <c r="E5547" s="8" t="n">
        <v>1</v>
      </c>
      <c r="F5547" s="8" t="n">
        <v>65</v>
      </c>
    </row>
    <row r="5548" customFormat="false" ht="15" hidden="false" customHeight="true" outlineLevel="0" collapsed="false">
      <c r="A5548" s="8" t="s">
        <v>175</v>
      </c>
      <c r="B5548" s="8" t="s">
        <v>1244</v>
      </c>
      <c r="C5548" s="8" t="n">
        <v>1</v>
      </c>
      <c r="D5548" s="8" t="n">
        <v>175.5</v>
      </c>
      <c r="E5548" s="8" t="n">
        <v>2</v>
      </c>
      <c r="F5548" s="8" t="n">
        <v>351</v>
      </c>
    </row>
    <row r="5549" customFormat="false" ht="15" hidden="false" customHeight="true" outlineLevel="0" collapsed="false">
      <c r="A5549" s="8" t="s">
        <v>230</v>
      </c>
      <c r="B5549" s="8" t="s">
        <v>1244</v>
      </c>
      <c r="C5549" s="8" t="n">
        <v>1</v>
      </c>
      <c r="D5549" s="8" t="n">
        <v>175.5</v>
      </c>
      <c r="E5549" s="8" t="n">
        <v>2</v>
      </c>
      <c r="F5549" s="8" t="n">
        <v>351</v>
      </c>
    </row>
    <row r="5550" customFormat="false" ht="15" hidden="false" customHeight="true" outlineLevel="0" collapsed="false">
      <c r="A5550" s="8" t="s">
        <v>329</v>
      </c>
      <c r="B5550" s="8" t="s">
        <v>1244</v>
      </c>
      <c r="C5550" s="8" t="n">
        <v>1</v>
      </c>
      <c r="D5550" s="8" t="n">
        <v>175.5</v>
      </c>
      <c r="E5550" s="8" t="n">
        <v>0</v>
      </c>
      <c r="F5550" s="8" t="n">
        <v>0</v>
      </c>
    </row>
    <row r="5551" customFormat="false" ht="15" hidden="false" customHeight="true" outlineLevel="0" collapsed="false">
      <c r="A5551" s="8" t="s">
        <v>173</v>
      </c>
      <c r="B5551" s="8" t="s">
        <v>1244</v>
      </c>
      <c r="C5551" s="8" t="n">
        <v>3</v>
      </c>
      <c r="D5551" s="8" t="n">
        <v>526.5</v>
      </c>
      <c r="E5551" s="8" t="n">
        <v>0</v>
      </c>
      <c r="F5551" s="8" t="n">
        <v>0</v>
      </c>
    </row>
    <row r="5552" customFormat="false" ht="15" hidden="false" customHeight="true" outlineLevel="0" collapsed="false">
      <c r="A5552" s="8" t="s">
        <v>177</v>
      </c>
      <c r="B5552" s="8" t="s">
        <v>1244</v>
      </c>
      <c r="C5552" s="8" t="n">
        <v>3</v>
      </c>
      <c r="D5552" s="8" t="n">
        <v>526.5</v>
      </c>
      <c r="E5552" s="8" t="n">
        <v>0</v>
      </c>
      <c r="F5552" s="8" t="n">
        <v>0</v>
      </c>
    </row>
    <row r="5553" customFormat="false" ht="15" hidden="false" customHeight="true" outlineLevel="0" collapsed="false">
      <c r="A5553" s="8" t="s">
        <v>221</v>
      </c>
      <c r="B5553" s="8" t="s">
        <v>1179</v>
      </c>
      <c r="C5553" s="8" t="n">
        <v>3</v>
      </c>
      <c r="D5553" s="8" t="n">
        <v>217.02</v>
      </c>
      <c r="E5553" s="8" t="n">
        <v>0</v>
      </c>
      <c r="F5553" s="8" t="n">
        <v>0</v>
      </c>
    </row>
    <row r="5554" customFormat="false" ht="15" hidden="false" customHeight="true" outlineLevel="0" collapsed="false">
      <c r="A5554" s="8" t="s">
        <v>283</v>
      </c>
      <c r="B5554" s="8" t="s">
        <v>1223</v>
      </c>
      <c r="C5554" s="8" t="n">
        <v>1</v>
      </c>
      <c r="D5554" s="8" t="n">
        <v>77.8</v>
      </c>
      <c r="E5554" s="8" t="n">
        <v>0</v>
      </c>
      <c r="F5554" s="8" t="n">
        <v>0</v>
      </c>
    </row>
    <row r="5555" customFormat="false" ht="15" hidden="false" customHeight="true" outlineLevel="0" collapsed="false">
      <c r="A5555" s="8" t="s">
        <v>190</v>
      </c>
      <c r="B5555" s="8" t="s">
        <v>1224</v>
      </c>
      <c r="C5555" s="8" t="n">
        <v>5</v>
      </c>
      <c r="D5555" s="8" t="n">
        <v>122.15</v>
      </c>
      <c r="E5555" s="8" t="n">
        <v>0</v>
      </c>
      <c r="F5555" s="8" t="n">
        <v>0</v>
      </c>
    </row>
    <row r="5556" customFormat="false" ht="15" hidden="false" customHeight="true" outlineLevel="0" collapsed="false">
      <c r="A5556" s="8" t="s">
        <v>183</v>
      </c>
      <c r="B5556" s="8" t="s">
        <v>1224</v>
      </c>
      <c r="C5556" s="8" t="n">
        <v>9</v>
      </c>
      <c r="D5556" s="8" t="n">
        <v>219.87</v>
      </c>
      <c r="E5556" s="8" t="n">
        <v>0</v>
      </c>
      <c r="F5556" s="8" t="n">
        <v>0</v>
      </c>
    </row>
    <row r="5557" customFormat="false" ht="15" hidden="false" customHeight="true" outlineLevel="0" collapsed="false">
      <c r="A5557" s="8" t="s">
        <v>218</v>
      </c>
      <c r="B5557" s="8" t="s">
        <v>1224</v>
      </c>
      <c r="C5557" s="8" t="n">
        <v>1</v>
      </c>
      <c r="D5557" s="8" t="n">
        <v>24.43</v>
      </c>
      <c r="E5557" s="8" t="n">
        <v>2</v>
      </c>
      <c r="F5557" s="8" t="n">
        <v>48.86</v>
      </c>
    </row>
    <row r="5558" customFormat="false" ht="15" hidden="false" customHeight="true" outlineLevel="0" collapsed="false">
      <c r="A5558" s="8" t="s">
        <v>324</v>
      </c>
      <c r="B5558" s="8" t="s">
        <v>1271</v>
      </c>
      <c r="C5558" s="8" t="n">
        <v>6</v>
      </c>
      <c r="D5558" s="8" t="n">
        <v>66</v>
      </c>
      <c r="E5558" s="8" t="n">
        <v>0</v>
      </c>
      <c r="F5558" s="8" t="n">
        <v>0</v>
      </c>
    </row>
    <row r="5559" customFormat="false" ht="15" hidden="false" customHeight="true" outlineLevel="0" collapsed="false">
      <c r="A5559" s="8" t="s">
        <v>337</v>
      </c>
      <c r="B5559" s="8" t="s">
        <v>1272</v>
      </c>
      <c r="C5559" s="8" t="n">
        <v>6</v>
      </c>
      <c r="D5559" s="8" t="n">
        <v>66</v>
      </c>
      <c r="E5559" s="8" t="n">
        <v>0</v>
      </c>
      <c r="F5559" s="8" t="n">
        <v>0</v>
      </c>
    </row>
    <row r="5560" customFormat="false" ht="15" hidden="false" customHeight="true" outlineLevel="0" collapsed="false">
      <c r="A5560" s="8" t="s">
        <v>161</v>
      </c>
      <c r="B5560" s="8" t="s">
        <v>1208</v>
      </c>
      <c r="C5560" s="8" t="n">
        <v>5</v>
      </c>
      <c r="D5560" s="8" t="n">
        <v>227.5</v>
      </c>
      <c r="E5560" s="8" t="n">
        <v>0</v>
      </c>
      <c r="F5560" s="8" t="n">
        <v>0</v>
      </c>
    </row>
    <row r="5561" customFormat="false" ht="15" hidden="false" customHeight="true" outlineLevel="0" collapsed="false">
      <c r="A5561" s="8" t="s">
        <v>166</v>
      </c>
      <c r="B5561" s="8" t="s">
        <v>1211</v>
      </c>
      <c r="C5561" s="8" t="n">
        <v>4</v>
      </c>
      <c r="D5561" s="8" t="n">
        <v>253.08</v>
      </c>
      <c r="E5561" s="8" t="n">
        <v>4</v>
      </c>
      <c r="F5561" s="8" t="n">
        <v>253.08</v>
      </c>
    </row>
    <row r="5562" customFormat="false" ht="15" hidden="false" customHeight="true" outlineLevel="0" collapsed="false">
      <c r="A5562" s="8" t="s">
        <v>164</v>
      </c>
      <c r="B5562" s="8" t="s">
        <v>1211</v>
      </c>
      <c r="C5562" s="8" t="n">
        <v>4</v>
      </c>
      <c r="D5562" s="8" t="n">
        <v>253.08</v>
      </c>
      <c r="E5562" s="8" t="n">
        <v>4</v>
      </c>
      <c r="F5562" s="8" t="n">
        <v>253.08</v>
      </c>
    </row>
    <row r="5563" customFormat="false" ht="15" hidden="false" customHeight="true" outlineLevel="0" collapsed="false">
      <c r="A5563" s="8" t="s">
        <v>222</v>
      </c>
      <c r="B5563" s="8" t="s">
        <v>1211</v>
      </c>
      <c r="C5563" s="8" t="n">
        <v>2</v>
      </c>
      <c r="D5563" s="8" t="n">
        <v>126.54</v>
      </c>
      <c r="E5563" s="8" t="n">
        <v>0</v>
      </c>
      <c r="F5563" s="8" t="n">
        <v>0</v>
      </c>
    </row>
    <row r="5564" customFormat="false" ht="15" hidden="false" customHeight="true" outlineLevel="0" collapsed="false">
      <c r="A5564" s="8" t="s">
        <v>188</v>
      </c>
      <c r="B5564" s="8" t="s">
        <v>1225</v>
      </c>
      <c r="C5564" s="8" t="n">
        <v>1</v>
      </c>
      <c r="D5564" s="8" t="n">
        <v>28.93</v>
      </c>
      <c r="E5564" s="8" t="n">
        <v>3</v>
      </c>
      <c r="F5564" s="8" t="n">
        <v>86.79</v>
      </c>
    </row>
    <row r="5565" customFormat="false" ht="15" hidden="false" customHeight="true" outlineLevel="0" collapsed="false">
      <c r="A5565" s="8" t="s">
        <v>186</v>
      </c>
      <c r="B5565" s="8" t="s">
        <v>1225</v>
      </c>
      <c r="C5565" s="8" t="n">
        <v>0</v>
      </c>
      <c r="D5565" s="8" t="n">
        <v>0</v>
      </c>
      <c r="E5565" s="8" t="n">
        <v>3</v>
      </c>
      <c r="F5565" s="8" t="n">
        <v>86.79</v>
      </c>
    </row>
    <row r="5566" customFormat="false" ht="15" hidden="false" customHeight="true" outlineLevel="0" collapsed="false">
      <c r="A5566" s="8" t="s">
        <v>210</v>
      </c>
      <c r="B5566" s="8" t="s">
        <v>1225</v>
      </c>
      <c r="C5566" s="8" t="n">
        <v>0</v>
      </c>
      <c r="D5566" s="8" t="n">
        <v>0</v>
      </c>
      <c r="E5566" s="8" t="n">
        <v>3</v>
      </c>
      <c r="F5566" s="8" t="n">
        <v>86.79</v>
      </c>
    </row>
    <row r="5567" customFormat="false" ht="15" hidden="false" customHeight="true" outlineLevel="0" collapsed="false">
      <c r="A5567" s="8" t="s">
        <v>241</v>
      </c>
      <c r="B5567" s="8" t="s">
        <v>1227</v>
      </c>
      <c r="C5567" s="8" t="n">
        <v>22</v>
      </c>
      <c r="D5567" s="8" t="n">
        <v>374</v>
      </c>
      <c r="E5567" s="8" t="n">
        <v>0</v>
      </c>
      <c r="F5567" s="8" t="n">
        <v>0</v>
      </c>
    </row>
    <row r="5568" customFormat="false" ht="15" hidden="false" customHeight="true" outlineLevel="0" collapsed="false">
      <c r="A5568" s="8" t="s">
        <v>219</v>
      </c>
      <c r="B5568" s="8" t="s">
        <v>1227</v>
      </c>
      <c r="C5568" s="8" t="n">
        <v>14</v>
      </c>
      <c r="D5568" s="8" t="n">
        <v>238</v>
      </c>
      <c r="E5568" s="8" t="n">
        <v>0</v>
      </c>
      <c r="F5568" s="8" t="n">
        <v>0</v>
      </c>
    </row>
    <row r="5569" customFormat="false" ht="15" hidden="false" customHeight="true" outlineLevel="0" collapsed="false">
      <c r="A5569" s="8" t="s">
        <v>223</v>
      </c>
      <c r="B5569" s="8" t="s">
        <v>1227</v>
      </c>
      <c r="C5569" s="8" t="n">
        <v>17</v>
      </c>
      <c r="D5569" s="8" t="n">
        <v>289</v>
      </c>
      <c r="E5569" s="8" t="n">
        <v>0</v>
      </c>
      <c r="F5569" s="8" t="n">
        <v>0</v>
      </c>
    </row>
    <row r="5570" customFormat="false" ht="15" hidden="false" customHeight="true" outlineLevel="0" collapsed="false">
      <c r="A5570" s="8" t="s">
        <v>202</v>
      </c>
      <c r="B5570" s="8" t="s">
        <v>1212</v>
      </c>
      <c r="C5570" s="8" t="n">
        <v>0</v>
      </c>
      <c r="D5570" s="8" t="n">
        <v>0</v>
      </c>
      <c r="E5570" s="8" t="n">
        <v>2</v>
      </c>
      <c r="F5570" s="8" t="n">
        <v>19</v>
      </c>
    </row>
    <row r="5571" customFormat="false" ht="15" hidden="false" customHeight="true" outlineLevel="0" collapsed="false">
      <c r="A5571" s="8" t="s">
        <v>244</v>
      </c>
      <c r="B5571" s="8" t="s">
        <v>1213</v>
      </c>
      <c r="C5571" s="8" t="n">
        <v>5</v>
      </c>
      <c r="D5571" s="8" t="n">
        <v>47.5</v>
      </c>
      <c r="E5571" s="8" t="n">
        <v>0</v>
      </c>
      <c r="F5571" s="8" t="n">
        <v>0</v>
      </c>
    </row>
    <row r="5572" customFormat="false" ht="15" hidden="false" customHeight="true" outlineLevel="0" collapsed="false">
      <c r="A5572" s="8" t="s">
        <v>251</v>
      </c>
      <c r="B5572" s="8" t="s">
        <v>1262</v>
      </c>
      <c r="C5572" s="8" t="n">
        <v>0</v>
      </c>
      <c r="D5572" s="8" t="n">
        <v>0</v>
      </c>
      <c r="E5572" s="8" t="n">
        <v>5</v>
      </c>
      <c r="F5572" s="8" t="n">
        <v>48.55</v>
      </c>
    </row>
    <row r="5573" customFormat="false" ht="15" hidden="false" customHeight="true" outlineLevel="0" collapsed="false">
      <c r="A5573" s="8" t="s">
        <v>172</v>
      </c>
      <c r="B5573" s="8" t="s">
        <v>1214</v>
      </c>
      <c r="C5573" s="8" t="n">
        <v>6</v>
      </c>
      <c r="D5573" s="8" t="n">
        <v>73.08</v>
      </c>
      <c r="E5573" s="8" t="n">
        <v>3</v>
      </c>
      <c r="F5573" s="8" t="n">
        <v>36.54</v>
      </c>
    </row>
    <row r="5574" customFormat="false" ht="15" hidden="false" customHeight="true" outlineLevel="0" collapsed="false">
      <c r="A5574" s="8" t="s">
        <v>261</v>
      </c>
      <c r="B5574" s="8" t="s">
        <v>1215</v>
      </c>
      <c r="C5574" s="8" t="n">
        <v>3</v>
      </c>
      <c r="D5574" s="8" t="n">
        <v>63.63</v>
      </c>
      <c r="E5574" s="8" t="n">
        <v>2</v>
      </c>
      <c r="F5574" s="8" t="n">
        <v>42.42</v>
      </c>
    </row>
    <row r="5575" customFormat="false" ht="15" hidden="false" customHeight="true" outlineLevel="0" collapsed="false">
      <c r="A5575" s="8" t="s">
        <v>288</v>
      </c>
      <c r="B5575" s="8" t="s">
        <v>939</v>
      </c>
      <c r="C5575" s="8" t="n">
        <v>0</v>
      </c>
      <c r="D5575" s="8" t="n">
        <v>0</v>
      </c>
      <c r="E5575" s="8" t="n">
        <v>2</v>
      </c>
      <c r="F5575" s="8" t="n">
        <v>40.48</v>
      </c>
    </row>
    <row r="5576" customFormat="false" ht="15" hidden="false" customHeight="true" outlineLevel="0" collapsed="false">
      <c r="A5576" s="8" t="s">
        <v>194</v>
      </c>
      <c r="B5576" s="8" t="s">
        <v>1239</v>
      </c>
      <c r="C5576" s="8" t="n">
        <v>11</v>
      </c>
      <c r="D5576" s="8" t="n">
        <v>108.02</v>
      </c>
      <c r="E5576" s="8" t="n">
        <v>0</v>
      </c>
      <c r="F5576" s="8" t="n">
        <v>0</v>
      </c>
    </row>
    <row r="5577" customFormat="false" ht="15" hidden="false" customHeight="true" outlineLevel="0" collapsed="false">
      <c r="A5577" s="8" t="s">
        <v>285</v>
      </c>
      <c r="B5577" s="8" t="s">
        <v>1237</v>
      </c>
      <c r="C5577" s="8" t="n">
        <v>0</v>
      </c>
      <c r="D5577" s="8" t="n">
        <v>0</v>
      </c>
      <c r="E5577" s="8" t="n">
        <v>3</v>
      </c>
      <c r="F5577" s="8" t="n">
        <v>55.2</v>
      </c>
    </row>
    <row r="5578" customFormat="false" ht="15" hidden="false" customHeight="true" outlineLevel="0" collapsed="false">
      <c r="A5578" s="8" t="s">
        <v>225</v>
      </c>
      <c r="B5578" s="8" t="s">
        <v>1237</v>
      </c>
      <c r="C5578" s="8" t="n">
        <v>0</v>
      </c>
      <c r="D5578" s="8" t="n">
        <v>0</v>
      </c>
      <c r="E5578" s="8" t="n">
        <v>2</v>
      </c>
      <c r="F5578" s="8" t="n">
        <v>36.8</v>
      </c>
    </row>
    <row r="5579" customFormat="false" ht="15" hidden="false" customHeight="true" outlineLevel="0" collapsed="false">
      <c r="A5579" s="8" t="s">
        <v>217</v>
      </c>
      <c r="B5579" s="8" t="s">
        <v>1237</v>
      </c>
      <c r="C5579" s="8" t="n">
        <v>0</v>
      </c>
      <c r="D5579" s="8" t="n">
        <v>0</v>
      </c>
      <c r="E5579" s="8" t="n">
        <v>3</v>
      </c>
      <c r="F5579" s="8" t="n">
        <v>55.2</v>
      </c>
    </row>
    <row r="5580" customFormat="false" ht="15" hidden="false" customHeight="true" outlineLevel="0" collapsed="false">
      <c r="A5580" s="8" t="s">
        <v>189</v>
      </c>
      <c r="B5580" s="8" t="s">
        <v>1216</v>
      </c>
      <c r="C5580" s="8" t="n">
        <v>4</v>
      </c>
      <c r="D5580" s="8" t="n">
        <v>66</v>
      </c>
      <c r="E5580" s="8" t="n">
        <v>0</v>
      </c>
      <c r="F5580" s="8" t="n">
        <v>0</v>
      </c>
    </row>
    <row r="5581" customFormat="false" ht="15" hidden="false" customHeight="true" outlineLevel="0" collapsed="false">
      <c r="A5581" s="8" t="s">
        <v>250</v>
      </c>
      <c r="B5581" s="8" t="s">
        <v>1216</v>
      </c>
      <c r="C5581" s="8" t="n">
        <v>11</v>
      </c>
      <c r="D5581" s="8" t="n">
        <v>181.5</v>
      </c>
      <c r="E5581" s="8" t="n">
        <v>0</v>
      </c>
      <c r="F5581" s="8" t="n">
        <v>0</v>
      </c>
    </row>
    <row r="5582" customFormat="false" ht="15" hidden="false" customHeight="true" outlineLevel="0" collapsed="false">
      <c r="A5582" s="8" t="s">
        <v>198</v>
      </c>
      <c r="B5582" s="8" t="s">
        <v>1217</v>
      </c>
      <c r="C5582" s="8" t="n">
        <v>6</v>
      </c>
      <c r="D5582" s="8" t="n">
        <v>123</v>
      </c>
      <c r="E5582" s="8" t="n">
        <v>0</v>
      </c>
      <c r="F5582" s="8" t="n">
        <v>0</v>
      </c>
    </row>
    <row r="5583" customFormat="false" ht="15" hidden="false" customHeight="true" outlineLevel="0" collapsed="false">
      <c r="A5583" s="8" t="s">
        <v>277</v>
      </c>
      <c r="B5583" s="8" t="s">
        <v>1285</v>
      </c>
      <c r="C5583" s="8" t="n">
        <v>1</v>
      </c>
      <c r="D5583" s="8" t="n">
        <v>136.3</v>
      </c>
      <c r="E5583" s="8" t="n">
        <v>0</v>
      </c>
      <c r="F5583" s="8" t="n">
        <v>0</v>
      </c>
    </row>
    <row r="5584" customFormat="false" ht="15" hidden="false" customHeight="true" outlineLevel="0" collapsed="false">
      <c r="A5584" s="8" t="s">
        <v>179</v>
      </c>
      <c r="B5584" s="8" t="s">
        <v>1218</v>
      </c>
      <c r="C5584" s="8" t="n">
        <v>1</v>
      </c>
      <c r="D5584" s="8" t="n">
        <v>126.5</v>
      </c>
      <c r="E5584" s="8" t="n">
        <v>0</v>
      </c>
      <c r="F5584" s="8" t="n">
        <v>0</v>
      </c>
    </row>
    <row r="5585" customFormat="false" ht="15" hidden="false" customHeight="true" outlineLevel="0" collapsed="false">
      <c r="A5585" s="8" t="s">
        <v>195</v>
      </c>
      <c r="B5585" s="8" t="s">
        <v>1218</v>
      </c>
      <c r="C5585" s="8" t="n">
        <v>1</v>
      </c>
      <c r="D5585" s="8" t="n">
        <v>126.5</v>
      </c>
      <c r="E5585" s="8" t="n">
        <v>0</v>
      </c>
      <c r="F5585" s="8" t="n">
        <v>0</v>
      </c>
    </row>
    <row r="5586" customFormat="false" ht="15" hidden="false" customHeight="true" outlineLevel="0" collapsed="false">
      <c r="A5586" s="8" t="s">
        <v>240</v>
      </c>
      <c r="B5586" s="8" t="s">
        <v>769</v>
      </c>
      <c r="C5586" s="8" t="n">
        <v>6</v>
      </c>
      <c r="D5586" s="8" t="n">
        <v>102</v>
      </c>
      <c r="E5586" s="8" t="n">
        <v>4</v>
      </c>
      <c r="F5586" s="8" t="n">
        <v>68</v>
      </c>
    </row>
    <row r="5587" customFormat="false" ht="15" hidden="false" customHeight="true" outlineLevel="0" collapsed="false">
      <c r="A5587" s="8" t="s">
        <v>234</v>
      </c>
      <c r="B5587" s="8" t="s">
        <v>769</v>
      </c>
      <c r="C5587" s="8" t="n">
        <v>4</v>
      </c>
      <c r="D5587" s="8" t="n">
        <v>68</v>
      </c>
      <c r="E5587" s="8" t="n">
        <v>4</v>
      </c>
      <c r="F5587" s="8" t="n">
        <v>68</v>
      </c>
    </row>
    <row r="5588" customFormat="false" ht="15" hidden="false" customHeight="true" outlineLevel="0" collapsed="false">
      <c r="A5588" s="8" t="s">
        <v>247</v>
      </c>
      <c r="B5588" s="8" t="s">
        <v>769</v>
      </c>
      <c r="C5588" s="8" t="n">
        <v>3</v>
      </c>
      <c r="D5588" s="8" t="n">
        <v>51</v>
      </c>
      <c r="E5588" s="8" t="n">
        <v>4</v>
      </c>
      <c r="F5588" s="8" t="n">
        <v>68</v>
      </c>
    </row>
    <row r="5589" customFormat="false" ht="15" hidden="false" customHeight="true" outlineLevel="0" collapsed="false">
      <c r="A5589" s="8" t="s">
        <v>300</v>
      </c>
      <c r="B5589" s="8" t="s">
        <v>769</v>
      </c>
      <c r="C5589" s="8" t="n">
        <v>4</v>
      </c>
      <c r="D5589" s="8" t="n">
        <v>68</v>
      </c>
      <c r="E5589" s="8" t="n">
        <v>3</v>
      </c>
      <c r="F5589" s="8" t="n">
        <v>51</v>
      </c>
    </row>
    <row r="5590" customFormat="false" ht="15" hidden="false" customHeight="true" outlineLevel="0" collapsed="false">
      <c r="A5590" s="8" t="s">
        <v>367</v>
      </c>
      <c r="B5590" s="8" t="s">
        <v>769</v>
      </c>
      <c r="C5590" s="8" t="n">
        <v>2</v>
      </c>
      <c r="D5590" s="8" t="n">
        <v>34</v>
      </c>
      <c r="E5590" s="8" t="n">
        <v>0</v>
      </c>
      <c r="F5590" s="8" t="n">
        <v>0</v>
      </c>
    </row>
    <row r="5591" customFormat="false" ht="15" hidden="false" customHeight="true" outlineLevel="0" collapsed="false">
      <c r="A5591" s="8" t="s">
        <v>170</v>
      </c>
      <c r="B5591" s="8" t="s">
        <v>1220</v>
      </c>
      <c r="C5591" s="8" t="n">
        <v>6</v>
      </c>
      <c r="D5591" s="8" t="n">
        <v>88.8</v>
      </c>
      <c r="E5591" s="8" t="n">
        <v>6</v>
      </c>
      <c r="F5591" s="8" t="n">
        <v>88.8</v>
      </c>
    </row>
    <row r="5592" customFormat="false" ht="15" hidden="false" customHeight="true" outlineLevel="0" collapsed="false">
      <c r="A5592" s="8" t="s">
        <v>167</v>
      </c>
      <c r="B5592" s="8" t="s">
        <v>1238</v>
      </c>
      <c r="C5592" s="8" t="n">
        <v>5</v>
      </c>
      <c r="D5592" s="8" t="n">
        <v>67</v>
      </c>
      <c r="E5592" s="8" t="n">
        <v>0</v>
      </c>
      <c r="F5592" s="8" t="n">
        <v>0</v>
      </c>
    </row>
    <row r="5593" customFormat="false" ht="15" hidden="false" customHeight="true" outlineLevel="0" collapsed="false">
      <c r="A5593" s="8" t="s">
        <v>220</v>
      </c>
      <c r="B5593" s="8" t="s">
        <v>1248</v>
      </c>
      <c r="C5593" s="8" t="n">
        <v>1</v>
      </c>
      <c r="D5593" s="8" t="n">
        <v>10.4</v>
      </c>
      <c r="E5593" s="8" t="n">
        <v>0</v>
      </c>
      <c r="F5593" s="8" t="n">
        <v>0</v>
      </c>
    </row>
    <row r="5594" customFormat="false" ht="15" hidden="false" customHeight="true" outlineLevel="0" collapsed="false">
      <c r="A5594" s="8" t="s">
        <v>264</v>
      </c>
      <c r="B5594" s="8" t="s">
        <v>1221</v>
      </c>
      <c r="C5594" s="8" t="n">
        <v>16</v>
      </c>
      <c r="D5594" s="8" t="n">
        <v>92.96</v>
      </c>
      <c r="E5594" s="8" t="n">
        <v>0</v>
      </c>
      <c r="F5594" s="8" t="n">
        <v>0</v>
      </c>
    </row>
    <row r="5595" customFormat="false" ht="15" hidden="false" customHeight="true" outlineLevel="0" collapsed="false">
      <c r="A5595" s="8" t="s">
        <v>258</v>
      </c>
      <c r="B5595" s="8" t="s">
        <v>562</v>
      </c>
      <c r="C5595" s="8" t="n">
        <v>2</v>
      </c>
      <c r="D5595" s="8" t="n">
        <v>72</v>
      </c>
      <c r="E5595" s="8" t="n">
        <v>0</v>
      </c>
      <c r="F5595" s="8" t="n">
        <v>0</v>
      </c>
    </row>
    <row r="5596" customFormat="false" ht="15" hidden="false" customHeight="true" outlineLevel="0" collapsed="false">
      <c r="A5596" s="8" t="s">
        <v>252</v>
      </c>
      <c r="B5596" s="8" t="s">
        <v>1177</v>
      </c>
      <c r="C5596" s="8" t="n">
        <v>3</v>
      </c>
      <c r="D5596" s="8" t="n">
        <v>49.8</v>
      </c>
      <c r="E5596" s="8" t="n">
        <v>0</v>
      </c>
      <c r="F5596" s="8" t="n">
        <v>0</v>
      </c>
    </row>
    <row r="5597" customFormat="false" ht="15" hidden="false" customHeight="true" outlineLevel="0" collapsed="false">
      <c r="A5597" s="8" t="s">
        <v>203</v>
      </c>
      <c r="B5597" s="8" t="s">
        <v>1177</v>
      </c>
      <c r="C5597" s="8" t="n">
        <v>10</v>
      </c>
      <c r="D5597" s="8" t="n">
        <v>185</v>
      </c>
      <c r="E5597" s="8" t="n">
        <v>2</v>
      </c>
      <c r="F5597" s="8" t="n">
        <v>37</v>
      </c>
    </row>
    <row r="5598" customFormat="false" ht="15" hidden="false" customHeight="true" outlineLevel="0" collapsed="false">
      <c r="A5598" s="8" t="s">
        <v>211</v>
      </c>
      <c r="B5598" s="8" t="s">
        <v>1250</v>
      </c>
      <c r="C5598" s="8" t="n">
        <v>3</v>
      </c>
      <c r="D5598" s="8" t="n">
        <v>75</v>
      </c>
      <c r="E5598" s="8" t="n">
        <v>0</v>
      </c>
      <c r="F5598" s="8" t="n">
        <v>0</v>
      </c>
    </row>
    <row r="5599" customFormat="false" ht="15" hidden="false" customHeight="true" outlineLevel="0" collapsed="false">
      <c r="A5599" s="8" t="s">
        <v>248</v>
      </c>
      <c r="B5599" s="8" t="s">
        <v>1242</v>
      </c>
      <c r="C5599" s="8" t="n">
        <v>5</v>
      </c>
      <c r="D5599" s="8" t="n">
        <v>105</v>
      </c>
      <c r="E5599" s="8" t="n">
        <v>7</v>
      </c>
      <c r="F5599" s="8" t="n">
        <v>147</v>
      </c>
    </row>
    <row r="5600" customFormat="false" ht="15" hidden="false" customHeight="true" outlineLevel="0" collapsed="false">
      <c r="A5600" s="8" t="s">
        <v>212</v>
      </c>
      <c r="B5600" s="8" t="s">
        <v>1278</v>
      </c>
      <c r="C5600" s="8" t="n">
        <v>2</v>
      </c>
      <c r="D5600" s="8" t="n">
        <v>187</v>
      </c>
      <c r="E5600" s="8" t="n">
        <v>0</v>
      </c>
      <c r="F5600" s="8" t="n">
        <v>0</v>
      </c>
    </row>
    <row r="5601" customFormat="false" ht="15" hidden="false" customHeight="true" outlineLevel="0" collapsed="false">
      <c r="A5601" s="8" t="s">
        <v>312</v>
      </c>
      <c r="B5601" s="8" t="s">
        <v>767</v>
      </c>
      <c r="C5601" s="8" t="n">
        <v>2</v>
      </c>
      <c r="D5601" s="8" t="n">
        <v>41</v>
      </c>
      <c r="E5601" s="8" t="n">
        <v>0</v>
      </c>
      <c r="F5601" s="8" t="n">
        <v>0</v>
      </c>
    </row>
    <row r="5602" customFormat="false" ht="15" hidden="false" customHeight="true" outlineLevel="0" collapsed="false">
      <c r="A5602" s="8" t="s">
        <v>226</v>
      </c>
      <c r="B5602" s="8" t="s">
        <v>566</v>
      </c>
      <c r="C5602" s="8" t="n">
        <v>3</v>
      </c>
      <c r="D5602" s="8" t="n">
        <v>62.4</v>
      </c>
      <c r="E5602" s="8" t="n">
        <v>3</v>
      </c>
      <c r="F5602" s="8" t="n">
        <v>62.4</v>
      </c>
    </row>
    <row r="5603" customFormat="false" ht="15" hidden="false" customHeight="true" outlineLevel="0" collapsed="false">
      <c r="A5603" s="8" t="s">
        <v>253</v>
      </c>
      <c r="B5603" s="8" t="s">
        <v>1222</v>
      </c>
      <c r="C5603" s="8" t="n">
        <v>1</v>
      </c>
      <c r="D5603" s="8" t="n">
        <v>65</v>
      </c>
      <c r="E5603" s="8" t="n">
        <v>0</v>
      </c>
      <c r="F5603" s="8" t="n">
        <v>0</v>
      </c>
    </row>
    <row r="5604" customFormat="false" ht="15" hidden="false" customHeight="true" outlineLevel="0" collapsed="false">
      <c r="A5604" s="8" t="s">
        <v>207</v>
      </c>
      <c r="B5604" s="8" t="s">
        <v>1222</v>
      </c>
      <c r="C5604" s="8" t="n">
        <v>1</v>
      </c>
      <c r="D5604" s="8" t="n">
        <v>65</v>
      </c>
      <c r="E5604" s="8" t="n">
        <v>0</v>
      </c>
      <c r="F5604" s="8" t="n">
        <v>0</v>
      </c>
    </row>
    <row r="5605" customFormat="false" ht="15" hidden="false" customHeight="true" outlineLevel="0" collapsed="false">
      <c r="A5605" s="8" t="s">
        <v>163</v>
      </c>
      <c r="B5605" s="8" t="s">
        <v>897</v>
      </c>
      <c r="C5605" s="8" t="n">
        <v>4</v>
      </c>
      <c r="D5605" s="8" t="n">
        <v>260</v>
      </c>
      <c r="E5605" s="8" t="n">
        <v>2</v>
      </c>
      <c r="F5605" s="8" t="n">
        <v>130</v>
      </c>
    </row>
    <row r="5606" customFormat="false" ht="15" hidden="false" customHeight="true" outlineLevel="0" collapsed="false">
      <c r="A5606" s="8" t="s">
        <v>290</v>
      </c>
      <c r="B5606" s="8" t="s">
        <v>897</v>
      </c>
      <c r="C5606" s="8" t="n">
        <v>1</v>
      </c>
      <c r="D5606" s="8" t="n">
        <v>65</v>
      </c>
      <c r="E5606" s="8" t="n">
        <v>0</v>
      </c>
      <c r="F5606" s="8" t="n">
        <v>0</v>
      </c>
    </row>
    <row r="5607" customFormat="false" ht="15" hidden="false" customHeight="true" outlineLevel="0" collapsed="false">
      <c r="A5607" s="8" t="s">
        <v>165</v>
      </c>
      <c r="B5607" s="8" t="s">
        <v>897</v>
      </c>
      <c r="C5607" s="8" t="n">
        <v>4</v>
      </c>
      <c r="D5607" s="8" t="n">
        <v>260</v>
      </c>
      <c r="E5607" s="8" t="n">
        <v>0</v>
      </c>
      <c r="F5607" s="8" t="n">
        <v>0</v>
      </c>
    </row>
    <row r="5608" customFormat="false" ht="15" hidden="false" customHeight="true" outlineLevel="0" collapsed="false">
      <c r="A5608" s="8" t="s">
        <v>173</v>
      </c>
      <c r="B5608" s="8" t="s">
        <v>1244</v>
      </c>
      <c r="C5608" s="8" t="n">
        <v>1</v>
      </c>
      <c r="D5608" s="8" t="n">
        <v>175.5</v>
      </c>
      <c r="E5608" s="8" t="n">
        <v>0</v>
      </c>
      <c r="F5608" s="8" t="n">
        <v>0</v>
      </c>
    </row>
    <row r="5609" customFormat="false" ht="15" hidden="false" customHeight="true" outlineLevel="0" collapsed="false">
      <c r="A5609" s="8" t="s">
        <v>191</v>
      </c>
      <c r="B5609" s="8" t="s">
        <v>1179</v>
      </c>
      <c r="C5609" s="8" t="n">
        <v>0</v>
      </c>
      <c r="D5609" s="8" t="n">
        <v>0</v>
      </c>
      <c r="E5609" s="8" t="n">
        <v>1</v>
      </c>
      <c r="F5609" s="8" t="n">
        <v>72.34</v>
      </c>
    </row>
    <row r="5610" customFormat="false" ht="15" hidden="false" customHeight="true" outlineLevel="0" collapsed="false">
      <c r="A5610" s="8" t="s">
        <v>183</v>
      </c>
      <c r="B5610" s="8" t="s">
        <v>1224</v>
      </c>
      <c r="C5610" s="8" t="n">
        <v>4</v>
      </c>
      <c r="D5610" s="8" t="n">
        <v>97.72</v>
      </c>
      <c r="E5610" s="8" t="n">
        <v>0</v>
      </c>
      <c r="F5610" s="8" t="n">
        <v>0</v>
      </c>
    </row>
    <row r="5611" customFormat="false" ht="15" hidden="false" customHeight="true" outlineLevel="0" collapsed="false">
      <c r="A5611" s="8" t="s">
        <v>218</v>
      </c>
      <c r="B5611" s="8" t="s">
        <v>1224</v>
      </c>
      <c r="C5611" s="8" t="n">
        <v>2</v>
      </c>
      <c r="D5611" s="8" t="n">
        <v>48.86</v>
      </c>
      <c r="E5611" s="8" t="n">
        <v>2</v>
      </c>
      <c r="F5611" s="8" t="n">
        <v>48.86</v>
      </c>
    </row>
    <row r="5612" customFormat="false" ht="15" hidden="false" customHeight="true" outlineLevel="0" collapsed="false">
      <c r="A5612" s="8" t="s">
        <v>231</v>
      </c>
      <c r="B5612" s="8" t="s">
        <v>1224</v>
      </c>
      <c r="C5612" s="8" t="n">
        <v>0</v>
      </c>
      <c r="D5612" s="8" t="n">
        <v>0</v>
      </c>
      <c r="E5612" s="8" t="n">
        <v>2</v>
      </c>
      <c r="F5612" s="8" t="n">
        <v>48.86</v>
      </c>
    </row>
    <row r="5613" customFormat="false" ht="15" hidden="false" customHeight="true" outlineLevel="0" collapsed="false">
      <c r="A5613" s="8" t="s">
        <v>161</v>
      </c>
      <c r="B5613" s="8" t="s">
        <v>1208</v>
      </c>
      <c r="C5613" s="8" t="n">
        <v>5</v>
      </c>
      <c r="D5613" s="8" t="n">
        <v>227.5</v>
      </c>
      <c r="E5613" s="8" t="n">
        <v>5</v>
      </c>
      <c r="F5613" s="8" t="n">
        <v>227.5</v>
      </c>
    </row>
    <row r="5614" customFormat="false" ht="15" hidden="false" customHeight="true" outlineLevel="0" collapsed="false">
      <c r="A5614" s="8" t="s">
        <v>162</v>
      </c>
      <c r="B5614" s="8" t="s">
        <v>1209</v>
      </c>
      <c r="C5614" s="8" t="n">
        <v>0</v>
      </c>
      <c r="D5614" s="8" t="n">
        <v>0</v>
      </c>
      <c r="E5614" s="8" t="n">
        <v>3</v>
      </c>
      <c r="F5614" s="8" t="n">
        <v>233.4</v>
      </c>
    </row>
    <row r="5615" customFormat="false" ht="15" hidden="false" customHeight="true" outlineLevel="0" collapsed="false">
      <c r="A5615" s="8" t="s">
        <v>171</v>
      </c>
      <c r="B5615" s="8" t="s">
        <v>1210</v>
      </c>
      <c r="C5615" s="8" t="n">
        <v>3</v>
      </c>
      <c r="D5615" s="8" t="n">
        <v>141.69</v>
      </c>
      <c r="E5615" s="8" t="n">
        <v>0</v>
      </c>
      <c r="F5615" s="8" t="n">
        <v>0</v>
      </c>
    </row>
    <row r="5616" customFormat="false" ht="15" hidden="false" customHeight="true" outlineLevel="0" collapsed="false">
      <c r="A5616" s="8" t="s">
        <v>166</v>
      </c>
      <c r="B5616" s="8" t="s">
        <v>1211</v>
      </c>
      <c r="C5616" s="8" t="n">
        <v>1</v>
      </c>
      <c r="D5616" s="8" t="n">
        <v>63.27</v>
      </c>
      <c r="E5616" s="8" t="n">
        <v>0</v>
      </c>
      <c r="F5616" s="8" t="n">
        <v>0</v>
      </c>
    </row>
    <row r="5617" customFormat="false" ht="15" hidden="false" customHeight="true" outlineLevel="0" collapsed="false">
      <c r="A5617" s="8" t="s">
        <v>164</v>
      </c>
      <c r="B5617" s="8" t="s">
        <v>1211</v>
      </c>
      <c r="C5617" s="8" t="n">
        <v>1</v>
      </c>
      <c r="D5617" s="8" t="n">
        <v>63.27</v>
      </c>
      <c r="E5617" s="8" t="n">
        <v>0</v>
      </c>
      <c r="F5617" s="8" t="n">
        <v>0</v>
      </c>
    </row>
    <row r="5618" customFormat="false" ht="15" hidden="false" customHeight="true" outlineLevel="0" collapsed="false">
      <c r="A5618" s="8" t="s">
        <v>187</v>
      </c>
      <c r="B5618" s="8" t="s">
        <v>1211</v>
      </c>
      <c r="C5618" s="8" t="n">
        <v>2</v>
      </c>
      <c r="D5618" s="8" t="n">
        <v>126.54</v>
      </c>
      <c r="E5618" s="8" t="n">
        <v>0</v>
      </c>
      <c r="F5618" s="8" t="n">
        <v>0</v>
      </c>
    </row>
    <row r="5619" customFormat="false" ht="15" hidden="false" customHeight="true" outlineLevel="0" collapsed="false">
      <c r="A5619" s="8" t="s">
        <v>188</v>
      </c>
      <c r="B5619" s="8" t="s">
        <v>1225</v>
      </c>
      <c r="C5619" s="8" t="n">
        <v>6</v>
      </c>
      <c r="D5619" s="8" t="n">
        <v>173.58</v>
      </c>
      <c r="E5619" s="8" t="n">
        <v>0</v>
      </c>
      <c r="F5619" s="8" t="n">
        <v>0</v>
      </c>
    </row>
    <row r="5620" customFormat="false" ht="15" hidden="false" customHeight="true" outlineLevel="0" collapsed="false">
      <c r="A5620" s="8" t="s">
        <v>210</v>
      </c>
      <c r="B5620" s="8" t="s">
        <v>1225</v>
      </c>
      <c r="C5620" s="8" t="n">
        <v>2</v>
      </c>
      <c r="D5620" s="8" t="n">
        <v>57.86</v>
      </c>
      <c r="E5620" s="8" t="n">
        <v>0</v>
      </c>
      <c r="F5620" s="8" t="n">
        <v>0</v>
      </c>
    </row>
    <row r="5621" customFormat="false" ht="15" hidden="false" customHeight="true" outlineLevel="0" collapsed="false">
      <c r="A5621" s="8" t="s">
        <v>238</v>
      </c>
      <c r="B5621" s="8" t="s">
        <v>1226</v>
      </c>
      <c r="C5621" s="8" t="n">
        <v>0</v>
      </c>
      <c r="D5621" s="8" t="n">
        <v>0</v>
      </c>
      <c r="E5621" s="8" t="n">
        <v>2</v>
      </c>
      <c r="F5621" s="8" t="n">
        <v>84.34</v>
      </c>
    </row>
    <row r="5622" customFormat="false" ht="15" hidden="false" customHeight="true" outlineLevel="0" collapsed="false">
      <c r="A5622" s="8" t="s">
        <v>241</v>
      </c>
      <c r="B5622" s="8" t="s">
        <v>1227</v>
      </c>
      <c r="C5622" s="8" t="n">
        <v>4</v>
      </c>
      <c r="D5622" s="8" t="n">
        <v>68</v>
      </c>
      <c r="E5622" s="8" t="n">
        <v>0</v>
      </c>
      <c r="F5622" s="8" t="n">
        <v>0</v>
      </c>
    </row>
    <row r="5623" customFormat="false" ht="15" hidden="false" customHeight="true" outlineLevel="0" collapsed="false">
      <c r="A5623" s="8" t="s">
        <v>223</v>
      </c>
      <c r="B5623" s="8" t="s">
        <v>1227</v>
      </c>
      <c r="C5623" s="8" t="n">
        <v>2</v>
      </c>
      <c r="D5623" s="8" t="n">
        <v>34</v>
      </c>
      <c r="E5623" s="8" t="n">
        <v>0</v>
      </c>
      <c r="F5623" s="8" t="n">
        <v>0</v>
      </c>
    </row>
    <row r="5624" customFormat="false" ht="15" hidden="false" customHeight="true" outlineLevel="0" collapsed="false">
      <c r="A5624" s="8" t="s">
        <v>229</v>
      </c>
      <c r="B5624" s="8" t="s">
        <v>881</v>
      </c>
      <c r="C5624" s="8" t="n">
        <v>3</v>
      </c>
      <c r="D5624" s="8" t="n">
        <v>123.6</v>
      </c>
      <c r="E5624" s="8" t="n">
        <v>0</v>
      </c>
      <c r="F5624" s="8" t="n">
        <v>0</v>
      </c>
    </row>
    <row r="5625" customFormat="false" ht="15" hidden="false" customHeight="true" outlineLevel="0" collapsed="false">
      <c r="A5625" s="8" t="s">
        <v>237</v>
      </c>
      <c r="B5625" s="8" t="s">
        <v>1259</v>
      </c>
      <c r="C5625" s="8" t="n">
        <v>4</v>
      </c>
      <c r="D5625" s="8" t="n">
        <v>73.8</v>
      </c>
      <c r="E5625" s="8" t="n">
        <v>0</v>
      </c>
      <c r="F5625" s="8" t="n">
        <v>0</v>
      </c>
    </row>
    <row r="5626" customFormat="false" ht="15" hidden="false" customHeight="true" outlineLevel="0" collapsed="false">
      <c r="A5626" s="8" t="s">
        <v>202</v>
      </c>
      <c r="B5626" s="8" t="s">
        <v>1212</v>
      </c>
      <c r="C5626" s="8" t="n">
        <v>3</v>
      </c>
      <c r="D5626" s="8" t="n">
        <v>28.5</v>
      </c>
      <c r="E5626" s="8" t="n">
        <v>4</v>
      </c>
      <c r="F5626" s="8" t="n">
        <v>38</v>
      </c>
    </row>
    <row r="5627" customFormat="false" ht="15" hidden="false" customHeight="true" outlineLevel="0" collapsed="false">
      <c r="A5627" s="8" t="s">
        <v>244</v>
      </c>
      <c r="B5627" s="8" t="s">
        <v>1213</v>
      </c>
      <c r="C5627" s="8" t="n">
        <v>4</v>
      </c>
      <c r="D5627" s="8" t="n">
        <v>38</v>
      </c>
      <c r="E5627" s="8" t="n">
        <v>0</v>
      </c>
      <c r="F5627" s="8" t="n">
        <v>0</v>
      </c>
    </row>
    <row r="5628" customFormat="false" ht="15" hidden="false" customHeight="true" outlineLevel="0" collapsed="false">
      <c r="A5628" s="8" t="s">
        <v>251</v>
      </c>
      <c r="B5628" s="8" t="s">
        <v>1262</v>
      </c>
      <c r="C5628" s="8" t="n">
        <v>3</v>
      </c>
      <c r="D5628" s="8" t="n">
        <v>29.13</v>
      </c>
      <c r="E5628" s="8" t="n">
        <v>0</v>
      </c>
      <c r="F5628" s="8" t="n">
        <v>0</v>
      </c>
    </row>
    <row r="5629" customFormat="false" ht="15" hidden="false" customHeight="true" outlineLevel="0" collapsed="false">
      <c r="A5629" s="8" t="s">
        <v>269</v>
      </c>
      <c r="B5629" s="8" t="s">
        <v>1231</v>
      </c>
      <c r="C5629" s="8" t="n">
        <v>2</v>
      </c>
      <c r="D5629" s="8" t="n">
        <v>22.66</v>
      </c>
      <c r="E5629" s="8" t="n">
        <v>0</v>
      </c>
      <c r="F5629" s="8" t="n">
        <v>0</v>
      </c>
    </row>
    <row r="5630" customFormat="false" ht="15" hidden="false" customHeight="true" outlineLevel="0" collapsed="false">
      <c r="A5630" s="8" t="s">
        <v>281</v>
      </c>
      <c r="B5630" s="8" t="s">
        <v>1254</v>
      </c>
      <c r="C5630" s="8" t="n">
        <v>0</v>
      </c>
      <c r="D5630" s="8" t="n">
        <v>0</v>
      </c>
      <c r="E5630" s="8" t="n">
        <v>1</v>
      </c>
      <c r="F5630" s="8" t="n">
        <v>13.84</v>
      </c>
    </row>
    <row r="5631" customFormat="false" ht="15" hidden="false" customHeight="true" outlineLevel="0" collapsed="false">
      <c r="A5631" s="8" t="s">
        <v>232</v>
      </c>
      <c r="B5631" s="8" t="s">
        <v>1233</v>
      </c>
      <c r="C5631" s="8" t="n">
        <v>3</v>
      </c>
      <c r="D5631" s="8" t="n">
        <v>48.6</v>
      </c>
      <c r="E5631" s="8" t="n">
        <v>0</v>
      </c>
      <c r="F5631" s="8" t="n">
        <v>0</v>
      </c>
    </row>
    <row r="5632" customFormat="false" ht="15" hidden="false" customHeight="true" outlineLevel="0" collapsed="false">
      <c r="A5632" s="8" t="s">
        <v>215</v>
      </c>
      <c r="B5632" s="8" t="s">
        <v>1233</v>
      </c>
      <c r="C5632" s="8" t="n">
        <v>2</v>
      </c>
      <c r="D5632" s="8" t="n">
        <v>35.64</v>
      </c>
      <c r="E5632" s="8" t="n">
        <v>0</v>
      </c>
      <c r="F5632" s="8" t="n">
        <v>0</v>
      </c>
    </row>
    <row r="5633" customFormat="false" ht="15" hidden="false" customHeight="true" outlineLevel="0" collapsed="false">
      <c r="A5633" s="8" t="s">
        <v>255</v>
      </c>
      <c r="B5633" s="8" t="s">
        <v>1273</v>
      </c>
      <c r="C5633" s="8" t="n">
        <v>3</v>
      </c>
      <c r="D5633" s="8" t="n">
        <v>24.6</v>
      </c>
      <c r="E5633" s="8" t="n">
        <v>0</v>
      </c>
      <c r="F5633" s="8" t="n">
        <v>0</v>
      </c>
    </row>
    <row r="5634" customFormat="false" ht="15" hidden="false" customHeight="true" outlineLevel="0" collapsed="false">
      <c r="A5634" s="8" t="s">
        <v>194</v>
      </c>
      <c r="B5634" s="8" t="s">
        <v>1239</v>
      </c>
      <c r="C5634" s="8" t="n">
        <v>8</v>
      </c>
      <c r="D5634" s="8" t="n">
        <v>78.56</v>
      </c>
      <c r="E5634" s="8" t="n">
        <v>0</v>
      </c>
      <c r="F5634" s="8" t="n">
        <v>0</v>
      </c>
    </row>
    <row r="5635" customFormat="false" ht="15" hidden="false" customHeight="true" outlineLevel="0" collapsed="false">
      <c r="A5635" s="8" t="s">
        <v>326</v>
      </c>
      <c r="B5635" s="8" t="s">
        <v>1281</v>
      </c>
      <c r="C5635" s="8" t="n">
        <v>4</v>
      </c>
      <c r="D5635" s="8" t="n">
        <v>94.4</v>
      </c>
      <c r="E5635" s="8" t="n">
        <v>0</v>
      </c>
      <c r="F5635" s="8" t="n">
        <v>0</v>
      </c>
    </row>
    <row r="5636" customFormat="false" ht="15" hidden="false" customHeight="true" outlineLevel="0" collapsed="false">
      <c r="A5636" s="8" t="s">
        <v>217</v>
      </c>
      <c r="B5636" s="8" t="s">
        <v>1237</v>
      </c>
      <c r="C5636" s="8" t="n">
        <v>2</v>
      </c>
      <c r="D5636" s="8" t="n">
        <v>36.8</v>
      </c>
      <c r="E5636" s="8" t="n">
        <v>0</v>
      </c>
      <c r="F5636" s="8" t="n">
        <v>0</v>
      </c>
    </row>
    <row r="5637" customFormat="false" ht="15" hidden="false" customHeight="true" outlineLevel="0" collapsed="false">
      <c r="A5637" s="8" t="s">
        <v>168</v>
      </c>
      <c r="B5637" s="8" t="s">
        <v>1240</v>
      </c>
      <c r="C5637" s="8" t="n">
        <v>1</v>
      </c>
      <c r="D5637" s="8" t="n">
        <v>41.81</v>
      </c>
      <c r="E5637" s="8" t="n">
        <v>0</v>
      </c>
      <c r="F5637" s="8" t="n">
        <v>0</v>
      </c>
    </row>
    <row r="5638" customFormat="false" ht="15" hidden="false" customHeight="true" outlineLevel="0" collapsed="false">
      <c r="A5638" s="8" t="s">
        <v>268</v>
      </c>
      <c r="B5638" s="8" t="s">
        <v>1234</v>
      </c>
      <c r="C5638" s="8" t="n">
        <v>4</v>
      </c>
      <c r="D5638" s="8" t="n">
        <v>142.68</v>
      </c>
      <c r="E5638" s="8" t="n">
        <v>0</v>
      </c>
      <c r="F5638" s="8" t="n">
        <v>0</v>
      </c>
    </row>
    <row r="5639" customFormat="false" ht="15" hidden="false" customHeight="true" outlineLevel="0" collapsed="false">
      <c r="A5639" s="8" t="s">
        <v>209</v>
      </c>
      <c r="B5639" s="8" t="s">
        <v>1245</v>
      </c>
      <c r="C5639" s="8" t="n">
        <v>2</v>
      </c>
      <c r="D5639" s="8" t="n">
        <v>129.78</v>
      </c>
      <c r="E5639" s="8" t="n">
        <v>0</v>
      </c>
      <c r="F5639" s="8" t="n">
        <v>0</v>
      </c>
    </row>
    <row r="5640" customFormat="false" ht="15" hidden="false" customHeight="true" outlineLevel="0" collapsed="false">
      <c r="A5640" s="8" t="s">
        <v>180</v>
      </c>
      <c r="B5640" s="8" t="s">
        <v>1216</v>
      </c>
      <c r="C5640" s="8" t="n">
        <v>2</v>
      </c>
      <c r="D5640" s="8" t="n">
        <v>33</v>
      </c>
      <c r="E5640" s="8" t="n">
        <v>0</v>
      </c>
      <c r="F5640" s="8" t="n">
        <v>0</v>
      </c>
    </row>
    <row r="5641" customFormat="false" ht="15" hidden="false" customHeight="true" outlineLevel="0" collapsed="false">
      <c r="A5641" s="8" t="s">
        <v>189</v>
      </c>
      <c r="B5641" s="8" t="s">
        <v>1216</v>
      </c>
      <c r="C5641" s="8" t="n">
        <v>7</v>
      </c>
      <c r="D5641" s="8" t="n">
        <v>115.5</v>
      </c>
      <c r="E5641" s="8" t="n">
        <v>4</v>
      </c>
      <c r="F5641" s="8" t="n">
        <v>66</v>
      </c>
    </row>
    <row r="5642" customFormat="false" ht="15" hidden="false" customHeight="true" outlineLevel="0" collapsed="false">
      <c r="A5642" s="8" t="s">
        <v>267</v>
      </c>
      <c r="B5642" s="8" t="s">
        <v>1216</v>
      </c>
      <c r="C5642" s="8" t="n">
        <v>4</v>
      </c>
      <c r="D5642" s="8" t="n">
        <v>66</v>
      </c>
      <c r="E5642" s="8" t="n">
        <v>0</v>
      </c>
      <c r="F5642" s="8" t="n">
        <v>0</v>
      </c>
    </row>
    <row r="5643" customFormat="false" ht="15" hidden="false" customHeight="true" outlineLevel="0" collapsed="false">
      <c r="A5643" s="8" t="s">
        <v>199</v>
      </c>
      <c r="B5643" s="8" t="s">
        <v>1216</v>
      </c>
      <c r="C5643" s="8" t="n">
        <v>1</v>
      </c>
      <c r="D5643" s="8" t="n">
        <v>16.5</v>
      </c>
      <c r="E5643" s="8" t="n">
        <v>0</v>
      </c>
      <c r="F5643" s="8" t="n">
        <v>0</v>
      </c>
    </row>
    <row r="5644" customFormat="false" ht="15" hidden="false" customHeight="true" outlineLevel="0" collapsed="false">
      <c r="A5644" s="8" t="s">
        <v>250</v>
      </c>
      <c r="B5644" s="8" t="s">
        <v>1216</v>
      </c>
      <c r="C5644" s="8" t="n">
        <v>1</v>
      </c>
      <c r="D5644" s="8" t="n">
        <v>16.5</v>
      </c>
      <c r="E5644" s="8" t="n">
        <v>0</v>
      </c>
      <c r="F5644" s="8" t="n">
        <v>0</v>
      </c>
    </row>
    <row r="5645" customFormat="false" ht="15" hidden="false" customHeight="true" outlineLevel="0" collapsed="false">
      <c r="A5645" s="8" t="s">
        <v>198</v>
      </c>
      <c r="B5645" s="8" t="s">
        <v>1217</v>
      </c>
      <c r="C5645" s="8" t="n">
        <v>6</v>
      </c>
      <c r="D5645" s="8" t="n">
        <v>123</v>
      </c>
      <c r="E5645" s="8" t="n">
        <v>0</v>
      </c>
      <c r="F5645" s="8" t="n">
        <v>0</v>
      </c>
    </row>
    <row r="5646" customFormat="false" ht="15" hidden="false" customHeight="true" outlineLevel="0" collapsed="false">
      <c r="A5646" s="8" t="s">
        <v>193</v>
      </c>
      <c r="B5646" s="8" t="s">
        <v>1217</v>
      </c>
      <c r="C5646" s="8" t="n">
        <v>8</v>
      </c>
      <c r="D5646" s="8" t="n">
        <v>164</v>
      </c>
      <c r="E5646" s="8" t="n">
        <v>0</v>
      </c>
      <c r="F5646" s="8" t="n">
        <v>0</v>
      </c>
    </row>
    <row r="5647" customFormat="false" ht="15" hidden="false" customHeight="true" outlineLevel="0" collapsed="false">
      <c r="A5647" s="8" t="s">
        <v>205</v>
      </c>
      <c r="B5647" s="8" t="s">
        <v>1217</v>
      </c>
      <c r="C5647" s="8" t="n">
        <v>5</v>
      </c>
      <c r="D5647" s="8" t="n">
        <v>102.5</v>
      </c>
      <c r="E5647" s="8" t="n">
        <v>0</v>
      </c>
      <c r="F5647" s="8" t="n">
        <v>0</v>
      </c>
    </row>
    <row r="5648" customFormat="false" ht="15" hidden="false" customHeight="true" outlineLevel="0" collapsed="false">
      <c r="A5648" s="8" t="s">
        <v>256</v>
      </c>
      <c r="B5648" s="8" t="s">
        <v>1217</v>
      </c>
      <c r="C5648" s="8" t="n">
        <v>1</v>
      </c>
      <c r="D5648" s="8" t="n">
        <v>20.5</v>
      </c>
      <c r="E5648" s="8" t="n">
        <v>0</v>
      </c>
      <c r="F5648" s="8" t="n">
        <v>0</v>
      </c>
    </row>
    <row r="5649" customFormat="false" ht="15" hidden="false" customHeight="true" outlineLevel="0" collapsed="false">
      <c r="A5649" s="8" t="s">
        <v>228</v>
      </c>
      <c r="B5649" s="8" t="s">
        <v>1275</v>
      </c>
      <c r="C5649" s="8" t="n">
        <v>2</v>
      </c>
      <c r="D5649" s="8" t="n">
        <v>28.5</v>
      </c>
      <c r="E5649" s="8" t="n">
        <v>0</v>
      </c>
      <c r="F5649" s="8" t="n">
        <v>0</v>
      </c>
    </row>
    <row r="5650" customFormat="false" ht="15" hidden="false" customHeight="true" outlineLevel="0" collapsed="false">
      <c r="A5650" s="8" t="s">
        <v>257</v>
      </c>
      <c r="B5650" s="8" t="s">
        <v>1284</v>
      </c>
      <c r="C5650" s="8" t="n">
        <v>1</v>
      </c>
      <c r="D5650" s="8" t="n">
        <v>32.43</v>
      </c>
      <c r="E5650" s="8" t="n">
        <v>0</v>
      </c>
      <c r="F5650" s="8" t="n">
        <v>0</v>
      </c>
    </row>
    <row r="5651" customFormat="false" ht="15" hidden="false" customHeight="true" outlineLevel="0" collapsed="false">
      <c r="A5651" s="8" t="s">
        <v>178</v>
      </c>
      <c r="B5651" s="8" t="s">
        <v>1236</v>
      </c>
      <c r="C5651" s="8" t="n">
        <v>3</v>
      </c>
      <c r="D5651" s="8" t="n">
        <v>105</v>
      </c>
      <c r="E5651" s="8" t="n">
        <v>2</v>
      </c>
      <c r="F5651" s="8" t="n">
        <v>70</v>
      </c>
    </row>
    <row r="5652" customFormat="false" ht="15" hidden="false" customHeight="true" outlineLevel="0" collapsed="false">
      <c r="A5652" s="8" t="s">
        <v>176</v>
      </c>
      <c r="B5652" s="8" t="s">
        <v>1236</v>
      </c>
      <c r="C5652" s="8" t="n">
        <v>2</v>
      </c>
      <c r="D5652" s="8" t="n">
        <v>70</v>
      </c>
      <c r="E5652" s="8" t="n">
        <v>0</v>
      </c>
      <c r="F5652" s="8" t="n">
        <v>0</v>
      </c>
    </row>
    <row r="5653" customFormat="false" ht="15" hidden="false" customHeight="true" outlineLevel="0" collapsed="false">
      <c r="A5653" s="8" t="s">
        <v>224</v>
      </c>
      <c r="B5653" s="8" t="s">
        <v>1236</v>
      </c>
      <c r="C5653" s="8" t="n">
        <v>0</v>
      </c>
      <c r="D5653" s="8" t="n">
        <v>0</v>
      </c>
      <c r="E5653" s="8" t="n">
        <v>3</v>
      </c>
      <c r="F5653" s="8" t="n">
        <v>105</v>
      </c>
    </row>
    <row r="5654" customFormat="false" ht="15" hidden="false" customHeight="true" outlineLevel="0" collapsed="false">
      <c r="A5654" s="8" t="s">
        <v>179</v>
      </c>
      <c r="B5654" s="8" t="s">
        <v>1218</v>
      </c>
      <c r="C5654" s="8" t="n">
        <v>1</v>
      </c>
      <c r="D5654" s="8" t="n">
        <v>126.5</v>
      </c>
      <c r="E5654" s="8" t="n">
        <v>0</v>
      </c>
      <c r="F5654" s="8" t="n">
        <v>0</v>
      </c>
    </row>
    <row r="5655" customFormat="false" ht="15" hidden="false" customHeight="true" outlineLevel="0" collapsed="false">
      <c r="A5655" s="8" t="s">
        <v>240</v>
      </c>
      <c r="B5655" s="8" t="s">
        <v>769</v>
      </c>
      <c r="C5655" s="8" t="n">
        <v>2</v>
      </c>
      <c r="D5655" s="8" t="n">
        <v>34</v>
      </c>
      <c r="E5655" s="8" t="n">
        <v>0</v>
      </c>
      <c r="F5655" s="8" t="n">
        <v>0</v>
      </c>
    </row>
    <row r="5656" customFormat="false" ht="15" hidden="false" customHeight="true" outlineLevel="0" collapsed="false">
      <c r="A5656" s="8" t="s">
        <v>234</v>
      </c>
      <c r="B5656" s="8" t="s">
        <v>769</v>
      </c>
      <c r="C5656" s="8" t="n">
        <v>2</v>
      </c>
      <c r="D5656" s="8" t="n">
        <v>34</v>
      </c>
      <c r="E5656" s="8" t="n">
        <v>2</v>
      </c>
      <c r="F5656" s="8" t="n">
        <v>34</v>
      </c>
    </row>
    <row r="5657" customFormat="false" ht="15" hidden="false" customHeight="true" outlineLevel="0" collapsed="false">
      <c r="A5657" s="8" t="s">
        <v>247</v>
      </c>
      <c r="B5657" s="8" t="s">
        <v>769</v>
      </c>
      <c r="C5657" s="8" t="n">
        <v>2</v>
      </c>
      <c r="D5657" s="8" t="n">
        <v>34</v>
      </c>
      <c r="E5657" s="8" t="n">
        <v>2</v>
      </c>
      <c r="F5657" s="8" t="n">
        <v>34</v>
      </c>
    </row>
    <row r="5658" customFormat="false" ht="15" hidden="false" customHeight="true" outlineLevel="0" collapsed="false">
      <c r="A5658" s="8" t="s">
        <v>182</v>
      </c>
      <c r="B5658" s="8" t="s">
        <v>799</v>
      </c>
      <c r="C5658" s="8" t="n">
        <v>2</v>
      </c>
      <c r="D5658" s="8" t="n">
        <v>40</v>
      </c>
      <c r="E5658" s="8" t="n">
        <v>2</v>
      </c>
      <c r="F5658" s="8" t="n">
        <v>40</v>
      </c>
    </row>
    <row r="5659" customFormat="false" ht="15" hidden="false" customHeight="true" outlineLevel="0" collapsed="false">
      <c r="A5659" s="8" t="s">
        <v>167</v>
      </c>
      <c r="B5659" s="8" t="s">
        <v>1238</v>
      </c>
      <c r="C5659" s="8" t="n">
        <v>2</v>
      </c>
      <c r="D5659" s="8" t="n">
        <v>26.8</v>
      </c>
      <c r="E5659" s="8" t="n">
        <v>0</v>
      </c>
      <c r="F5659" s="8" t="n">
        <v>0</v>
      </c>
    </row>
    <row r="5660" customFormat="false" ht="15" hidden="false" customHeight="true" outlineLevel="0" collapsed="false">
      <c r="A5660" s="8" t="s">
        <v>220</v>
      </c>
      <c r="B5660" s="8" t="s">
        <v>1248</v>
      </c>
      <c r="C5660" s="8" t="n">
        <v>4</v>
      </c>
      <c r="D5660" s="8" t="n">
        <v>41.6</v>
      </c>
      <c r="E5660" s="8" t="n">
        <v>4</v>
      </c>
      <c r="F5660" s="8" t="n">
        <v>41.6</v>
      </c>
    </row>
    <row r="5661" customFormat="false" ht="15" hidden="false" customHeight="true" outlineLevel="0" collapsed="false">
      <c r="A5661" s="8" t="s">
        <v>275</v>
      </c>
      <c r="B5661" s="8" t="s">
        <v>1257</v>
      </c>
      <c r="C5661" s="8" t="n">
        <v>2</v>
      </c>
      <c r="D5661" s="8" t="n">
        <v>43.2</v>
      </c>
      <c r="E5661" s="8" t="n">
        <v>0</v>
      </c>
      <c r="F5661" s="8" t="n">
        <v>0</v>
      </c>
    </row>
    <row r="5662" customFormat="false" ht="15" hidden="false" customHeight="true" outlineLevel="0" collapsed="false">
      <c r="A5662" s="8" t="s">
        <v>233</v>
      </c>
      <c r="B5662" s="8" t="s">
        <v>1249</v>
      </c>
      <c r="C5662" s="8" t="n">
        <v>0</v>
      </c>
      <c r="D5662" s="8" t="n">
        <v>0</v>
      </c>
      <c r="E5662" s="8" t="n">
        <v>5</v>
      </c>
      <c r="F5662" s="8" t="n">
        <v>89.75</v>
      </c>
    </row>
    <row r="5663" customFormat="false" ht="15" hidden="false" customHeight="true" outlineLevel="0" collapsed="false">
      <c r="A5663" s="8" t="s">
        <v>252</v>
      </c>
      <c r="B5663" s="8" t="s">
        <v>1177</v>
      </c>
      <c r="C5663" s="8" t="n">
        <v>3</v>
      </c>
      <c r="D5663" s="8" t="n">
        <v>49.8</v>
      </c>
      <c r="E5663" s="8" t="n">
        <v>2</v>
      </c>
      <c r="F5663" s="8" t="n">
        <v>33.2</v>
      </c>
    </row>
    <row r="5664" customFormat="false" ht="15" hidden="false" customHeight="true" outlineLevel="0" collapsed="false">
      <c r="A5664" s="8" t="s">
        <v>203</v>
      </c>
      <c r="B5664" s="8" t="s">
        <v>1177</v>
      </c>
      <c r="C5664" s="8" t="n">
        <v>2</v>
      </c>
      <c r="D5664" s="8" t="n">
        <v>37</v>
      </c>
      <c r="E5664" s="8" t="n">
        <v>6</v>
      </c>
      <c r="F5664" s="8" t="n">
        <v>111</v>
      </c>
    </row>
    <row r="5665" customFormat="false" ht="15" hidden="false" customHeight="true" outlineLevel="0" collapsed="false">
      <c r="A5665" s="8" t="s">
        <v>248</v>
      </c>
      <c r="B5665" s="8" t="s">
        <v>1242</v>
      </c>
      <c r="C5665" s="8" t="n">
        <v>2</v>
      </c>
      <c r="D5665" s="8" t="n">
        <v>42</v>
      </c>
      <c r="E5665" s="8" t="n">
        <v>0</v>
      </c>
      <c r="F5665" s="8" t="n">
        <v>0</v>
      </c>
    </row>
    <row r="5666" customFormat="false" ht="15" hidden="false" customHeight="true" outlineLevel="0" collapsed="false">
      <c r="A5666" s="8" t="s">
        <v>200</v>
      </c>
      <c r="B5666" s="8" t="s">
        <v>1279</v>
      </c>
      <c r="C5666" s="8" t="n">
        <v>2</v>
      </c>
      <c r="D5666" s="8" t="n">
        <v>154.48</v>
      </c>
      <c r="E5666" s="8" t="n">
        <v>0</v>
      </c>
      <c r="F5666" s="8" t="n">
        <v>0</v>
      </c>
    </row>
    <row r="5667" customFormat="false" ht="15" hidden="false" customHeight="true" outlineLevel="0" collapsed="false">
      <c r="A5667" s="8" t="s">
        <v>163</v>
      </c>
      <c r="B5667" s="8" t="s">
        <v>897</v>
      </c>
      <c r="C5667" s="8" t="n">
        <v>1</v>
      </c>
      <c r="D5667" s="8" t="n">
        <v>65</v>
      </c>
      <c r="E5667" s="8" t="n">
        <v>0</v>
      </c>
      <c r="F5667" s="8" t="n">
        <v>0</v>
      </c>
    </row>
    <row r="5668" customFormat="false" ht="15" hidden="false" customHeight="true" outlineLevel="0" collapsed="false">
      <c r="A5668" s="8" t="s">
        <v>165</v>
      </c>
      <c r="B5668" s="8" t="s">
        <v>897</v>
      </c>
      <c r="C5668" s="8" t="n">
        <v>3</v>
      </c>
      <c r="D5668" s="8" t="n">
        <v>195</v>
      </c>
      <c r="E5668" s="8" t="n">
        <v>0</v>
      </c>
      <c r="F5668" s="8" t="n">
        <v>0</v>
      </c>
    </row>
    <row r="5669" customFormat="false" ht="15" hidden="false" customHeight="true" outlineLevel="0" collapsed="false">
      <c r="A5669" s="8" t="s">
        <v>190</v>
      </c>
      <c r="B5669" s="8" t="s">
        <v>1224</v>
      </c>
      <c r="C5669" s="8" t="n">
        <v>4</v>
      </c>
      <c r="D5669" s="8" t="n">
        <v>97.72</v>
      </c>
      <c r="E5669" s="8" t="n">
        <v>0</v>
      </c>
      <c r="F5669" s="8" t="n">
        <v>0</v>
      </c>
    </row>
    <row r="5670" customFormat="false" ht="15" hidden="false" customHeight="true" outlineLevel="0" collapsed="false">
      <c r="A5670" s="8" t="s">
        <v>183</v>
      </c>
      <c r="B5670" s="8" t="s">
        <v>1224</v>
      </c>
      <c r="C5670" s="8" t="n">
        <v>3</v>
      </c>
      <c r="D5670" s="8" t="n">
        <v>73.29</v>
      </c>
      <c r="E5670" s="8" t="n">
        <v>0</v>
      </c>
      <c r="F5670" s="8" t="n">
        <v>0</v>
      </c>
    </row>
    <row r="5671" customFormat="false" ht="15" hidden="false" customHeight="true" outlineLevel="0" collapsed="false">
      <c r="A5671" s="8" t="s">
        <v>218</v>
      </c>
      <c r="B5671" s="8" t="s">
        <v>1224</v>
      </c>
      <c r="C5671" s="8" t="n">
        <v>3</v>
      </c>
      <c r="D5671" s="8" t="n">
        <v>73.29</v>
      </c>
      <c r="E5671" s="8" t="n">
        <v>0</v>
      </c>
      <c r="F5671" s="8" t="n">
        <v>0</v>
      </c>
    </row>
    <row r="5672" customFormat="false" ht="15" hidden="false" customHeight="true" outlineLevel="0" collapsed="false">
      <c r="A5672" s="8" t="s">
        <v>231</v>
      </c>
      <c r="B5672" s="8" t="s">
        <v>1224</v>
      </c>
      <c r="C5672" s="8" t="n">
        <v>3</v>
      </c>
      <c r="D5672" s="8" t="n">
        <v>73.29</v>
      </c>
      <c r="E5672" s="8" t="n">
        <v>0</v>
      </c>
      <c r="F5672" s="8" t="n">
        <v>0</v>
      </c>
    </row>
    <row r="5673" customFormat="false" ht="15" hidden="false" customHeight="true" outlineLevel="0" collapsed="false">
      <c r="A5673" s="8" t="s">
        <v>161</v>
      </c>
      <c r="B5673" s="8" t="s">
        <v>1208</v>
      </c>
      <c r="C5673" s="8" t="n">
        <v>3</v>
      </c>
      <c r="D5673" s="8" t="n">
        <v>136.5</v>
      </c>
      <c r="E5673" s="8" t="n">
        <v>0</v>
      </c>
      <c r="F5673" s="8" t="n">
        <v>0</v>
      </c>
    </row>
    <row r="5674" customFormat="false" ht="15" hidden="false" customHeight="true" outlineLevel="0" collapsed="false">
      <c r="A5674" s="8" t="s">
        <v>188</v>
      </c>
      <c r="B5674" s="8" t="s">
        <v>1225</v>
      </c>
      <c r="C5674" s="8" t="n">
        <v>2</v>
      </c>
      <c r="D5674" s="8" t="n">
        <v>57.86</v>
      </c>
      <c r="E5674" s="8" t="n">
        <v>0</v>
      </c>
      <c r="F5674" s="8" t="n">
        <v>0</v>
      </c>
    </row>
    <row r="5675" customFormat="false" ht="15" hidden="false" customHeight="true" outlineLevel="0" collapsed="false">
      <c r="A5675" s="8" t="s">
        <v>186</v>
      </c>
      <c r="B5675" s="8" t="s">
        <v>1225</v>
      </c>
      <c r="C5675" s="8" t="n">
        <v>2</v>
      </c>
      <c r="D5675" s="8" t="n">
        <v>57.86</v>
      </c>
      <c r="E5675" s="8" t="n">
        <v>0</v>
      </c>
      <c r="F5675" s="8" t="n">
        <v>0</v>
      </c>
    </row>
    <row r="5676" customFormat="false" ht="15" hidden="false" customHeight="true" outlineLevel="0" collapsed="false">
      <c r="A5676" s="8" t="s">
        <v>239</v>
      </c>
      <c r="B5676" s="8" t="s">
        <v>1225</v>
      </c>
      <c r="C5676" s="8" t="n">
        <v>2</v>
      </c>
      <c r="D5676" s="8" t="n">
        <v>57.86</v>
      </c>
      <c r="E5676" s="8" t="n">
        <v>0</v>
      </c>
      <c r="F5676" s="8" t="n">
        <v>0</v>
      </c>
    </row>
    <row r="5677" customFormat="false" ht="15" hidden="false" customHeight="true" outlineLevel="0" collapsed="false">
      <c r="A5677" s="8" t="s">
        <v>210</v>
      </c>
      <c r="B5677" s="8" t="s">
        <v>1225</v>
      </c>
      <c r="C5677" s="8" t="n">
        <v>2</v>
      </c>
      <c r="D5677" s="8" t="n">
        <v>57.86</v>
      </c>
      <c r="E5677" s="8" t="n">
        <v>0</v>
      </c>
      <c r="F5677" s="8" t="n">
        <v>0</v>
      </c>
    </row>
    <row r="5678" customFormat="false" ht="15" hidden="false" customHeight="true" outlineLevel="0" collapsed="false">
      <c r="A5678" s="8" t="s">
        <v>320</v>
      </c>
      <c r="B5678" s="8" t="s">
        <v>1225</v>
      </c>
      <c r="C5678" s="8" t="n">
        <v>2</v>
      </c>
      <c r="D5678" s="8" t="n">
        <v>57.86</v>
      </c>
      <c r="E5678" s="8" t="n">
        <v>0</v>
      </c>
      <c r="F5678" s="8" t="n">
        <v>0</v>
      </c>
    </row>
    <row r="5679" customFormat="false" ht="15" hidden="false" customHeight="true" outlineLevel="0" collapsed="false">
      <c r="A5679" s="8" t="s">
        <v>278</v>
      </c>
      <c r="B5679" s="8" t="s">
        <v>1225</v>
      </c>
      <c r="C5679" s="8" t="n">
        <v>2</v>
      </c>
      <c r="D5679" s="8" t="n">
        <v>57.86</v>
      </c>
      <c r="E5679" s="8" t="n">
        <v>0</v>
      </c>
      <c r="F5679" s="8" t="n">
        <v>0</v>
      </c>
    </row>
    <row r="5680" customFormat="false" ht="15" hidden="false" customHeight="true" outlineLevel="0" collapsed="false">
      <c r="A5680" s="8" t="s">
        <v>241</v>
      </c>
      <c r="B5680" s="8" t="s">
        <v>1227</v>
      </c>
      <c r="C5680" s="8" t="n">
        <v>1</v>
      </c>
      <c r="D5680" s="8" t="n">
        <v>17</v>
      </c>
      <c r="E5680" s="8" t="n">
        <v>0</v>
      </c>
      <c r="F5680" s="8" t="n">
        <v>0</v>
      </c>
    </row>
    <row r="5681" customFormat="false" ht="15" hidden="false" customHeight="true" outlineLevel="0" collapsed="false">
      <c r="A5681" s="8" t="s">
        <v>180</v>
      </c>
      <c r="B5681" s="8" t="s">
        <v>1216</v>
      </c>
      <c r="C5681" s="8" t="n">
        <v>5</v>
      </c>
      <c r="D5681" s="8" t="n">
        <v>82.5</v>
      </c>
      <c r="E5681" s="8" t="n">
        <v>0</v>
      </c>
      <c r="F5681" s="8" t="n">
        <v>0</v>
      </c>
    </row>
    <row r="5682" customFormat="false" ht="15" hidden="false" customHeight="true" outlineLevel="0" collapsed="false">
      <c r="A5682" s="8" t="s">
        <v>189</v>
      </c>
      <c r="B5682" s="8" t="s">
        <v>1216</v>
      </c>
      <c r="C5682" s="8" t="n">
        <v>5</v>
      </c>
      <c r="D5682" s="8" t="n">
        <v>82.5</v>
      </c>
      <c r="E5682" s="8" t="n">
        <v>0</v>
      </c>
      <c r="F5682" s="8" t="n">
        <v>0</v>
      </c>
    </row>
    <row r="5683" customFormat="false" ht="15" hidden="false" customHeight="true" outlineLevel="0" collapsed="false">
      <c r="A5683" s="8" t="s">
        <v>267</v>
      </c>
      <c r="B5683" s="8" t="s">
        <v>1216</v>
      </c>
      <c r="C5683" s="8" t="n">
        <v>2</v>
      </c>
      <c r="D5683" s="8" t="n">
        <v>33</v>
      </c>
      <c r="E5683" s="8" t="n">
        <v>0</v>
      </c>
      <c r="F5683" s="8" t="n">
        <v>0</v>
      </c>
    </row>
    <row r="5684" customFormat="false" ht="15" hidden="false" customHeight="true" outlineLevel="0" collapsed="false">
      <c r="A5684" s="8" t="s">
        <v>199</v>
      </c>
      <c r="B5684" s="8" t="s">
        <v>1216</v>
      </c>
      <c r="C5684" s="8" t="n">
        <v>5</v>
      </c>
      <c r="D5684" s="8" t="n">
        <v>82.5</v>
      </c>
      <c r="E5684" s="8" t="n">
        <v>0</v>
      </c>
      <c r="F5684" s="8" t="n">
        <v>0</v>
      </c>
    </row>
    <row r="5685" customFormat="false" ht="15" hidden="false" customHeight="true" outlineLevel="0" collapsed="false">
      <c r="A5685" s="8" t="s">
        <v>250</v>
      </c>
      <c r="B5685" s="8" t="s">
        <v>1216</v>
      </c>
      <c r="C5685" s="8" t="n">
        <v>2</v>
      </c>
      <c r="D5685" s="8" t="n">
        <v>33</v>
      </c>
      <c r="E5685" s="8" t="n">
        <v>0</v>
      </c>
      <c r="F5685" s="8" t="n">
        <v>0</v>
      </c>
    </row>
    <row r="5686" customFormat="false" ht="15" hidden="false" customHeight="true" outlineLevel="0" collapsed="false">
      <c r="A5686" s="8" t="s">
        <v>205</v>
      </c>
      <c r="B5686" s="8" t="s">
        <v>1217</v>
      </c>
      <c r="C5686" s="8" t="n">
        <v>1</v>
      </c>
      <c r="D5686" s="8" t="n">
        <v>20.5</v>
      </c>
      <c r="E5686" s="8" t="n">
        <v>0</v>
      </c>
      <c r="F5686" s="8" t="n">
        <v>0</v>
      </c>
    </row>
    <row r="5687" customFormat="false" ht="15" hidden="false" customHeight="true" outlineLevel="0" collapsed="false">
      <c r="A5687" s="8" t="s">
        <v>356</v>
      </c>
      <c r="B5687" s="8" t="s">
        <v>1285</v>
      </c>
      <c r="C5687" s="8" t="n">
        <v>1</v>
      </c>
      <c r="D5687" s="8" t="n">
        <v>136.3</v>
      </c>
      <c r="E5687" s="8" t="n">
        <v>0</v>
      </c>
      <c r="F5687" s="8" t="n">
        <v>0</v>
      </c>
    </row>
    <row r="5688" customFormat="false" ht="15" hidden="false" customHeight="true" outlineLevel="0" collapsed="false">
      <c r="A5688" s="8" t="s">
        <v>240</v>
      </c>
      <c r="B5688" s="8" t="s">
        <v>769</v>
      </c>
      <c r="C5688" s="8" t="n">
        <v>7</v>
      </c>
      <c r="D5688" s="8" t="n">
        <v>119</v>
      </c>
      <c r="E5688" s="8" t="n">
        <v>0</v>
      </c>
      <c r="F5688" s="8" t="n">
        <v>0</v>
      </c>
    </row>
    <row r="5689" customFormat="false" ht="15" hidden="false" customHeight="true" outlineLevel="0" collapsed="false">
      <c r="A5689" s="8" t="s">
        <v>234</v>
      </c>
      <c r="B5689" s="8" t="s">
        <v>769</v>
      </c>
      <c r="C5689" s="8" t="n">
        <v>5</v>
      </c>
      <c r="D5689" s="8" t="n">
        <v>85</v>
      </c>
      <c r="E5689" s="8" t="n">
        <v>0</v>
      </c>
      <c r="F5689" s="8" t="n">
        <v>0</v>
      </c>
    </row>
    <row r="5690" customFormat="false" ht="15" hidden="false" customHeight="true" outlineLevel="0" collapsed="false">
      <c r="A5690" s="8" t="s">
        <v>247</v>
      </c>
      <c r="B5690" s="8" t="s">
        <v>769</v>
      </c>
      <c r="C5690" s="8" t="n">
        <v>2</v>
      </c>
      <c r="D5690" s="8" t="n">
        <v>34</v>
      </c>
      <c r="E5690" s="8" t="n">
        <v>0</v>
      </c>
      <c r="F5690" s="8" t="n">
        <v>0</v>
      </c>
    </row>
    <row r="5691" customFormat="false" ht="15" hidden="false" customHeight="true" outlineLevel="0" collapsed="false">
      <c r="A5691" s="8" t="s">
        <v>300</v>
      </c>
      <c r="B5691" s="8" t="s">
        <v>769</v>
      </c>
      <c r="C5691" s="8" t="n">
        <v>2</v>
      </c>
      <c r="D5691" s="8" t="n">
        <v>34</v>
      </c>
      <c r="E5691" s="8" t="n">
        <v>0</v>
      </c>
      <c r="F5691" s="8" t="n">
        <v>0</v>
      </c>
    </row>
    <row r="5692" customFormat="false" ht="15" hidden="false" customHeight="true" outlineLevel="0" collapsed="false">
      <c r="A5692" s="8" t="s">
        <v>328</v>
      </c>
      <c r="B5692" s="8" t="s">
        <v>769</v>
      </c>
      <c r="C5692" s="8" t="n">
        <v>2</v>
      </c>
      <c r="D5692" s="8" t="n">
        <v>34</v>
      </c>
      <c r="E5692" s="8" t="n">
        <v>0</v>
      </c>
      <c r="F5692" s="8" t="n">
        <v>0</v>
      </c>
    </row>
    <row r="5693" customFormat="false" ht="15" hidden="false" customHeight="true" outlineLevel="0" collapsed="false">
      <c r="A5693" s="8" t="s">
        <v>367</v>
      </c>
      <c r="B5693" s="8" t="s">
        <v>769</v>
      </c>
      <c r="C5693" s="8" t="n">
        <v>2</v>
      </c>
      <c r="D5693" s="8" t="n">
        <v>34</v>
      </c>
      <c r="E5693" s="8" t="n">
        <v>0</v>
      </c>
      <c r="F5693" s="8" t="n">
        <v>0</v>
      </c>
    </row>
    <row r="5694" customFormat="false" ht="15" hidden="false" customHeight="true" outlineLevel="0" collapsed="false">
      <c r="A5694" s="8" t="s">
        <v>182</v>
      </c>
      <c r="B5694" s="8" t="s">
        <v>799</v>
      </c>
      <c r="C5694" s="8" t="n">
        <v>3</v>
      </c>
      <c r="D5694" s="8" t="n">
        <v>60</v>
      </c>
      <c r="E5694" s="8" t="n">
        <v>0</v>
      </c>
      <c r="F5694" s="8" t="n">
        <v>0</v>
      </c>
    </row>
    <row r="5695" customFormat="false" ht="15" hidden="false" customHeight="true" outlineLevel="0" collapsed="false">
      <c r="A5695" s="8" t="s">
        <v>167</v>
      </c>
      <c r="B5695" s="8" t="s">
        <v>1238</v>
      </c>
      <c r="C5695" s="8" t="n">
        <v>3</v>
      </c>
      <c r="D5695" s="8" t="n">
        <v>40.2</v>
      </c>
      <c r="E5695" s="8" t="n">
        <v>0</v>
      </c>
      <c r="F5695" s="8" t="n">
        <v>0</v>
      </c>
    </row>
    <row r="5696" customFormat="false" ht="15" hidden="false" customHeight="true" outlineLevel="0" collapsed="false">
      <c r="A5696" s="8" t="s">
        <v>220</v>
      </c>
      <c r="B5696" s="8" t="s">
        <v>1248</v>
      </c>
      <c r="C5696" s="8" t="n">
        <v>55</v>
      </c>
      <c r="D5696" s="8" t="n">
        <v>572</v>
      </c>
      <c r="E5696" s="8" t="n">
        <v>0</v>
      </c>
      <c r="F5696" s="8" t="n">
        <v>0</v>
      </c>
    </row>
    <row r="5697" customFormat="false" ht="15" hidden="false" customHeight="true" outlineLevel="0" collapsed="false">
      <c r="A5697" s="8" t="s">
        <v>275</v>
      </c>
      <c r="B5697" s="8" t="s">
        <v>1257</v>
      </c>
      <c r="C5697" s="8" t="n">
        <v>5</v>
      </c>
      <c r="D5697" s="8" t="n">
        <v>108</v>
      </c>
      <c r="E5697" s="8" t="n">
        <v>0</v>
      </c>
      <c r="F5697" s="8" t="n">
        <v>0</v>
      </c>
    </row>
    <row r="5698" customFormat="false" ht="15" hidden="false" customHeight="true" outlineLevel="0" collapsed="false">
      <c r="A5698" s="8" t="s">
        <v>233</v>
      </c>
      <c r="B5698" s="8" t="s">
        <v>1249</v>
      </c>
      <c r="C5698" s="8" t="n">
        <v>5</v>
      </c>
      <c r="D5698" s="8" t="n">
        <v>89.75</v>
      </c>
      <c r="E5698" s="8" t="n">
        <v>0</v>
      </c>
      <c r="F5698" s="8" t="n">
        <v>0</v>
      </c>
    </row>
    <row r="5699" customFormat="false" ht="15" hidden="false" customHeight="true" outlineLevel="0" collapsed="false">
      <c r="A5699" s="8" t="s">
        <v>264</v>
      </c>
      <c r="B5699" s="8" t="s">
        <v>1221</v>
      </c>
      <c r="C5699" s="8" t="n">
        <v>5</v>
      </c>
      <c r="D5699" s="8" t="n">
        <v>29.05</v>
      </c>
      <c r="E5699" s="8" t="n">
        <v>0</v>
      </c>
      <c r="F5699" s="8" t="n">
        <v>0</v>
      </c>
    </row>
    <row r="5700" customFormat="false" ht="15" hidden="false" customHeight="true" outlineLevel="0" collapsed="false">
      <c r="A5700" s="8" t="s">
        <v>348</v>
      </c>
      <c r="B5700" s="8" t="s">
        <v>1277</v>
      </c>
      <c r="C5700" s="8" t="n">
        <v>5</v>
      </c>
      <c r="D5700" s="8" t="n">
        <v>34</v>
      </c>
      <c r="E5700" s="8" t="n">
        <v>0</v>
      </c>
      <c r="F5700" s="8" t="n">
        <v>0</v>
      </c>
    </row>
    <row r="5701" customFormat="false" ht="15" hidden="false" customHeight="true" outlineLevel="0" collapsed="false">
      <c r="A5701" s="8" t="s">
        <v>163</v>
      </c>
      <c r="B5701" s="8" t="s">
        <v>897</v>
      </c>
      <c r="C5701" s="8" t="n">
        <v>2</v>
      </c>
      <c r="D5701" s="8" t="n">
        <v>130</v>
      </c>
      <c r="E5701" s="8" t="n">
        <v>0</v>
      </c>
      <c r="F5701" s="8" t="n">
        <v>0</v>
      </c>
    </row>
    <row r="5702" customFormat="false" ht="15" hidden="false" customHeight="true" outlineLevel="0" collapsed="false">
      <c r="A5702" s="8" t="s">
        <v>165</v>
      </c>
      <c r="B5702" s="8" t="s">
        <v>897</v>
      </c>
      <c r="C5702" s="8" t="n">
        <v>2</v>
      </c>
      <c r="D5702" s="8" t="n">
        <v>130</v>
      </c>
      <c r="E5702" s="8" t="n">
        <v>0</v>
      </c>
      <c r="F5702" s="8" t="n">
        <v>0</v>
      </c>
    </row>
    <row r="5703" customFormat="false" ht="15" hidden="false" customHeight="true" outlineLevel="0" collapsed="false">
      <c r="A5703" s="8" t="s">
        <v>184</v>
      </c>
      <c r="B5703" s="8" t="s">
        <v>897</v>
      </c>
      <c r="C5703" s="8" t="n">
        <v>2</v>
      </c>
      <c r="D5703" s="8" t="n">
        <v>130</v>
      </c>
      <c r="E5703" s="8" t="n">
        <v>0</v>
      </c>
      <c r="F5703" s="8" t="n">
        <v>0</v>
      </c>
    </row>
    <row r="5704" customFormat="false" ht="15" hidden="false" customHeight="true" outlineLevel="0" collapsed="false">
      <c r="A5704" s="8" t="s">
        <v>183</v>
      </c>
      <c r="B5704" s="8" t="s">
        <v>1224</v>
      </c>
      <c r="C5704" s="8" t="n">
        <v>2</v>
      </c>
      <c r="D5704" s="8" t="n">
        <v>48.86</v>
      </c>
      <c r="E5704" s="8" t="n">
        <v>0</v>
      </c>
      <c r="F5704" s="8" t="n">
        <v>0</v>
      </c>
    </row>
    <row r="5705" customFormat="false" ht="15" hidden="false" customHeight="true" outlineLevel="0" collapsed="false">
      <c r="A5705" s="8" t="s">
        <v>239</v>
      </c>
      <c r="B5705" s="8" t="s">
        <v>1225</v>
      </c>
      <c r="C5705" s="8" t="n">
        <v>3</v>
      </c>
      <c r="D5705" s="8" t="n">
        <v>86.79</v>
      </c>
      <c r="E5705" s="8" t="n">
        <v>0</v>
      </c>
      <c r="F5705" s="8" t="n">
        <v>0</v>
      </c>
    </row>
    <row r="5706" customFormat="false" ht="15" hidden="false" customHeight="true" outlineLevel="0" collapsed="false">
      <c r="A5706" s="8" t="s">
        <v>223</v>
      </c>
      <c r="B5706" s="8" t="s">
        <v>1227</v>
      </c>
      <c r="C5706" s="8" t="n">
        <v>3</v>
      </c>
      <c r="D5706" s="8" t="n">
        <v>51</v>
      </c>
      <c r="E5706" s="8" t="n">
        <v>0</v>
      </c>
      <c r="F5706" s="8" t="n">
        <v>0</v>
      </c>
    </row>
    <row r="5707" customFormat="false" ht="15" hidden="false" customHeight="true" outlineLevel="0" collapsed="false">
      <c r="A5707" s="8" t="s">
        <v>172</v>
      </c>
      <c r="B5707" s="8" t="s">
        <v>1214</v>
      </c>
      <c r="C5707" s="8" t="n">
        <v>4</v>
      </c>
      <c r="D5707" s="8" t="n">
        <v>48.72</v>
      </c>
      <c r="E5707" s="8" t="n">
        <v>0</v>
      </c>
      <c r="F5707" s="8" t="n">
        <v>0</v>
      </c>
    </row>
    <row r="5708" customFormat="false" ht="15" hidden="false" customHeight="true" outlineLevel="0" collapsed="false">
      <c r="A5708" s="8" t="s">
        <v>232</v>
      </c>
      <c r="B5708" s="8" t="s">
        <v>1233</v>
      </c>
      <c r="C5708" s="8" t="n">
        <v>1</v>
      </c>
      <c r="D5708" s="8" t="n">
        <v>16.2</v>
      </c>
      <c r="E5708" s="8" t="n">
        <v>0</v>
      </c>
      <c r="F5708" s="8" t="n">
        <v>0</v>
      </c>
    </row>
    <row r="5709" customFormat="false" ht="15" hidden="false" customHeight="true" outlineLevel="0" collapsed="false">
      <c r="A5709" s="8" t="s">
        <v>198</v>
      </c>
      <c r="B5709" s="8" t="s">
        <v>1217</v>
      </c>
      <c r="C5709" s="8" t="n">
        <v>2</v>
      </c>
      <c r="D5709" s="8" t="n">
        <v>41</v>
      </c>
      <c r="E5709" s="8" t="n">
        <v>0</v>
      </c>
      <c r="F5709" s="8" t="n">
        <v>0</v>
      </c>
    </row>
    <row r="5710" customFormat="false" ht="15" hidden="false" customHeight="true" outlineLevel="0" collapsed="false">
      <c r="A5710" s="8" t="s">
        <v>205</v>
      </c>
      <c r="B5710" s="8" t="s">
        <v>1217</v>
      </c>
      <c r="C5710" s="8" t="n">
        <v>2</v>
      </c>
      <c r="D5710" s="8" t="n">
        <v>41</v>
      </c>
      <c r="E5710" s="8" t="n">
        <v>0</v>
      </c>
      <c r="F5710" s="8" t="n">
        <v>0</v>
      </c>
    </row>
    <row r="5711" customFormat="false" ht="15" hidden="false" customHeight="true" outlineLevel="0" collapsed="false">
      <c r="A5711" s="8" t="s">
        <v>256</v>
      </c>
      <c r="B5711" s="8" t="s">
        <v>1217</v>
      </c>
      <c r="C5711" s="8" t="n">
        <v>2</v>
      </c>
      <c r="D5711" s="8" t="n">
        <v>41</v>
      </c>
      <c r="E5711" s="8" t="n">
        <v>0</v>
      </c>
      <c r="F5711" s="8" t="n">
        <v>0</v>
      </c>
    </row>
    <row r="5712" customFormat="false" ht="15" hidden="false" customHeight="true" outlineLevel="0" collapsed="false">
      <c r="A5712" s="8" t="s">
        <v>277</v>
      </c>
      <c r="B5712" s="8" t="s">
        <v>1285</v>
      </c>
      <c r="C5712" s="8" t="n">
        <v>1</v>
      </c>
      <c r="D5712" s="8" t="n">
        <v>136.3</v>
      </c>
      <c r="E5712" s="8" t="n">
        <v>0</v>
      </c>
      <c r="F5712" s="8" t="n">
        <v>0</v>
      </c>
    </row>
    <row r="5713" customFormat="false" ht="15" hidden="false" customHeight="true" outlineLevel="0" collapsed="false">
      <c r="A5713" s="8" t="s">
        <v>249</v>
      </c>
      <c r="B5713" s="8" t="s">
        <v>1285</v>
      </c>
      <c r="C5713" s="8" t="n">
        <v>2</v>
      </c>
      <c r="D5713" s="8" t="n">
        <v>272.6</v>
      </c>
      <c r="E5713" s="8" t="n">
        <v>0</v>
      </c>
      <c r="F5713" s="8" t="n">
        <v>0</v>
      </c>
    </row>
    <row r="5714" customFormat="false" ht="15" hidden="false" customHeight="true" outlineLevel="0" collapsed="false">
      <c r="A5714" s="8" t="s">
        <v>356</v>
      </c>
      <c r="B5714" s="8" t="s">
        <v>1285</v>
      </c>
      <c r="C5714" s="8" t="n">
        <v>1</v>
      </c>
      <c r="D5714" s="8" t="n">
        <v>136.3</v>
      </c>
      <c r="E5714" s="8" t="n">
        <v>0</v>
      </c>
      <c r="F5714" s="8" t="n">
        <v>0</v>
      </c>
    </row>
    <row r="5715" customFormat="false" ht="15" hidden="false" customHeight="true" outlineLevel="0" collapsed="false">
      <c r="A5715" s="8" t="s">
        <v>274</v>
      </c>
      <c r="B5715" s="8" t="s">
        <v>1219</v>
      </c>
      <c r="C5715" s="8" t="n">
        <v>2</v>
      </c>
      <c r="D5715" s="8" t="n">
        <v>17.46</v>
      </c>
      <c r="E5715" s="8" t="n">
        <v>0</v>
      </c>
      <c r="F5715" s="8" t="n">
        <v>0</v>
      </c>
    </row>
    <row r="5716" customFormat="false" ht="15" hidden="false" customHeight="true" outlineLevel="0" collapsed="false">
      <c r="A5716" s="8" t="s">
        <v>170</v>
      </c>
      <c r="B5716" s="8" t="s">
        <v>1220</v>
      </c>
      <c r="C5716" s="8" t="n">
        <v>6</v>
      </c>
      <c r="D5716" s="8" t="n">
        <v>88.8</v>
      </c>
      <c r="E5716" s="8" t="n">
        <v>0</v>
      </c>
      <c r="F5716" s="8" t="n">
        <v>0</v>
      </c>
    </row>
    <row r="5717" customFormat="false" ht="15" hidden="false" customHeight="true" outlineLevel="0" collapsed="false">
      <c r="A5717" s="8" t="s">
        <v>167</v>
      </c>
      <c r="B5717" s="8" t="s">
        <v>1238</v>
      </c>
      <c r="C5717" s="8" t="n">
        <v>10</v>
      </c>
      <c r="D5717" s="8" t="n">
        <v>134</v>
      </c>
      <c r="E5717" s="8" t="n">
        <v>0</v>
      </c>
      <c r="F5717" s="8" t="n">
        <v>0</v>
      </c>
    </row>
    <row r="5718" customFormat="false" ht="15" hidden="false" customHeight="true" outlineLevel="0" collapsed="false">
      <c r="A5718" s="8" t="s">
        <v>252</v>
      </c>
      <c r="B5718" s="8" t="s">
        <v>1177</v>
      </c>
      <c r="C5718" s="8" t="n">
        <v>5</v>
      </c>
      <c r="D5718" s="8" t="n">
        <v>83</v>
      </c>
      <c r="E5718" s="8" t="n">
        <v>0</v>
      </c>
      <c r="F5718" s="8" t="n">
        <v>0</v>
      </c>
    </row>
    <row r="5719" customFormat="false" ht="15" hidden="false" customHeight="true" outlineLevel="0" collapsed="false">
      <c r="A5719" s="8" t="s">
        <v>203</v>
      </c>
      <c r="B5719" s="8" t="s">
        <v>1177</v>
      </c>
      <c r="C5719" s="8" t="n">
        <v>10</v>
      </c>
      <c r="D5719" s="8" t="n">
        <v>185</v>
      </c>
      <c r="E5719" s="8" t="n">
        <v>0</v>
      </c>
      <c r="F5719" s="8" t="n">
        <v>0</v>
      </c>
    </row>
    <row r="5720" customFormat="false" ht="15" hidden="false" customHeight="true" outlineLevel="0" collapsed="false">
      <c r="A5720" s="8" t="s">
        <v>197</v>
      </c>
      <c r="B5720" s="8" t="s">
        <v>1222</v>
      </c>
      <c r="C5720" s="8" t="n">
        <v>0</v>
      </c>
      <c r="D5720" s="8" t="n">
        <v>0</v>
      </c>
      <c r="E5720" s="8" t="n">
        <v>2</v>
      </c>
      <c r="F5720" s="8" t="n">
        <v>130</v>
      </c>
    </row>
    <row r="5721" customFormat="false" ht="15" hidden="false" customHeight="true" outlineLevel="0" collapsed="false">
      <c r="A5721" s="8" t="s">
        <v>253</v>
      </c>
      <c r="B5721" s="8" t="s">
        <v>1222</v>
      </c>
      <c r="C5721" s="8" t="n">
        <v>0</v>
      </c>
      <c r="D5721" s="8" t="n">
        <v>0</v>
      </c>
      <c r="E5721" s="8" t="n">
        <v>2</v>
      </c>
      <c r="F5721" s="8" t="n">
        <v>130</v>
      </c>
    </row>
    <row r="5722" customFormat="false" ht="15" hidden="false" customHeight="true" outlineLevel="0" collapsed="false">
      <c r="A5722" s="8" t="s">
        <v>385</v>
      </c>
      <c r="B5722" s="8" t="s">
        <v>1222</v>
      </c>
      <c r="C5722" s="8" t="n">
        <v>0</v>
      </c>
      <c r="D5722" s="8" t="n">
        <v>0</v>
      </c>
      <c r="E5722" s="8" t="n">
        <v>1</v>
      </c>
      <c r="F5722" s="8" t="n">
        <v>65</v>
      </c>
    </row>
    <row r="5723" customFormat="false" ht="15" hidden="false" customHeight="true" outlineLevel="0" collapsed="false">
      <c r="A5723" s="8" t="s">
        <v>207</v>
      </c>
      <c r="B5723" s="8" t="s">
        <v>1222</v>
      </c>
      <c r="C5723" s="8" t="n">
        <v>0</v>
      </c>
      <c r="D5723" s="8" t="n">
        <v>0</v>
      </c>
      <c r="E5723" s="8" t="n">
        <v>2</v>
      </c>
      <c r="F5723" s="8" t="n">
        <v>130</v>
      </c>
    </row>
    <row r="5724" customFormat="false" ht="15" hidden="false" customHeight="true" outlineLevel="0" collapsed="false">
      <c r="A5724" s="8" t="s">
        <v>208</v>
      </c>
      <c r="B5724" s="8" t="s">
        <v>1179</v>
      </c>
      <c r="C5724" s="8" t="n">
        <v>0</v>
      </c>
      <c r="D5724" s="8" t="n">
        <v>0</v>
      </c>
      <c r="E5724" s="8" t="n">
        <v>1</v>
      </c>
      <c r="F5724" s="8" t="n">
        <v>72.34</v>
      </c>
    </row>
    <row r="5725" customFormat="false" ht="15" hidden="false" customHeight="true" outlineLevel="0" collapsed="false">
      <c r="A5725" s="8" t="s">
        <v>221</v>
      </c>
      <c r="B5725" s="8" t="s">
        <v>1179</v>
      </c>
      <c r="C5725" s="8" t="n">
        <v>0</v>
      </c>
      <c r="D5725" s="8" t="n">
        <v>0</v>
      </c>
      <c r="E5725" s="8" t="n">
        <v>1</v>
      </c>
      <c r="F5725" s="8" t="n">
        <v>72.34</v>
      </c>
    </row>
    <row r="5726" customFormat="false" ht="15" hidden="false" customHeight="true" outlineLevel="0" collapsed="false">
      <c r="A5726" s="8" t="s">
        <v>191</v>
      </c>
      <c r="B5726" s="8" t="s">
        <v>1179</v>
      </c>
      <c r="C5726" s="8" t="n">
        <v>0</v>
      </c>
      <c r="D5726" s="8" t="n">
        <v>0</v>
      </c>
      <c r="E5726" s="8" t="n">
        <v>1</v>
      </c>
      <c r="F5726" s="8" t="n">
        <v>72.34</v>
      </c>
    </row>
    <row r="5727" customFormat="false" ht="15" hidden="false" customHeight="true" outlineLevel="0" collapsed="false">
      <c r="A5727" s="8" t="s">
        <v>190</v>
      </c>
      <c r="B5727" s="8" t="s">
        <v>1224</v>
      </c>
      <c r="C5727" s="8" t="n">
        <v>0</v>
      </c>
      <c r="D5727" s="8" t="n">
        <v>0</v>
      </c>
      <c r="E5727" s="8" t="n">
        <v>2</v>
      </c>
      <c r="F5727" s="8" t="n">
        <v>48.86</v>
      </c>
    </row>
    <row r="5728" customFormat="false" ht="15" hidden="false" customHeight="true" outlineLevel="0" collapsed="false">
      <c r="A5728" s="8" t="s">
        <v>161</v>
      </c>
      <c r="B5728" s="8" t="s">
        <v>1208</v>
      </c>
      <c r="C5728" s="8" t="n">
        <v>0</v>
      </c>
      <c r="D5728" s="8" t="n">
        <v>0</v>
      </c>
      <c r="E5728" s="8" t="n">
        <v>3</v>
      </c>
      <c r="F5728" s="8" t="n">
        <v>136.5</v>
      </c>
    </row>
    <row r="5729" customFormat="false" ht="15" hidden="false" customHeight="true" outlineLevel="0" collapsed="false">
      <c r="A5729" s="8" t="s">
        <v>162</v>
      </c>
      <c r="B5729" s="8" t="s">
        <v>1209</v>
      </c>
      <c r="C5729" s="8" t="n">
        <v>0</v>
      </c>
      <c r="D5729" s="8" t="n">
        <v>0</v>
      </c>
      <c r="E5729" s="8" t="n">
        <v>2</v>
      </c>
      <c r="F5729" s="8" t="n">
        <v>155.6</v>
      </c>
    </row>
    <row r="5730" customFormat="false" ht="15" hidden="false" customHeight="true" outlineLevel="0" collapsed="false">
      <c r="A5730" s="8" t="s">
        <v>171</v>
      </c>
      <c r="B5730" s="8" t="s">
        <v>1210</v>
      </c>
      <c r="C5730" s="8" t="n">
        <v>0</v>
      </c>
      <c r="D5730" s="8" t="n">
        <v>0</v>
      </c>
      <c r="E5730" s="8" t="n">
        <v>3</v>
      </c>
      <c r="F5730" s="8" t="n">
        <v>141.69</v>
      </c>
    </row>
    <row r="5731" customFormat="false" ht="15" hidden="false" customHeight="true" outlineLevel="0" collapsed="false">
      <c r="A5731" s="8" t="s">
        <v>174</v>
      </c>
      <c r="B5731" s="8" t="s">
        <v>1210</v>
      </c>
      <c r="C5731" s="8" t="n">
        <v>0</v>
      </c>
      <c r="D5731" s="8" t="n">
        <v>0</v>
      </c>
      <c r="E5731" s="8" t="n">
        <v>3</v>
      </c>
      <c r="F5731" s="8" t="n">
        <v>141.69</v>
      </c>
    </row>
    <row r="5732" customFormat="false" ht="15" hidden="false" customHeight="true" outlineLevel="0" collapsed="false">
      <c r="A5732" s="8" t="s">
        <v>270</v>
      </c>
      <c r="B5732" s="8" t="s">
        <v>1251</v>
      </c>
      <c r="C5732" s="8" t="n">
        <v>0</v>
      </c>
      <c r="D5732" s="8" t="n">
        <v>0</v>
      </c>
      <c r="E5732" s="8" t="n">
        <v>2</v>
      </c>
      <c r="F5732" s="8" t="n">
        <v>19.64</v>
      </c>
    </row>
    <row r="5733" customFormat="false" ht="15" hidden="false" customHeight="true" outlineLevel="0" collapsed="false">
      <c r="A5733" s="8" t="s">
        <v>188</v>
      </c>
      <c r="B5733" s="8" t="s">
        <v>1225</v>
      </c>
      <c r="C5733" s="8" t="n">
        <v>0</v>
      </c>
      <c r="D5733" s="8" t="n">
        <v>0</v>
      </c>
      <c r="E5733" s="8" t="n">
        <v>1</v>
      </c>
      <c r="F5733" s="8" t="n">
        <v>28.93</v>
      </c>
    </row>
    <row r="5734" customFormat="false" ht="15" hidden="false" customHeight="true" outlineLevel="0" collapsed="false">
      <c r="A5734" s="8" t="s">
        <v>186</v>
      </c>
      <c r="B5734" s="8" t="s">
        <v>1225</v>
      </c>
      <c r="C5734" s="8" t="n">
        <v>0</v>
      </c>
      <c r="D5734" s="8" t="n">
        <v>0</v>
      </c>
      <c r="E5734" s="8" t="n">
        <v>2</v>
      </c>
      <c r="F5734" s="8" t="n">
        <v>57.86</v>
      </c>
    </row>
    <row r="5735" customFormat="false" ht="15" hidden="false" customHeight="true" outlineLevel="0" collapsed="false">
      <c r="A5735" s="8" t="s">
        <v>239</v>
      </c>
      <c r="B5735" s="8" t="s">
        <v>1225</v>
      </c>
      <c r="C5735" s="8" t="n">
        <v>0</v>
      </c>
      <c r="D5735" s="8" t="n">
        <v>0</v>
      </c>
      <c r="E5735" s="8" t="n">
        <v>1</v>
      </c>
      <c r="F5735" s="8" t="n">
        <v>28.93</v>
      </c>
    </row>
    <row r="5736" customFormat="false" ht="15" hidden="false" customHeight="true" outlineLevel="0" collapsed="false">
      <c r="A5736" s="8" t="s">
        <v>210</v>
      </c>
      <c r="B5736" s="8" t="s">
        <v>1225</v>
      </c>
      <c r="C5736" s="8" t="n">
        <v>0</v>
      </c>
      <c r="D5736" s="8" t="n">
        <v>0</v>
      </c>
      <c r="E5736" s="8" t="n">
        <v>1</v>
      </c>
      <c r="F5736" s="8" t="n">
        <v>28.93</v>
      </c>
    </row>
    <row r="5737" customFormat="false" ht="15" hidden="false" customHeight="true" outlineLevel="0" collapsed="false">
      <c r="A5737" s="8" t="s">
        <v>214</v>
      </c>
      <c r="B5737" s="8" t="s">
        <v>1226</v>
      </c>
      <c r="C5737" s="8" t="n">
        <v>0</v>
      </c>
      <c r="D5737" s="8" t="n">
        <v>0</v>
      </c>
      <c r="E5737" s="8" t="n">
        <v>2</v>
      </c>
      <c r="F5737" s="8" t="n">
        <v>84.34</v>
      </c>
    </row>
    <row r="5738" customFormat="false" ht="15" hidden="false" customHeight="true" outlineLevel="0" collapsed="false">
      <c r="A5738" s="8" t="s">
        <v>241</v>
      </c>
      <c r="B5738" s="8" t="s">
        <v>1227</v>
      </c>
      <c r="C5738" s="8" t="n">
        <v>0</v>
      </c>
      <c r="D5738" s="8" t="n">
        <v>0</v>
      </c>
      <c r="E5738" s="8" t="n">
        <v>1</v>
      </c>
      <c r="F5738" s="8" t="n">
        <v>17</v>
      </c>
    </row>
    <row r="5739" customFormat="false" ht="15" hidden="false" customHeight="true" outlineLevel="0" collapsed="false">
      <c r="A5739" s="8" t="s">
        <v>219</v>
      </c>
      <c r="B5739" s="8" t="s">
        <v>1227</v>
      </c>
      <c r="C5739" s="8" t="n">
        <v>0</v>
      </c>
      <c r="D5739" s="8" t="n">
        <v>0</v>
      </c>
      <c r="E5739" s="8" t="n">
        <v>1</v>
      </c>
      <c r="F5739" s="8" t="n">
        <v>17</v>
      </c>
    </row>
    <row r="5740" customFormat="false" ht="15" hidden="false" customHeight="true" outlineLevel="0" collapsed="false">
      <c r="A5740" s="8" t="s">
        <v>292</v>
      </c>
      <c r="B5740" s="8" t="s">
        <v>1227</v>
      </c>
      <c r="C5740" s="8" t="n">
        <v>0</v>
      </c>
      <c r="D5740" s="8" t="n">
        <v>0</v>
      </c>
      <c r="E5740" s="8" t="n">
        <v>2</v>
      </c>
      <c r="F5740" s="8" t="n">
        <v>34</v>
      </c>
    </row>
    <row r="5741" customFormat="false" ht="15" hidden="false" customHeight="true" outlineLevel="0" collapsed="false">
      <c r="A5741" s="8" t="s">
        <v>223</v>
      </c>
      <c r="B5741" s="8" t="s">
        <v>1227</v>
      </c>
      <c r="C5741" s="8" t="n">
        <v>0</v>
      </c>
      <c r="D5741" s="8" t="n">
        <v>0</v>
      </c>
      <c r="E5741" s="8" t="n">
        <v>1</v>
      </c>
      <c r="F5741" s="8" t="n">
        <v>17</v>
      </c>
    </row>
    <row r="5742" customFormat="false" ht="15" hidden="false" customHeight="true" outlineLevel="0" collapsed="false">
      <c r="A5742" s="8" t="s">
        <v>244</v>
      </c>
      <c r="B5742" s="8" t="s">
        <v>1213</v>
      </c>
      <c r="C5742" s="8" t="n">
        <v>0</v>
      </c>
      <c r="D5742" s="8" t="n">
        <v>0</v>
      </c>
      <c r="E5742" s="8" t="n">
        <v>2</v>
      </c>
      <c r="F5742" s="8" t="n">
        <v>19</v>
      </c>
    </row>
    <row r="5743" customFormat="false" ht="15" hidden="false" customHeight="true" outlineLevel="0" collapsed="false">
      <c r="A5743" s="8" t="s">
        <v>251</v>
      </c>
      <c r="B5743" s="8" t="s">
        <v>1262</v>
      </c>
      <c r="C5743" s="8" t="n">
        <v>0</v>
      </c>
      <c r="D5743" s="8" t="n">
        <v>0</v>
      </c>
      <c r="E5743" s="8" t="n">
        <v>8</v>
      </c>
      <c r="F5743" s="8" t="n">
        <v>77.68</v>
      </c>
    </row>
    <row r="5744" customFormat="false" ht="15" hidden="false" customHeight="true" outlineLevel="0" collapsed="false">
      <c r="A5744" s="8" t="s">
        <v>308</v>
      </c>
      <c r="B5744" s="8" t="s">
        <v>1229</v>
      </c>
      <c r="C5744" s="8" t="n">
        <v>0</v>
      </c>
      <c r="D5744" s="8" t="n">
        <v>0</v>
      </c>
      <c r="E5744" s="8" t="n">
        <v>5</v>
      </c>
      <c r="F5744" s="8" t="n">
        <v>40.4</v>
      </c>
    </row>
    <row r="5745" customFormat="false" ht="15" hidden="false" customHeight="true" outlineLevel="0" collapsed="false">
      <c r="A5745" s="8" t="s">
        <v>172</v>
      </c>
      <c r="B5745" s="8" t="s">
        <v>1214</v>
      </c>
      <c r="C5745" s="8" t="n">
        <v>0</v>
      </c>
      <c r="D5745" s="8" t="n">
        <v>0</v>
      </c>
      <c r="E5745" s="8" t="n">
        <v>10</v>
      </c>
      <c r="F5745" s="8" t="n">
        <v>121.8</v>
      </c>
    </row>
    <row r="5746" customFormat="false" ht="15" hidden="false" customHeight="true" outlineLevel="0" collapsed="false">
      <c r="A5746" s="8" t="s">
        <v>180</v>
      </c>
      <c r="B5746" s="8" t="s">
        <v>1216</v>
      </c>
      <c r="C5746" s="8" t="n">
        <v>0</v>
      </c>
      <c r="D5746" s="8" t="n">
        <v>0</v>
      </c>
      <c r="E5746" s="8" t="n">
        <v>3</v>
      </c>
      <c r="F5746" s="8" t="n">
        <v>49.5</v>
      </c>
    </row>
    <row r="5747" customFormat="false" ht="15" hidden="false" customHeight="true" outlineLevel="0" collapsed="false">
      <c r="A5747" s="8" t="s">
        <v>189</v>
      </c>
      <c r="B5747" s="8" t="s">
        <v>1216</v>
      </c>
      <c r="C5747" s="8" t="n">
        <v>0</v>
      </c>
      <c r="D5747" s="8" t="n">
        <v>0</v>
      </c>
      <c r="E5747" s="8" t="n">
        <v>3</v>
      </c>
      <c r="F5747" s="8" t="n">
        <v>49.5</v>
      </c>
    </row>
    <row r="5748" customFormat="false" ht="15" hidden="false" customHeight="true" outlineLevel="0" collapsed="false">
      <c r="A5748" s="8" t="s">
        <v>267</v>
      </c>
      <c r="B5748" s="8" t="s">
        <v>1216</v>
      </c>
      <c r="C5748" s="8" t="n">
        <v>0</v>
      </c>
      <c r="D5748" s="8" t="n">
        <v>0</v>
      </c>
      <c r="E5748" s="8" t="n">
        <v>1</v>
      </c>
      <c r="F5748" s="8" t="n">
        <v>16.5</v>
      </c>
    </row>
    <row r="5749" customFormat="false" ht="15" hidden="false" customHeight="true" outlineLevel="0" collapsed="false">
      <c r="A5749" s="8" t="s">
        <v>198</v>
      </c>
      <c r="B5749" s="8" t="s">
        <v>1217</v>
      </c>
      <c r="C5749" s="8" t="n">
        <v>0</v>
      </c>
      <c r="D5749" s="8" t="n">
        <v>0</v>
      </c>
      <c r="E5749" s="8" t="n">
        <v>2</v>
      </c>
      <c r="F5749" s="8" t="n">
        <v>41</v>
      </c>
    </row>
    <row r="5750" customFormat="false" ht="15" hidden="false" customHeight="true" outlineLevel="0" collapsed="false">
      <c r="A5750" s="8" t="s">
        <v>193</v>
      </c>
      <c r="B5750" s="8" t="s">
        <v>1217</v>
      </c>
      <c r="C5750" s="8" t="n">
        <v>0</v>
      </c>
      <c r="D5750" s="8" t="n">
        <v>0</v>
      </c>
      <c r="E5750" s="8" t="n">
        <v>1</v>
      </c>
      <c r="F5750" s="8" t="n">
        <v>20.5</v>
      </c>
    </row>
    <row r="5751" customFormat="false" ht="15" hidden="false" customHeight="true" outlineLevel="0" collapsed="false">
      <c r="A5751" s="8" t="s">
        <v>302</v>
      </c>
      <c r="B5751" s="8" t="s">
        <v>1217</v>
      </c>
      <c r="C5751" s="8" t="n">
        <v>0</v>
      </c>
      <c r="D5751" s="8" t="n">
        <v>0</v>
      </c>
      <c r="E5751" s="8" t="n">
        <v>1</v>
      </c>
      <c r="F5751" s="8" t="n">
        <v>20.5</v>
      </c>
    </row>
    <row r="5752" customFormat="false" ht="15" hidden="false" customHeight="true" outlineLevel="0" collapsed="false">
      <c r="A5752" s="8" t="s">
        <v>178</v>
      </c>
      <c r="B5752" s="8" t="s">
        <v>1236</v>
      </c>
      <c r="C5752" s="8" t="n">
        <v>0</v>
      </c>
      <c r="D5752" s="8" t="n">
        <v>0</v>
      </c>
      <c r="E5752" s="8" t="n">
        <v>2</v>
      </c>
      <c r="F5752" s="8" t="n">
        <v>70</v>
      </c>
    </row>
    <row r="5753" customFormat="false" ht="15" hidden="false" customHeight="true" outlineLevel="0" collapsed="false">
      <c r="A5753" s="8" t="s">
        <v>176</v>
      </c>
      <c r="B5753" s="8" t="s">
        <v>1236</v>
      </c>
      <c r="C5753" s="8" t="n">
        <v>0</v>
      </c>
      <c r="D5753" s="8" t="n">
        <v>0</v>
      </c>
      <c r="E5753" s="8" t="n">
        <v>2</v>
      </c>
      <c r="F5753" s="8" t="n">
        <v>70</v>
      </c>
    </row>
    <row r="5754" customFormat="false" ht="15" hidden="false" customHeight="true" outlineLevel="0" collapsed="false">
      <c r="A5754" s="8" t="s">
        <v>235</v>
      </c>
      <c r="B5754" s="8" t="s">
        <v>1236</v>
      </c>
      <c r="C5754" s="8" t="n">
        <v>0</v>
      </c>
      <c r="D5754" s="8" t="n">
        <v>0</v>
      </c>
      <c r="E5754" s="8" t="n">
        <v>1</v>
      </c>
      <c r="F5754" s="8" t="n">
        <v>35</v>
      </c>
    </row>
    <row r="5755" customFormat="false" ht="15" hidden="false" customHeight="true" outlineLevel="0" collapsed="false">
      <c r="A5755" s="8" t="s">
        <v>224</v>
      </c>
      <c r="B5755" s="8" t="s">
        <v>1236</v>
      </c>
      <c r="C5755" s="8" t="n">
        <v>0</v>
      </c>
      <c r="D5755" s="8" t="n">
        <v>0</v>
      </c>
      <c r="E5755" s="8" t="n">
        <v>1</v>
      </c>
      <c r="F5755" s="8" t="n">
        <v>35</v>
      </c>
    </row>
    <row r="5756" customFormat="false" ht="15" hidden="false" customHeight="true" outlineLevel="0" collapsed="false">
      <c r="A5756" s="8" t="s">
        <v>179</v>
      </c>
      <c r="B5756" s="8" t="s">
        <v>1218</v>
      </c>
      <c r="C5756" s="8" t="n">
        <v>0</v>
      </c>
      <c r="D5756" s="8" t="n">
        <v>0</v>
      </c>
      <c r="E5756" s="8" t="n">
        <v>2</v>
      </c>
      <c r="F5756" s="8" t="n">
        <v>253</v>
      </c>
    </row>
    <row r="5757" customFormat="false" ht="15" hidden="false" customHeight="true" outlineLevel="0" collapsed="false">
      <c r="A5757" s="8" t="s">
        <v>240</v>
      </c>
      <c r="B5757" s="8" t="s">
        <v>769</v>
      </c>
      <c r="C5757" s="8" t="n">
        <v>0</v>
      </c>
      <c r="D5757" s="8" t="n">
        <v>0</v>
      </c>
      <c r="E5757" s="8" t="n">
        <v>1</v>
      </c>
      <c r="F5757" s="8" t="n">
        <v>17</v>
      </c>
    </row>
    <row r="5758" customFormat="false" ht="15" hidden="false" customHeight="true" outlineLevel="0" collapsed="false">
      <c r="A5758" s="8" t="s">
        <v>234</v>
      </c>
      <c r="B5758" s="8" t="s">
        <v>769</v>
      </c>
      <c r="C5758" s="8" t="n">
        <v>0</v>
      </c>
      <c r="D5758" s="8" t="n">
        <v>0</v>
      </c>
      <c r="E5758" s="8" t="n">
        <v>1</v>
      </c>
      <c r="F5758" s="8" t="n">
        <v>17</v>
      </c>
    </row>
    <row r="5759" customFormat="false" ht="15" hidden="false" customHeight="true" outlineLevel="0" collapsed="false">
      <c r="A5759" s="8" t="s">
        <v>247</v>
      </c>
      <c r="B5759" s="8" t="s">
        <v>769</v>
      </c>
      <c r="C5759" s="8" t="n">
        <v>0</v>
      </c>
      <c r="D5759" s="8" t="n">
        <v>0</v>
      </c>
      <c r="E5759" s="8" t="n">
        <v>1</v>
      </c>
      <c r="F5759" s="8" t="n">
        <v>17</v>
      </c>
    </row>
    <row r="5760" customFormat="false" ht="15" hidden="false" customHeight="true" outlineLevel="0" collapsed="false">
      <c r="A5760" s="8" t="s">
        <v>300</v>
      </c>
      <c r="B5760" s="8" t="s">
        <v>769</v>
      </c>
      <c r="C5760" s="8" t="n">
        <v>0</v>
      </c>
      <c r="D5760" s="8" t="n">
        <v>0</v>
      </c>
      <c r="E5760" s="8" t="n">
        <v>1</v>
      </c>
      <c r="F5760" s="8" t="n">
        <v>17</v>
      </c>
    </row>
    <row r="5761" customFormat="false" ht="15" hidden="false" customHeight="true" outlineLevel="0" collapsed="false">
      <c r="A5761" s="8" t="s">
        <v>170</v>
      </c>
      <c r="B5761" s="8" t="s">
        <v>1220</v>
      </c>
      <c r="C5761" s="8" t="n">
        <v>0</v>
      </c>
      <c r="D5761" s="8" t="n">
        <v>0</v>
      </c>
      <c r="E5761" s="8" t="n">
        <v>6</v>
      </c>
      <c r="F5761" s="8" t="n">
        <v>88.8</v>
      </c>
    </row>
    <row r="5762" customFormat="false" ht="15" hidden="false" customHeight="true" outlineLevel="0" collapsed="false">
      <c r="A5762" s="8" t="s">
        <v>167</v>
      </c>
      <c r="B5762" s="8" t="s">
        <v>1238</v>
      </c>
      <c r="C5762" s="8" t="n">
        <v>0</v>
      </c>
      <c r="D5762" s="8" t="n">
        <v>0</v>
      </c>
      <c r="E5762" s="8" t="n">
        <v>6</v>
      </c>
      <c r="F5762" s="8" t="n">
        <v>80.4</v>
      </c>
    </row>
    <row r="5763" customFormat="false" ht="15" hidden="false" customHeight="true" outlineLevel="0" collapsed="false">
      <c r="A5763" s="8" t="s">
        <v>252</v>
      </c>
      <c r="B5763" s="8" t="s">
        <v>1177</v>
      </c>
      <c r="C5763" s="8" t="n">
        <v>0</v>
      </c>
      <c r="D5763" s="8" t="n">
        <v>0</v>
      </c>
      <c r="E5763" s="8" t="n">
        <v>2</v>
      </c>
      <c r="F5763" s="8" t="n">
        <v>33.2</v>
      </c>
    </row>
    <row r="5764" customFormat="false" ht="15" hidden="false" customHeight="true" outlineLevel="0" collapsed="false">
      <c r="A5764" s="8" t="s">
        <v>203</v>
      </c>
      <c r="B5764" s="8" t="s">
        <v>1177</v>
      </c>
      <c r="C5764" s="8" t="n">
        <v>0</v>
      </c>
      <c r="D5764" s="8" t="n">
        <v>0</v>
      </c>
      <c r="E5764" s="8" t="n">
        <v>8</v>
      </c>
      <c r="F5764" s="8" t="n">
        <v>148</v>
      </c>
    </row>
    <row r="5765" customFormat="false" ht="15" hidden="false" customHeight="true" outlineLevel="0" collapsed="false">
      <c r="A5765" s="8" t="s">
        <v>211</v>
      </c>
      <c r="B5765" s="8" t="s">
        <v>1250</v>
      </c>
      <c r="C5765" s="8" t="n">
        <v>0</v>
      </c>
      <c r="D5765" s="8" t="n">
        <v>0</v>
      </c>
      <c r="E5765" s="8" t="n">
        <v>2</v>
      </c>
      <c r="F5765" s="8" t="n">
        <v>50</v>
      </c>
    </row>
    <row r="5766" customFormat="false" ht="15" hidden="false" customHeight="true" outlineLevel="0" collapsed="false">
      <c r="A5766" s="8" t="s">
        <v>196</v>
      </c>
      <c r="B5766" s="8" t="s">
        <v>1243</v>
      </c>
      <c r="C5766" s="8" t="n">
        <v>0</v>
      </c>
      <c r="D5766" s="8" t="n">
        <v>0</v>
      </c>
      <c r="E5766" s="8" t="n">
        <v>2</v>
      </c>
      <c r="F5766" s="8" t="n">
        <v>107</v>
      </c>
    </row>
    <row r="5767" customFormat="false" ht="15" hidden="false" customHeight="true" outlineLevel="0" collapsed="false">
      <c r="A5767" s="8" t="s">
        <v>226</v>
      </c>
      <c r="B5767" s="8" t="s">
        <v>566</v>
      </c>
      <c r="C5767" s="8" t="n">
        <v>0</v>
      </c>
      <c r="D5767" s="8" t="n">
        <v>0</v>
      </c>
      <c r="E5767" s="8" t="n">
        <v>3</v>
      </c>
      <c r="F5767" s="8" t="n">
        <v>62.4</v>
      </c>
    </row>
    <row r="5768" customFormat="false" ht="15" hidden="false" customHeight="true" outlineLevel="0" collapsed="false">
      <c r="A5768" s="8" t="s">
        <v>340</v>
      </c>
      <c r="B5768" s="8" t="s">
        <v>1267</v>
      </c>
      <c r="C5768" s="8" t="n">
        <v>0</v>
      </c>
      <c r="D5768" s="8" t="n">
        <v>0</v>
      </c>
      <c r="E5768" s="8" t="n">
        <v>1</v>
      </c>
      <c r="F5768" s="8" t="n">
        <v>128.71</v>
      </c>
    </row>
    <row r="5769" customFormat="false" ht="15" hidden="false" customHeight="true" outlineLevel="0" collapsed="false">
      <c r="A5769" s="8" t="s">
        <v>184</v>
      </c>
      <c r="B5769" s="8" t="s">
        <v>897</v>
      </c>
      <c r="C5769" s="8" t="n">
        <v>-3</v>
      </c>
      <c r="D5769" s="8" t="n">
        <v>-195</v>
      </c>
      <c r="E5769" s="8" t="n">
        <v>0</v>
      </c>
      <c r="F5769" s="8" t="n">
        <v>0</v>
      </c>
    </row>
    <row r="5770" customFormat="false" ht="15" hidden="false" customHeight="true" outlineLevel="0" collapsed="false">
      <c r="A5770" s="8" t="s">
        <v>319</v>
      </c>
      <c r="B5770" s="8" t="s">
        <v>1268</v>
      </c>
      <c r="C5770" s="8" t="n">
        <v>-2</v>
      </c>
      <c r="D5770" s="8" t="n">
        <v>-227.16</v>
      </c>
      <c r="E5770" s="8" t="n">
        <v>0</v>
      </c>
      <c r="F5770" s="8" t="n">
        <v>0</v>
      </c>
    </row>
    <row r="5771" customFormat="false" ht="15" hidden="false" customHeight="true" outlineLevel="0" collapsed="false">
      <c r="A5771" s="8" t="s">
        <v>333</v>
      </c>
      <c r="B5771" s="8" t="s">
        <v>1268</v>
      </c>
      <c r="C5771" s="8" t="n">
        <v>-2</v>
      </c>
      <c r="D5771" s="8" t="n">
        <v>-227.16</v>
      </c>
      <c r="E5771" s="8" t="n">
        <v>0</v>
      </c>
      <c r="F5771" s="8" t="n">
        <v>0</v>
      </c>
    </row>
    <row r="5772" customFormat="false" ht="15" hidden="false" customHeight="true" outlineLevel="0" collapsed="false">
      <c r="A5772" s="8" t="s">
        <v>304</v>
      </c>
      <c r="B5772" s="8" t="s">
        <v>1268</v>
      </c>
      <c r="C5772" s="8" t="n">
        <v>-2</v>
      </c>
      <c r="D5772" s="8" t="n">
        <v>-227.16</v>
      </c>
      <c r="E5772" s="8" t="n">
        <v>0</v>
      </c>
      <c r="F5772" s="8" t="n">
        <v>0</v>
      </c>
    </row>
    <row r="5773" customFormat="false" ht="15" hidden="false" customHeight="true" outlineLevel="0" collapsed="false">
      <c r="A5773" s="8" t="s">
        <v>190</v>
      </c>
      <c r="B5773" s="8" t="s">
        <v>1224</v>
      </c>
      <c r="C5773" s="8" t="n">
        <v>-1</v>
      </c>
      <c r="D5773" s="8" t="n">
        <v>-24.43</v>
      </c>
      <c r="E5773" s="8" t="n">
        <v>0</v>
      </c>
      <c r="F5773" s="8" t="n">
        <v>0</v>
      </c>
    </row>
    <row r="5774" customFormat="false" ht="15" hidden="false" customHeight="true" outlineLevel="0" collapsed="false">
      <c r="A5774" s="8" t="s">
        <v>162</v>
      </c>
      <c r="B5774" s="8" t="s">
        <v>1209</v>
      </c>
      <c r="C5774" s="8" t="n">
        <v>-1</v>
      </c>
      <c r="D5774" s="8" t="n">
        <v>-77.8</v>
      </c>
      <c r="E5774" s="8" t="n">
        <v>0</v>
      </c>
      <c r="F5774" s="8" t="n">
        <v>0</v>
      </c>
    </row>
    <row r="5775" customFormat="false" ht="15" hidden="false" customHeight="true" outlineLevel="0" collapsed="false">
      <c r="A5775" s="8" t="s">
        <v>171</v>
      </c>
      <c r="B5775" s="8" t="s">
        <v>1210</v>
      </c>
      <c r="C5775" s="8" t="n">
        <v>-5</v>
      </c>
      <c r="D5775" s="8" t="n">
        <v>-236.15</v>
      </c>
      <c r="E5775" s="8" t="n">
        <v>0</v>
      </c>
      <c r="F5775" s="8" t="n">
        <v>0</v>
      </c>
    </row>
    <row r="5776" customFormat="false" ht="15" hidden="false" customHeight="true" outlineLevel="0" collapsed="false">
      <c r="A5776" s="8" t="s">
        <v>174</v>
      </c>
      <c r="B5776" s="8" t="s">
        <v>1210</v>
      </c>
      <c r="C5776" s="8" t="n">
        <v>-6</v>
      </c>
      <c r="D5776" s="8" t="n">
        <v>-283.38</v>
      </c>
      <c r="E5776" s="8" t="n">
        <v>0</v>
      </c>
      <c r="F5776" s="8" t="n">
        <v>0</v>
      </c>
    </row>
    <row r="5777" customFormat="false" ht="15" hidden="false" customHeight="true" outlineLevel="0" collapsed="false">
      <c r="A5777" s="8" t="s">
        <v>379</v>
      </c>
      <c r="B5777" s="8" t="s">
        <v>1298</v>
      </c>
      <c r="C5777" s="8" t="n">
        <v>-1</v>
      </c>
      <c r="D5777" s="8" t="n">
        <v>0</v>
      </c>
      <c r="E5777" s="8" t="n">
        <v>0</v>
      </c>
      <c r="F5777" s="8" t="n">
        <v>0</v>
      </c>
    </row>
    <row r="5778" customFormat="false" ht="15" hidden="false" customHeight="true" outlineLevel="0" collapsed="false">
      <c r="A5778" s="8" t="s">
        <v>239</v>
      </c>
      <c r="B5778" s="8" t="s">
        <v>1225</v>
      </c>
      <c r="C5778" s="8" t="n">
        <v>-2</v>
      </c>
      <c r="D5778" s="8" t="n">
        <v>-57.86</v>
      </c>
      <c r="E5778" s="8" t="n">
        <v>0</v>
      </c>
      <c r="F5778" s="8" t="n">
        <v>0</v>
      </c>
    </row>
    <row r="5779" customFormat="false" ht="15" hidden="false" customHeight="true" outlineLevel="0" collapsed="false">
      <c r="A5779" s="8" t="s">
        <v>243</v>
      </c>
      <c r="B5779" s="8" t="s">
        <v>1253</v>
      </c>
      <c r="C5779" s="8" t="n">
        <v>-1</v>
      </c>
      <c r="D5779" s="8" t="n">
        <v>-12.95</v>
      </c>
      <c r="E5779" s="8" t="n">
        <v>0</v>
      </c>
      <c r="F5779" s="8" t="n">
        <v>0</v>
      </c>
    </row>
    <row r="5780" customFormat="false" ht="15" hidden="false" customHeight="true" outlineLevel="0" collapsed="false">
      <c r="A5780" s="8" t="s">
        <v>213</v>
      </c>
      <c r="B5780" s="8" t="s">
        <v>1232</v>
      </c>
      <c r="C5780" s="8" t="n">
        <v>-7</v>
      </c>
      <c r="D5780" s="8" t="n">
        <v>-192.85</v>
      </c>
      <c r="E5780" s="8" t="n">
        <v>0</v>
      </c>
      <c r="F5780" s="8" t="n">
        <v>0</v>
      </c>
    </row>
    <row r="5781" customFormat="false" ht="15" hidden="false" customHeight="true" outlineLevel="0" collapsed="false">
      <c r="A5781" s="8" t="s">
        <v>1296</v>
      </c>
      <c r="B5781" s="8" t="s">
        <v>621</v>
      </c>
      <c r="C5781" s="8" t="n">
        <v>-1</v>
      </c>
      <c r="D5781" s="8" t="n">
        <v>-49.3</v>
      </c>
      <c r="E5781" s="8" t="n">
        <v>0</v>
      </c>
      <c r="F5781" s="8" t="n">
        <v>0</v>
      </c>
    </row>
    <row r="5782" customFormat="false" ht="15" hidden="false" customHeight="true" outlineLevel="0" collapsed="false">
      <c r="A5782" s="8" t="s">
        <v>268</v>
      </c>
      <c r="B5782" s="8" t="s">
        <v>1234</v>
      </c>
      <c r="C5782" s="8" t="n">
        <v>-2</v>
      </c>
      <c r="D5782" s="8" t="n">
        <v>-71.34</v>
      </c>
      <c r="E5782" s="8" t="n">
        <v>0</v>
      </c>
      <c r="F5782" s="8" t="n">
        <v>0</v>
      </c>
    </row>
    <row r="5783" customFormat="false" ht="15" hidden="false" customHeight="true" outlineLevel="0" collapsed="false">
      <c r="A5783" s="8" t="s">
        <v>336</v>
      </c>
      <c r="B5783" s="8" t="s">
        <v>1299</v>
      </c>
      <c r="C5783" s="8" t="n">
        <v>-1</v>
      </c>
      <c r="D5783" s="8" t="n">
        <v>-441.17</v>
      </c>
      <c r="E5783" s="8" t="n">
        <v>0</v>
      </c>
      <c r="F5783" s="8" t="n">
        <v>0</v>
      </c>
    </row>
    <row r="5784" customFormat="false" ht="15" hidden="false" customHeight="true" outlineLevel="0" collapsed="false">
      <c r="A5784" s="8" t="s">
        <v>180</v>
      </c>
      <c r="B5784" s="8" t="s">
        <v>1216</v>
      </c>
      <c r="C5784" s="8" t="n">
        <v>-5</v>
      </c>
      <c r="D5784" s="8" t="n">
        <v>-82.5</v>
      </c>
      <c r="E5784" s="8" t="n">
        <v>0</v>
      </c>
      <c r="F5784" s="8" t="n">
        <v>0</v>
      </c>
    </row>
    <row r="5785" customFormat="false" ht="15" hidden="false" customHeight="true" outlineLevel="0" collapsed="false">
      <c r="A5785" s="8" t="s">
        <v>332</v>
      </c>
      <c r="B5785" s="8" t="s">
        <v>1246</v>
      </c>
      <c r="C5785" s="8" t="n">
        <v>-2</v>
      </c>
      <c r="D5785" s="8" t="n">
        <v>-253.14</v>
      </c>
      <c r="E5785" s="8" t="n">
        <v>0</v>
      </c>
      <c r="F5785" s="8" t="n">
        <v>0</v>
      </c>
    </row>
    <row r="5786" customFormat="false" ht="15" hidden="false" customHeight="true" outlineLevel="0" collapsed="false">
      <c r="A5786" s="8" t="s">
        <v>330</v>
      </c>
      <c r="B5786" s="8" t="s">
        <v>1295</v>
      </c>
      <c r="C5786" s="8" t="n">
        <v>-1</v>
      </c>
      <c r="D5786" s="8" t="n">
        <v>-129.81</v>
      </c>
      <c r="E5786" s="8" t="n">
        <v>0</v>
      </c>
      <c r="F5786" s="8" t="n">
        <v>0</v>
      </c>
    </row>
    <row r="5787" customFormat="false" ht="15" hidden="false" customHeight="true" outlineLevel="0" collapsed="false">
      <c r="A5787" s="8" t="s">
        <v>277</v>
      </c>
      <c r="B5787" s="8" t="s">
        <v>1285</v>
      </c>
      <c r="C5787" s="8" t="n">
        <v>-2</v>
      </c>
      <c r="D5787" s="8" t="n">
        <v>-272.6</v>
      </c>
      <c r="E5787" s="8" t="n">
        <v>0</v>
      </c>
      <c r="F5787" s="8" t="n">
        <v>0</v>
      </c>
    </row>
    <row r="5788" customFormat="false" ht="15" hidden="false" customHeight="true" outlineLevel="0" collapsed="false">
      <c r="A5788" s="8" t="s">
        <v>249</v>
      </c>
      <c r="B5788" s="8" t="s">
        <v>1285</v>
      </c>
      <c r="C5788" s="8" t="n">
        <v>-2</v>
      </c>
      <c r="D5788" s="8" t="n">
        <v>-272.6</v>
      </c>
      <c r="E5788" s="8" t="n">
        <v>0</v>
      </c>
      <c r="F5788" s="8" t="n">
        <v>0</v>
      </c>
    </row>
    <row r="5789" customFormat="false" ht="15" hidden="false" customHeight="true" outlineLevel="0" collapsed="false">
      <c r="A5789" s="8" t="s">
        <v>260</v>
      </c>
      <c r="B5789" s="8" t="s">
        <v>1285</v>
      </c>
      <c r="C5789" s="8" t="n">
        <v>-2</v>
      </c>
      <c r="D5789" s="8" t="n">
        <v>-272.6</v>
      </c>
      <c r="E5789" s="8" t="n">
        <v>0</v>
      </c>
      <c r="F5789" s="8" t="n">
        <v>0</v>
      </c>
    </row>
    <row r="5790" customFormat="false" ht="15" hidden="false" customHeight="true" outlineLevel="0" collapsed="false">
      <c r="A5790" s="8" t="s">
        <v>356</v>
      </c>
      <c r="B5790" s="8" t="s">
        <v>1285</v>
      </c>
      <c r="C5790" s="8" t="n">
        <v>-2</v>
      </c>
      <c r="D5790" s="8" t="n">
        <v>-272.6</v>
      </c>
      <c r="E5790" s="8" t="n">
        <v>0</v>
      </c>
      <c r="F5790" s="8" t="n">
        <v>0</v>
      </c>
    </row>
    <row r="5791" customFormat="false" ht="15" hidden="false" customHeight="true" outlineLevel="0" collapsed="false">
      <c r="A5791" s="8" t="s">
        <v>179</v>
      </c>
      <c r="B5791" s="8" t="s">
        <v>1218</v>
      </c>
      <c r="C5791" s="8" t="n">
        <v>-2</v>
      </c>
      <c r="D5791" s="8" t="n">
        <v>-253</v>
      </c>
      <c r="E5791" s="8" t="n">
        <v>0</v>
      </c>
      <c r="F5791" s="8" t="n">
        <v>0</v>
      </c>
    </row>
    <row r="5792" customFormat="false" ht="15" hidden="false" customHeight="true" outlineLevel="0" collapsed="false">
      <c r="A5792" s="8" t="s">
        <v>334</v>
      </c>
      <c r="B5792" s="8" t="s">
        <v>1276</v>
      </c>
      <c r="C5792" s="8" t="n">
        <v>-2</v>
      </c>
      <c r="D5792" s="8" t="n">
        <v>-32.4</v>
      </c>
      <c r="E5792" s="8" t="n">
        <v>0</v>
      </c>
      <c r="F5792" s="8" t="n">
        <v>0</v>
      </c>
    </row>
    <row r="5793" customFormat="false" ht="15" hidden="false" customHeight="true" outlineLevel="0" collapsed="false">
      <c r="A5793" s="8" t="s">
        <v>323</v>
      </c>
      <c r="B5793" s="8" t="s">
        <v>875</v>
      </c>
      <c r="C5793" s="8" t="n">
        <v>-2</v>
      </c>
      <c r="D5793" s="8" t="n">
        <v>-31.82</v>
      </c>
      <c r="E5793" s="8" t="n">
        <v>0</v>
      </c>
      <c r="F5793" s="8" t="n">
        <v>0</v>
      </c>
    </row>
    <row r="5794" customFormat="false" ht="15" hidden="false" customHeight="true" outlineLevel="0" collapsed="false">
      <c r="A5794" s="8" t="s">
        <v>377</v>
      </c>
      <c r="B5794" s="8" t="s">
        <v>877</v>
      </c>
      <c r="C5794" s="8" t="n">
        <v>-2</v>
      </c>
      <c r="D5794" s="8" t="n">
        <v>-31.82</v>
      </c>
      <c r="E5794" s="8" t="n">
        <v>0</v>
      </c>
      <c r="F5794" s="8" t="n">
        <v>0</v>
      </c>
    </row>
    <row r="5795" customFormat="false" ht="15" hidden="false" customHeight="true" outlineLevel="0" collapsed="false">
      <c r="A5795" s="8" t="s">
        <v>315</v>
      </c>
      <c r="B5795" s="8" t="s">
        <v>1266</v>
      </c>
      <c r="C5795" s="8" t="n">
        <v>-5</v>
      </c>
      <c r="D5795" s="8" t="n">
        <v>-79.55</v>
      </c>
      <c r="E5795" s="8" t="n">
        <v>0</v>
      </c>
      <c r="F5795" s="8" t="n">
        <v>0</v>
      </c>
    </row>
    <row r="5796" customFormat="false" ht="15" hidden="false" customHeight="true" outlineLevel="0" collapsed="false">
      <c r="A5796" s="8" t="s">
        <v>1290</v>
      </c>
      <c r="B5796" s="8" t="s">
        <v>1291</v>
      </c>
      <c r="C5796" s="8" t="n">
        <v>-2</v>
      </c>
      <c r="D5796" s="8" t="n">
        <v>-64.28</v>
      </c>
      <c r="E5796" s="8" t="n">
        <v>0</v>
      </c>
      <c r="F5796" s="8" t="n">
        <v>0</v>
      </c>
    </row>
    <row r="5797" customFormat="false" ht="15" hidden="false" customHeight="true" outlineLevel="0" collapsed="false">
      <c r="A5797" s="8" t="s">
        <v>370</v>
      </c>
      <c r="B5797" s="8" t="s">
        <v>1179</v>
      </c>
      <c r="C5797" s="8" t="n">
        <v>-1</v>
      </c>
      <c r="D5797" s="8" t="n">
        <v>-74.63</v>
      </c>
      <c r="E5797" s="8" t="n">
        <v>0</v>
      </c>
      <c r="F5797" s="8" t="n">
        <v>0</v>
      </c>
    </row>
    <row r="5798" customFormat="false" ht="15" hidden="false" customHeight="true" outlineLevel="0" collapsed="false">
      <c r="A5798" s="8" t="s">
        <v>345</v>
      </c>
      <c r="B5798" s="8" t="s">
        <v>1300</v>
      </c>
      <c r="C5798" s="8" t="n">
        <v>-4</v>
      </c>
      <c r="D5798" s="8" t="n">
        <v>-329.92</v>
      </c>
      <c r="E5798" s="8" t="n">
        <v>0</v>
      </c>
      <c r="F5798" s="8" t="n">
        <v>0</v>
      </c>
    </row>
    <row r="5799" customFormat="false" ht="15" hidden="false" customHeight="true" outlineLevel="0" collapsed="false">
      <c r="A5799" s="8" t="s">
        <v>350</v>
      </c>
      <c r="B5799" s="8" t="s">
        <v>1300</v>
      </c>
      <c r="C5799" s="8" t="n">
        <v>-3</v>
      </c>
      <c r="D5799" s="8" t="n">
        <v>-247.44</v>
      </c>
      <c r="E5799" s="8" t="n">
        <v>0</v>
      </c>
      <c r="F5799" s="8" t="n">
        <v>0</v>
      </c>
    </row>
    <row r="5800" customFormat="false" ht="15" hidden="false" customHeight="true" outlineLevel="0" collapsed="false">
      <c r="A5800" s="8" t="s">
        <v>340</v>
      </c>
      <c r="B5800" s="8" t="s">
        <v>1267</v>
      </c>
      <c r="C5800" s="8" t="n">
        <v>-3</v>
      </c>
      <c r="D5800" s="8" t="n">
        <v>-386.13</v>
      </c>
      <c r="E5800" s="8" t="n">
        <v>0</v>
      </c>
      <c r="F5800" s="8" t="n">
        <v>0</v>
      </c>
    </row>
    <row r="5801" customFormat="false" ht="15" hidden="false" customHeight="true" outlineLevel="0" collapsed="false">
      <c r="A5801" s="8" t="s">
        <v>262</v>
      </c>
      <c r="B5801" s="8" t="s">
        <v>1267</v>
      </c>
      <c r="C5801" s="8" t="n">
        <v>-2</v>
      </c>
      <c r="D5801" s="8" t="n">
        <v>-257.42</v>
      </c>
      <c r="E5801" s="8" t="n">
        <v>0</v>
      </c>
      <c r="F5801" s="8" t="n">
        <v>0</v>
      </c>
    </row>
    <row r="5802" customFormat="false" ht="15" hidden="false" customHeight="true" outlineLevel="0" collapsed="false">
      <c r="A5802" s="8" t="s">
        <v>284</v>
      </c>
      <c r="B5802" s="8" t="s">
        <v>1267</v>
      </c>
      <c r="C5802" s="8" t="n">
        <v>-1</v>
      </c>
      <c r="D5802" s="8" t="n">
        <v>-128.71</v>
      </c>
      <c r="E5802" s="8" t="n">
        <v>0</v>
      </c>
      <c r="F5802" s="8" t="n"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3" min="3" style="1" width="34"/>
  </cols>
  <sheetData>
    <row r="1" customFormat="false" ht="15" hidden="false" customHeight="true" outlineLevel="0" collapsed="false">
      <c r="A1" s="27" t="s">
        <v>1301</v>
      </c>
      <c r="B1" s="27"/>
      <c r="C1" s="27"/>
    </row>
    <row r="2" customFormat="false" ht="45" hidden="false" customHeight="true" outlineLevel="0" collapsed="false">
      <c r="A2" s="5" t="s">
        <v>1302</v>
      </c>
      <c r="B2" s="5"/>
      <c r="C2" s="5"/>
    </row>
    <row r="4" customFormat="false" ht="30" hidden="false" customHeight="true" outlineLevel="0" collapsed="false">
      <c r="A4" s="6" t="s">
        <v>1303</v>
      </c>
      <c r="C4" s="6" t="s">
        <v>1304</v>
      </c>
    </row>
    <row r="5" customFormat="false" ht="15" hidden="false" customHeight="true" outlineLevel="0" collapsed="false">
      <c r="A5" s="28" t="s">
        <v>66</v>
      </c>
      <c r="C5" s="8" t="s">
        <v>295</v>
      </c>
    </row>
    <row r="6" customFormat="false" ht="15" hidden="false" customHeight="true" outlineLevel="0" collapsed="false">
      <c r="A6" s="28" t="s">
        <v>61</v>
      </c>
      <c r="C6" s="28" t="s">
        <v>197</v>
      </c>
    </row>
    <row r="7" customFormat="false" ht="15" hidden="false" customHeight="true" outlineLevel="0" collapsed="false">
      <c r="A7" s="28" t="s">
        <v>87</v>
      </c>
      <c r="C7" s="28" t="s">
        <v>253</v>
      </c>
    </row>
    <row r="8" customFormat="false" ht="15" hidden="false" customHeight="true" outlineLevel="0" collapsed="false">
      <c r="A8" s="28" t="s">
        <v>138</v>
      </c>
      <c r="C8" s="28" t="s">
        <v>385</v>
      </c>
    </row>
    <row r="9" customFormat="false" ht="15" hidden="false" customHeight="true" outlineLevel="0" collapsed="false">
      <c r="A9" s="28" t="s">
        <v>70</v>
      </c>
      <c r="C9" s="28" t="s">
        <v>207</v>
      </c>
    </row>
    <row r="10" customFormat="false" ht="15" hidden="false" customHeight="true" outlineLevel="0" collapsed="false">
      <c r="A10" s="28" t="s">
        <v>79</v>
      </c>
      <c r="C10" s="8" t="s">
        <v>357</v>
      </c>
    </row>
    <row r="11" customFormat="false" ht="15" hidden="false" customHeight="true" outlineLevel="0" collapsed="false">
      <c r="A11" s="8" t="s">
        <v>69</v>
      </c>
      <c r="C11" s="8" t="s">
        <v>358</v>
      </c>
    </row>
    <row r="12" customFormat="false" ht="15" hidden="false" customHeight="true" outlineLevel="0" collapsed="false">
      <c r="A12" s="28" t="s">
        <v>73</v>
      </c>
      <c r="C12" s="8" t="s">
        <v>371</v>
      </c>
    </row>
    <row r="13" customFormat="false" ht="15" hidden="false" customHeight="true" outlineLevel="0" collapsed="false">
      <c r="A13" s="28" t="s">
        <v>59</v>
      </c>
      <c r="C13" s="28" t="s">
        <v>163</v>
      </c>
    </row>
    <row r="14" customFormat="false" ht="15" hidden="false" customHeight="true" outlineLevel="0" collapsed="false">
      <c r="A14" s="28" t="s">
        <v>107</v>
      </c>
      <c r="C14" s="28" t="s">
        <v>181</v>
      </c>
    </row>
    <row r="15" customFormat="false" ht="15" hidden="false" customHeight="true" outlineLevel="0" collapsed="false">
      <c r="A15" s="28" t="s">
        <v>84</v>
      </c>
      <c r="C15" s="28" t="s">
        <v>290</v>
      </c>
    </row>
    <row r="16" customFormat="false" ht="15" hidden="false" customHeight="true" outlineLevel="0" collapsed="false">
      <c r="A16" s="28" t="s">
        <v>132</v>
      </c>
      <c r="C16" s="28" t="s">
        <v>165</v>
      </c>
    </row>
    <row r="17" customFormat="false" ht="15" hidden="false" customHeight="true" outlineLevel="0" collapsed="false">
      <c r="A17" s="28" t="s">
        <v>67</v>
      </c>
      <c r="C17" s="28" t="s">
        <v>184</v>
      </c>
    </row>
    <row r="18" customFormat="false" ht="15" hidden="false" customHeight="true" outlineLevel="0" collapsed="false">
      <c r="A18" s="28" t="s">
        <v>56</v>
      </c>
      <c r="C18" s="28" t="s">
        <v>175</v>
      </c>
    </row>
    <row r="19" customFormat="false" ht="15" hidden="false" customHeight="true" outlineLevel="0" collapsed="false">
      <c r="A19" s="8" t="s">
        <v>130</v>
      </c>
      <c r="C19" s="28" t="s">
        <v>230</v>
      </c>
    </row>
    <row r="20" customFormat="false" ht="15" hidden="false" customHeight="true" outlineLevel="0" collapsed="false">
      <c r="A20" s="8" t="s">
        <v>94</v>
      </c>
      <c r="C20" s="28" t="s">
        <v>329</v>
      </c>
    </row>
    <row r="21" customFormat="false" ht="15" hidden="false" customHeight="true" outlineLevel="0" collapsed="false">
      <c r="A21" s="8" t="s">
        <v>92</v>
      </c>
      <c r="C21" s="28" t="s">
        <v>173</v>
      </c>
    </row>
    <row r="22" customFormat="false" ht="15" hidden="false" customHeight="true" outlineLevel="0" collapsed="false">
      <c r="A22" s="28" t="s">
        <v>151</v>
      </c>
      <c r="C22" s="28" t="s">
        <v>177</v>
      </c>
    </row>
    <row r="23" customFormat="false" ht="15" hidden="false" customHeight="true" outlineLevel="0" collapsed="false">
      <c r="A23" s="28" t="s">
        <v>48</v>
      </c>
      <c r="C23" s="28" t="s">
        <v>208</v>
      </c>
    </row>
    <row r="24" customFormat="false" ht="15" hidden="false" customHeight="true" outlineLevel="0" collapsed="false">
      <c r="A24" s="28" t="s">
        <v>49</v>
      </c>
      <c r="C24" s="28" t="s">
        <v>221</v>
      </c>
    </row>
    <row r="25" customFormat="false" ht="15" hidden="false" customHeight="true" outlineLevel="0" collapsed="false">
      <c r="A25" s="8" t="s">
        <v>60</v>
      </c>
      <c r="C25" s="28" t="s">
        <v>245</v>
      </c>
    </row>
    <row r="26" customFormat="false" ht="15" hidden="false" customHeight="true" outlineLevel="0" collapsed="false">
      <c r="A26" s="28" t="s">
        <v>51</v>
      </c>
      <c r="C26" s="28" t="s">
        <v>191</v>
      </c>
    </row>
    <row r="27" customFormat="false" ht="15" hidden="false" customHeight="true" outlineLevel="0" collapsed="false">
      <c r="A27" s="8" t="s">
        <v>114</v>
      </c>
      <c r="C27" s="28" t="s">
        <v>204</v>
      </c>
    </row>
    <row r="28" customFormat="false" ht="15" hidden="false" customHeight="true" outlineLevel="0" collapsed="false">
      <c r="A28" s="28" t="s">
        <v>131</v>
      </c>
      <c r="C28" s="28" t="s">
        <v>319</v>
      </c>
    </row>
    <row r="29" customFormat="false" ht="15" hidden="false" customHeight="true" outlineLevel="0" collapsed="false">
      <c r="A29" s="28" t="s">
        <v>110</v>
      </c>
      <c r="C29" s="28" t="s">
        <v>333</v>
      </c>
    </row>
    <row r="30" customFormat="false" ht="15" hidden="false" customHeight="true" outlineLevel="0" collapsed="false">
      <c r="A30" s="28" t="s">
        <v>126</v>
      </c>
      <c r="C30" s="28" t="s">
        <v>363</v>
      </c>
    </row>
    <row r="31" customFormat="false" ht="15" hidden="false" customHeight="true" outlineLevel="0" collapsed="false">
      <c r="A31" s="28" t="s">
        <v>53</v>
      </c>
      <c r="C31" s="28" t="s">
        <v>305</v>
      </c>
    </row>
    <row r="32" customFormat="false" ht="15" hidden="false" customHeight="true" outlineLevel="0" collapsed="false">
      <c r="A32" s="28" t="s">
        <v>64</v>
      </c>
      <c r="C32" s="28" t="s">
        <v>304</v>
      </c>
    </row>
    <row r="33" customFormat="false" ht="15" hidden="false" customHeight="true" outlineLevel="0" collapsed="false">
      <c r="A33" s="8" t="s">
        <v>111</v>
      </c>
      <c r="C33" s="28" t="s">
        <v>280</v>
      </c>
    </row>
    <row r="34" customFormat="false" ht="15" hidden="false" customHeight="true" outlineLevel="0" collapsed="false">
      <c r="A34" s="8" t="s">
        <v>146</v>
      </c>
      <c r="C34" s="28" t="s">
        <v>298</v>
      </c>
    </row>
    <row r="35" customFormat="false" ht="15" hidden="false" customHeight="true" outlineLevel="0" collapsed="false">
      <c r="A35" s="28" t="s">
        <v>63</v>
      </c>
      <c r="C35" s="28" t="s">
        <v>311</v>
      </c>
    </row>
    <row r="36" customFormat="false" ht="15" hidden="false" customHeight="true" outlineLevel="0" collapsed="false">
      <c r="A36" s="28" t="s">
        <v>89</v>
      </c>
      <c r="C36" s="28" t="s">
        <v>327</v>
      </c>
    </row>
    <row r="37" customFormat="false" ht="15" hidden="false" customHeight="true" outlineLevel="0" collapsed="false">
      <c r="A37" s="28" t="s">
        <v>119</v>
      </c>
      <c r="C37" s="8" t="s">
        <v>291</v>
      </c>
    </row>
    <row r="38" customFormat="false" ht="15" hidden="false" customHeight="true" outlineLevel="0" collapsed="false">
      <c r="A38" s="28" t="s">
        <v>106</v>
      </c>
      <c r="C38" s="8" t="s">
        <v>339</v>
      </c>
    </row>
    <row r="39" customFormat="false" ht="15" hidden="false" customHeight="true" outlineLevel="0" collapsed="false">
      <c r="A39" s="28" t="s">
        <v>125</v>
      </c>
      <c r="C39" s="8" t="s">
        <v>372</v>
      </c>
    </row>
    <row r="40" customFormat="false" ht="15" hidden="false" customHeight="true" outlineLevel="0" collapsed="false">
      <c r="A40" s="28" t="s">
        <v>104</v>
      </c>
      <c r="C40" s="8" t="s">
        <v>365</v>
      </c>
    </row>
    <row r="41" customFormat="false" ht="15" hidden="false" customHeight="true" outlineLevel="0" collapsed="false">
      <c r="A41" s="8" t="s">
        <v>93</v>
      </c>
      <c r="C41" s="8" t="s">
        <v>293</v>
      </c>
    </row>
    <row r="42" customFormat="false" ht="15" hidden="false" customHeight="true" outlineLevel="0" collapsed="false">
      <c r="A42" s="28" t="s">
        <v>98</v>
      </c>
      <c r="C42" s="28" t="s">
        <v>346</v>
      </c>
    </row>
    <row r="43" customFormat="false" ht="15" hidden="false" customHeight="true" outlineLevel="0" collapsed="false">
      <c r="A43" s="28" t="s">
        <v>71</v>
      </c>
      <c r="C43" s="28" t="s">
        <v>283</v>
      </c>
    </row>
    <row r="44" customFormat="false" ht="15" hidden="false" customHeight="true" outlineLevel="0" collapsed="false">
      <c r="A44" s="28" t="s">
        <v>127</v>
      </c>
      <c r="C44" s="28" t="s">
        <v>216</v>
      </c>
    </row>
    <row r="45" customFormat="false" ht="15" hidden="false" customHeight="true" outlineLevel="0" collapsed="false">
      <c r="A45" s="28" t="s">
        <v>117</v>
      </c>
      <c r="C45" s="28" t="s">
        <v>236</v>
      </c>
    </row>
    <row r="46" customFormat="false" ht="15" hidden="false" customHeight="true" outlineLevel="0" collapsed="false">
      <c r="A46" s="28" t="s">
        <v>82</v>
      </c>
      <c r="C46" s="28" t="s">
        <v>190</v>
      </c>
    </row>
    <row r="47" customFormat="false" ht="15" hidden="false" customHeight="true" outlineLevel="0" collapsed="false">
      <c r="A47" s="28" t="s">
        <v>115</v>
      </c>
      <c r="C47" s="28" t="s">
        <v>183</v>
      </c>
    </row>
    <row r="48" customFormat="false" ht="15" hidden="false" customHeight="true" outlineLevel="0" collapsed="false">
      <c r="A48" s="28" t="s">
        <v>135</v>
      </c>
      <c r="C48" s="28" t="s">
        <v>218</v>
      </c>
    </row>
    <row r="49" customFormat="false" ht="15" hidden="false" customHeight="true" outlineLevel="0" collapsed="false">
      <c r="A49" s="28" t="s">
        <v>80</v>
      </c>
      <c r="C49" s="28" t="s">
        <v>231</v>
      </c>
    </row>
    <row r="50" customFormat="false" ht="15" hidden="false" customHeight="true" outlineLevel="0" collapsed="false">
      <c r="A50" s="28" t="s">
        <v>123</v>
      </c>
      <c r="C50" s="8" t="s">
        <v>286</v>
      </c>
    </row>
    <row r="51" customFormat="false" ht="15" hidden="false" customHeight="true" outlineLevel="0" collapsed="false">
      <c r="A51" s="28" t="s">
        <v>91</v>
      </c>
      <c r="C51" s="8" t="s">
        <v>289</v>
      </c>
    </row>
    <row r="52" customFormat="false" ht="15" hidden="false" customHeight="true" outlineLevel="0" collapsed="false">
      <c r="A52" s="28" t="s">
        <v>136</v>
      </c>
      <c r="C52" s="8" t="s">
        <v>324</v>
      </c>
    </row>
    <row r="53" customFormat="false" ht="15" hidden="false" customHeight="true" outlineLevel="0" collapsed="false">
      <c r="A53" s="8" t="s">
        <v>90</v>
      </c>
      <c r="C53" s="28" t="s">
        <v>337</v>
      </c>
    </row>
    <row r="54" customFormat="false" ht="15" hidden="false" customHeight="true" outlineLevel="0" collapsed="false">
      <c r="A54" s="28" t="s">
        <v>129</v>
      </c>
      <c r="C54" s="28" t="s">
        <v>161</v>
      </c>
    </row>
    <row r="55" customFormat="false" ht="15" hidden="false" customHeight="true" outlineLevel="0" collapsed="false">
      <c r="A55" s="28" t="s">
        <v>148</v>
      </c>
      <c r="C55" s="28" t="s">
        <v>162</v>
      </c>
    </row>
    <row r="56" customFormat="false" ht="15" hidden="false" customHeight="true" outlineLevel="0" collapsed="false">
      <c r="A56" s="28" t="s">
        <v>133</v>
      </c>
      <c r="C56" s="8" t="s">
        <v>171</v>
      </c>
    </row>
    <row r="57" customFormat="false" ht="15" hidden="false" customHeight="true" outlineLevel="0" collapsed="false">
      <c r="A57" s="28" t="s">
        <v>122</v>
      </c>
      <c r="C57" s="8" t="s">
        <v>174</v>
      </c>
    </row>
    <row r="58" customFormat="false" ht="15" hidden="false" customHeight="true" outlineLevel="0" collapsed="false">
      <c r="A58" s="8" t="s">
        <v>50</v>
      </c>
      <c r="C58" s="8" t="s">
        <v>379</v>
      </c>
    </row>
    <row r="59" customFormat="false" ht="15" hidden="false" customHeight="true" outlineLevel="0" collapsed="false">
      <c r="A59" s="28" t="s">
        <v>124</v>
      </c>
      <c r="C59" s="28" t="s">
        <v>166</v>
      </c>
    </row>
    <row r="60" customFormat="false" ht="15" hidden="false" customHeight="true" outlineLevel="0" collapsed="false">
      <c r="A60" s="28" t="s">
        <v>109</v>
      </c>
      <c r="C60" s="28" t="s">
        <v>164</v>
      </c>
    </row>
    <row r="61" customFormat="false" ht="15" hidden="false" customHeight="true" outlineLevel="0" collapsed="false">
      <c r="A61" s="28" t="s">
        <v>139</v>
      </c>
      <c r="C61" s="28" t="s">
        <v>222</v>
      </c>
    </row>
    <row r="62" customFormat="false" ht="15" hidden="false" customHeight="true" outlineLevel="0" collapsed="false">
      <c r="A62" s="28" t="s">
        <v>55</v>
      </c>
      <c r="C62" s="28" t="s">
        <v>187</v>
      </c>
    </row>
    <row r="63" customFormat="false" ht="15" hidden="false" customHeight="true" outlineLevel="0" collapsed="false">
      <c r="A63" s="28" t="s">
        <v>57</v>
      </c>
      <c r="C63" s="8" t="s">
        <v>270</v>
      </c>
    </row>
    <row r="64" customFormat="false" ht="15" hidden="false" customHeight="true" outlineLevel="0" collapsed="false">
      <c r="A64" s="28" t="s">
        <v>137</v>
      </c>
      <c r="C64" s="28" t="s">
        <v>307</v>
      </c>
    </row>
    <row r="65" customFormat="false" ht="15" hidden="false" customHeight="true" outlineLevel="0" collapsed="false">
      <c r="A65" s="28" t="s">
        <v>101</v>
      </c>
      <c r="C65" s="28" t="s">
        <v>263</v>
      </c>
    </row>
    <row r="66" customFormat="false" ht="15" hidden="false" customHeight="true" outlineLevel="0" collapsed="false">
      <c r="A66" s="28" t="s">
        <v>103</v>
      </c>
      <c r="C66" s="28" t="s">
        <v>206</v>
      </c>
    </row>
    <row r="67" customFormat="false" ht="15" hidden="false" customHeight="true" outlineLevel="0" collapsed="false">
      <c r="A67" s="28" t="s">
        <v>97</v>
      </c>
      <c r="C67" s="28" t="s">
        <v>188</v>
      </c>
    </row>
    <row r="68" customFormat="false" ht="15" hidden="false" customHeight="true" outlineLevel="0" collapsed="false">
      <c r="A68" s="8" t="s">
        <v>78</v>
      </c>
      <c r="C68" s="28" t="s">
        <v>186</v>
      </c>
    </row>
    <row r="69" customFormat="false" ht="15" hidden="false" customHeight="true" outlineLevel="0" collapsed="false">
      <c r="A69" s="28" t="s">
        <v>76</v>
      </c>
      <c r="C69" s="28" t="s">
        <v>239</v>
      </c>
    </row>
    <row r="70" customFormat="false" ht="15" hidden="false" customHeight="true" outlineLevel="0" collapsed="false">
      <c r="A70" s="28" t="s">
        <v>112</v>
      </c>
      <c r="C70" s="28" t="s">
        <v>210</v>
      </c>
    </row>
    <row r="71" customFormat="false" ht="15" hidden="false" customHeight="true" outlineLevel="0" collapsed="false">
      <c r="A71" s="28" t="s">
        <v>95</v>
      </c>
      <c r="C71" s="28" t="s">
        <v>320</v>
      </c>
    </row>
    <row r="72" customFormat="false" ht="15" hidden="false" customHeight="true" outlineLevel="0" collapsed="false">
      <c r="A72" s="28" t="s">
        <v>113</v>
      </c>
      <c r="C72" s="28" t="s">
        <v>278</v>
      </c>
    </row>
    <row r="73" customFormat="false" ht="15" hidden="false" customHeight="true" outlineLevel="0" collapsed="false">
      <c r="A73" s="28" t="s">
        <v>99</v>
      </c>
      <c r="C73" s="28" t="s">
        <v>238</v>
      </c>
    </row>
    <row r="74" customFormat="false" ht="15" hidden="false" customHeight="true" outlineLevel="0" collapsed="false">
      <c r="A74" s="28" t="s">
        <v>120</v>
      </c>
      <c r="C74" s="28" t="s">
        <v>201</v>
      </c>
    </row>
    <row r="75" customFormat="false" ht="15" hidden="false" customHeight="true" outlineLevel="0" collapsed="false">
      <c r="A75" s="28" t="s">
        <v>128</v>
      </c>
      <c r="C75" s="28" t="s">
        <v>314</v>
      </c>
    </row>
    <row r="76" customFormat="false" ht="15" hidden="false" customHeight="true" outlineLevel="0" collapsed="false">
      <c r="A76" s="28" t="s">
        <v>54</v>
      </c>
      <c r="C76" s="28" t="s">
        <v>214</v>
      </c>
    </row>
    <row r="77" customFormat="false" ht="15" hidden="false" customHeight="true" outlineLevel="0" collapsed="false">
      <c r="A77" s="28" t="s">
        <v>58</v>
      </c>
      <c r="C77" s="28" t="s">
        <v>309</v>
      </c>
    </row>
    <row r="78" customFormat="false" ht="15" hidden="false" customHeight="true" outlineLevel="0" collapsed="false">
      <c r="A78" s="28" t="s">
        <v>65</v>
      </c>
      <c r="C78" s="28" t="s">
        <v>241</v>
      </c>
    </row>
    <row r="79" customFormat="false" ht="15" hidden="false" customHeight="true" outlineLevel="0" collapsed="false">
      <c r="A79" s="8" t="s">
        <v>72</v>
      </c>
      <c r="C79" s="28" t="s">
        <v>219</v>
      </c>
    </row>
    <row r="80" customFormat="false" ht="15" hidden="false" customHeight="true" outlineLevel="0" collapsed="false">
      <c r="A80" s="28" t="s">
        <v>141</v>
      </c>
      <c r="C80" s="28" t="s">
        <v>292</v>
      </c>
    </row>
    <row r="81" customFormat="false" ht="15" hidden="false" customHeight="true" outlineLevel="0" collapsed="false">
      <c r="A81" s="8" t="s">
        <v>134</v>
      </c>
      <c r="C81" s="28" t="s">
        <v>223</v>
      </c>
    </row>
    <row r="82" customFormat="false" ht="15" hidden="false" customHeight="true" outlineLevel="0" collapsed="false">
      <c r="A82" s="28" t="s">
        <v>68</v>
      </c>
      <c r="C82" s="28" t="s">
        <v>368</v>
      </c>
    </row>
    <row r="83" customFormat="false" ht="15" hidden="false" customHeight="true" outlineLevel="0" collapsed="false">
      <c r="A83" s="8" t="s">
        <v>81</v>
      </c>
      <c r="C83" s="28" t="s">
        <v>287</v>
      </c>
    </row>
    <row r="84" customFormat="false" ht="15" hidden="false" customHeight="true" outlineLevel="0" collapsed="false">
      <c r="A84" s="8" t="s">
        <v>153</v>
      </c>
      <c r="C84" s="28" t="s">
        <v>229</v>
      </c>
    </row>
    <row r="85" customFormat="false" ht="15" hidden="false" customHeight="true" outlineLevel="0" collapsed="false">
      <c r="A85" s="28" t="s">
        <v>140</v>
      </c>
      <c r="C85" s="8" t="s">
        <v>237</v>
      </c>
    </row>
    <row r="86" customFormat="false" ht="15" hidden="false" customHeight="true" outlineLevel="0" collapsed="false">
      <c r="A86" s="28" t="s">
        <v>147</v>
      </c>
      <c r="C86" s="28" t="s">
        <v>271</v>
      </c>
    </row>
    <row r="87" customFormat="false" ht="15" hidden="false" customHeight="true" outlineLevel="0" collapsed="false">
      <c r="A87" s="28" t="s">
        <v>144</v>
      </c>
      <c r="C87" s="28" t="s">
        <v>266</v>
      </c>
    </row>
    <row r="88" customFormat="false" ht="15" hidden="false" customHeight="true" outlineLevel="0" collapsed="false">
      <c r="A88" s="28" t="s">
        <v>154</v>
      </c>
      <c r="C88" s="28" t="s">
        <v>246</v>
      </c>
    </row>
    <row r="89" customFormat="false" ht="15" hidden="false" customHeight="true" outlineLevel="0" collapsed="false">
      <c r="A89" s="8" t="s">
        <v>143</v>
      </c>
      <c r="C89" s="28" t="s">
        <v>244</v>
      </c>
    </row>
    <row r="90" customFormat="false" ht="15" hidden="false" customHeight="true" outlineLevel="0" collapsed="false">
      <c r="A90" s="8" t="s">
        <v>83</v>
      </c>
      <c r="C90" s="28" t="s">
        <v>202</v>
      </c>
    </row>
    <row r="91" customFormat="false" ht="15" hidden="false" customHeight="true" outlineLevel="0" collapsed="false">
      <c r="A91" s="8" t="s">
        <v>121</v>
      </c>
      <c r="C91" s="8" t="s">
        <v>243</v>
      </c>
    </row>
    <row r="92" customFormat="false" ht="15" hidden="false" customHeight="true" outlineLevel="0" collapsed="false">
      <c r="A92" s="28" t="s">
        <v>74</v>
      </c>
      <c r="C92" s="28" t="s">
        <v>251</v>
      </c>
    </row>
    <row r="93" customFormat="false" ht="15" hidden="false" customHeight="true" outlineLevel="0" collapsed="false">
      <c r="A93" s="28" t="s">
        <v>108</v>
      </c>
      <c r="C93" s="28" t="s">
        <v>308</v>
      </c>
    </row>
    <row r="94" customFormat="false" ht="15" hidden="false" customHeight="true" outlineLevel="0" collapsed="false">
      <c r="A94" s="28" t="s">
        <v>116</v>
      </c>
      <c r="C94" s="28" t="s">
        <v>172</v>
      </c>
    </row>
    <row r="95" customFormat="false" ht="15" hidden="false" customHeight="true" outlineLevel="0" collapsed="false">
      <c r="A95" s="28" t="s">
        <v>150</v>
      </c>
      <c r="C95" s="28" t="s">
        <v>242</v>
      </c>
    </row>
    <row r="96" customFormat="false" ht="15" hidden="false" customHeight="true" outlineLevel="0" collapsed="false">
      <c r="A96" s="8" t="s">
        <v>75</v>
      </c>
      <c r="C96" s="8" t="s">
        <v>261</v>
      </c>
    </row>
    <row r="97" customFormat="false" ht="15" hidden="false" customHeight="true" outlineLevel="0" collapsed="false">
      <c r="A97" s="8" t="s">
        <v>142</v>
      </c>
      <c r="C97" s="28" t="s">
        <v>269</v>
      </c>
    </row>
    <row r="98" customFormat="false" ht="15" hidden="false" customHeight="true" outlineLevel="0" collapsed="false">
      <c r="A98" s="8" t="s">
        <v>88</v>
      </c>
      <c r="C98" s="28" t="s">
        <v>213</v>
      </c>
    </row>
    <row r="99" customFormat="false" ht="15" hidden="false" customHeight="true" outlineLevel="0" collapsed="false">
      <c r="A99" s="8" t="s">
        <v>52</v>
      </c>
      <c r="C99" s="28" t="s">
        <v>288</v>
      </c>
    </row>
    <row r="100" customFormat="false" ht="15" hidden="false" customHeight="true" outlineLevel="0" collapsed="false">
      <c r="A100" s="28" t="s">
        <v>145</v>
      </c>
      <c r="C100" s="28" t="s">
        <v>281</v>
      </c>
    </row>
    <row r="101" customFormat="false" ht="15" hidden="false" customHeight="true" outlineLevel="0" collapsed="false">
      <c r="A101" s="28" t="s">
        <v>105</v>
      </c>
      <c r="C101" s="28" t="s">
        <v>232</v>
      </c>
    </row>
    <row r="102" customFormat="false" ht="15" hidden="false" customHeight="true" outlineLevel="0" collapsed="false">
      <c r="A102" s="28" t="s">
        <v>62</v>
      </c>
      <c r="C102" s="28" t="s">
        <v>215</v>
      </c>
    </row>
    <row r="103" customFormat="false" ht="15" hidden="false" customHeight="true" outlineLevel="0" collapsed="false">
      <c r="A103" s="28" t="s">
        <v>118</v>
      </c>
      <c r="C103" s="28" t="s">
        <v>255</v>
      </c>
    </row>
    <row r="104" customFormat="false" ht="15" hidden="false" customHeight="true" outlineLevel="0" collapsed="false">
      <c r="A104" s="28" t="s">
        <v>86</v>
      </c>
      <c r="C104" s="28" t="s">
        <v>194</v>
      </c>
    </row>
    <row r="105" customFormat="false" ht="15" hidden="false" customHeight="true" outlineLevel="0" collapsed="false">
      <c r="A105" s="28" t="s">
        <v>96</v>
      </c>
      <c r="C105" s="28" t="s">
        <v>279</v>
      </c>
    </row>
    <row r="106" customFormat="false" ht="15" hidden="false" customHeight="true" outlineLevel="0" collapsed="false">
      <c r="A106" s="28" t="s">
        <v>152</v>
      </c>
      <c r="C106" s="8" t="s">
        <v>299</v>
      </c>
    </row>
    <row r="107" customFormat="false" ht="15" hidden="false" customHeight="true" outlineLevel="0" collapsed="false">
      <c r="A107" s="28" t="s">
        <v>77</v>
      </c>
      <c r="C107" s="8" t="s">
        <v>265</v>
      </c>
    </row>
    <row r="108" customFormat="false" ht="15" hidden="false" customHeight="true" outlineLevel="0" collapsed="false">
      <c r="A108" s="28" t="s">
        <v>85</v>
      </c>
      <c r="C108" s="8" t="s">
        <v>276</v>
      </c>
    </row>
    <row r="109" customFormat="false" ht="15" hidden="false" customHeight="true" outlineLevel="0" collapsed="false">
      <c r="A109" s="28" t="s">
        <v>149</v>
      </c>
      <c r="C109" s="8" t="s">
        <v>317</v>
      </c>
    </row>
    <row r="110" customFormat="false" ht="15" hidden="false" customHeight="true" outlineLevel="0" collapsed="false">
      <c r="A110" s="8" t="s">
        <v>102</v>
      </c>
      <c r="C110" s="28" t="s">
        <v>351</v>
      </c>
    </row>
    <row r="111" customFormat="false" ht="15" hidden="false" customHeight="true" outlineLevel="0" collapsed="false">
      <c r="A111" s="8" t="s">
        <v>100</v>
      </c>
      <c r="C111" s="28" t="s">
        <v>326</v>
      </c>
    </row>
    <row r="112" customFormat="false" ht="15" hidden="false" customHeight="true" outlineLevel="0" collapsed="false">
      <c r="C112" s="28" t="s">
        <v>338</v>
      </c>
    </row>
    <row r="113" customFormat="false" ht="15" hidden="false" customHeight="true" outlineLevel="0" collapsed="false">
      <c r="C113" s="28" t="s">
        <v>362</v>
      </c>
    </row>
    <row r="114" customFormat="false" ht="15" hidden="false" customHeight="true" outlineLevel="0" collapsed="false">
      <c r="C114" s="28" t="s">
        <v>331</v>
      </c>
    </row>
    <row r="115" customFormat="false" ht="15" hidden="false" customHeight="true" outlineLevel="0" collapsed="false">
      <c r="C115" s="28" t="s">
        <v>342</v>
      </c>
    </row>
    <row r="116" customFormat="false" ht="15" hidden="false" customHeight="true" outlineLevel="0" collapsed="false">
      <c r="C116" s="8" t="s">
        <v>374</v>
      </c>
    </row>
    <row r="117" customFormat="false" ht="15" hidden="false" customHeight="true" outlineLevel="0" collapsed="false">
      <c r="C117" s="8" t="s">
        <v>321</v>
      </c>
    </row>
    <row r="118" customFormat="false" ht="15" hidden="false" customHeight="true" outlineLevel="0" collapsed="false">
      <c r="C118" s="8" t="s">
        <v>318</v>
      </c>
    </row>
    <row r="119" customFormat="false" ht="15" hidden="false" customHeight="true" outlineLevel="0" collapsed="false">
      <c r="C119" s="28" t="s">
        <v>285</v>
      </c>
    </row>
    <row r="120" customFormat="false" ht="15" hidden="false" customHeight="true" outlineLevel="0" collapsed="false">
      <c r="C120" s="28" t="s">
        <v>225</v>
      </c>
    </row>
    <row r="121" customFormat="false" ht="15" hidden="false" customHeight="true" outlineLevel="0" collapsed="false">
      <c r="C121" s="28" t="s">
        <v>217</v>
      </c>
    </row>
    <row r="122" customFormat="false" ht="15" hidden="false" customHeight="true" outlineLevel="0" collapsed="false">
      <c r="C122" s="8" t="s">
        <v>313</v>
      </c>
    </row>
    <row r="123" customFormat="false" ht="15" hidden="false" customHeight="true" outlineLevel="0" collapsed="false">
      <c r="C123" s="8" t="s">
        <v>316</v>
      </c>
    </row>
    <row r="124" customFormat="false" ht="15" hidden="false" customHeight="true" outlineLevel="0" collapsed="false">
      <c r="C124" s="8" t="s">
        <v>335</v>
      </c>
    </row>
    <row r="125" customFormat="false" ht="15" hidden="false" customHeight="true" outlineLevel="0" collapsed="false">
      <c r="C125" s="28" t="s">
        <v>322</v>
      </c>
    </row>
    <row r="126" customFormat="false" ht="15" hidden="false" customHeight="true" outlineLevel="0" collapsed="false">
      <c r="C126" s="28" t="s">
        <v>364</v>
      </c>
    </row>
    <row r="127" customFormat="false" ht="15" hidden="false" customHeight="true" outlineLevel="0" collapsed="false">
      <c r="C127" s="28" t="s">
        <v>325</v>
      </c>
    </row>
    <row r="128" customFormat="false" ht="15" hidden="false" customHeight="true" outlineLevel="0" collapsed="false">
      <c r="C128" s="8" t="s">
        <v>192</v>
      </c>
    </row>
    <row r="129" customFormat="false" ht="15" hidden="false" customHeight="true" outlineLevel="0" collapsed="false">
      <c r="C129" s="8" t="s">
        <v>168</v>
      </c>
    </row>
    <row r="130" customFormat="false" ht="15" hidden="false" customHeight="true" outlineLevel="0" collapsed="false">
      <c r="C130" s="8" t="s">
        <v>169</v>
      </c>
    </row>
    <row r="131" customFormat="false" ht="15" hidden="false" customHeight="true" outlineLevel="0" collapsed="false">
      <c r="C131" s="28" t="s">
        <v>268</v>
      </c>
    </row>
    <row r="132" customFormat="false" ht="15" hidden="false" customHeight="true" outlineLevel="0" collapsed="false">
      <c r="C132" s="28" t="s">
        <v>209</v>
      </c>
    </row>
    <row r="133" customFormat="false" ht="15" hidden="false" customHeight="true" outlineLevel="0" collapsed="false">
      <c r="C133" s="28" t="s">
        <v>355</v>
      </c>
    </row>
    <row r="134" customFormat="false" ht="15" hidden="false" customHeight="true" outlineLevel="0" collapsed="false">
      <c r="C134" s="8" t="s">
        <v>336</v>
      </c>
    </row>
    <row r="135" customFormat="false" ht="15" hidden="false" customHeight="true" outlineLevel="0" collapsed="false">
      <c r="C135" s="28" t="s">
        <v>180</v>
      </c>
    </row>
    <row r="136" customFormat="false" ht="15" hidden="false" customHeight="true" outlineLevel="0" collapsed="false">
      <c r="C136" s="28" t="s">
        <v>189</v>
      </c>
    </row>
    <row r="137" customFormat="false" ht="15" hidden="false" customHeight="true" outlineLevel="0" collapsed="false">
      <c r="C137" s="28" t="s">
        <v>267</v>
      </c>
    </row>
    <row r="138" customFormat="false" ht="15" hidden="false" customHeight="true" outlineLevel="0" collapsed="false">
      <c r="C138" s="28" t="s">
        <v>199</v>
      </c>
    </row>
    <row r="139" customFormat="false" ht="15" hidden="false" customHeight="true" outlineLevel="0" collapsed="false">
      <c r="C139" s="28" t="s">
        <v>250</v>
      </c>
    </row>
    <row r="140" customFormat="false" ht="15" hidden="false" customHeight="true" outlineLevel="0" collapsed="false">
      <c r="C140" s="28" t="s">
        <v>198</v>
      </c>
    </row>
    <row r="141" customFormat="false" ht="15" hidden="false" customHeight="true" outlineLevel="0" collapsed="false">
      <c r="C141" s="28" t="s">
        <v>193</v>
      </c>
    </row>
    <row r="142" customFormat="false" ht="15" hidden="false" customHeight="true" outlineLevel="0" collapsed="false">
      <c r="C142" s="28" t="s">
        <v>302</v>
      </c>
    </row>
    <row r="143" customFormat="false" ht="15" hidden="false" customHeight="true" outlineLevel="0" collapsed="false">
      <c r="C143" s="28" t="s">
        <v>205</v>
      </c>
    </row>
    <row r="144" customFormat="false" ht="15" hidden="false" customHeight="true" outlineLevel="0" collapsed="false">
      <c r="C144" s="28" t="s">
        <v>256</v>
      </c>
    </row>
    <row r="145" customFormat="false" ht="15" hidden="false" customHeight="true" outlineLevel="0" collapsed="false">
      <c r="C145" s="28" t="s">
        <v>354</v>
      </c>
    </row>
    <row r="146" customFormat="false" ht="15" hidden="false" customHeight="true" outlineLevel="0" collapsed="false">
      <c r="C146" s="28" t="s">
        <v>378</v>
      </c>
    </row>
    <row r="147" customFormat="false" ht="15" hidden="false" customHeight="true" outlineLevel="0" collapsed="false">
      <c r="C147" s="28" t="s">
        <v>375</v>
      </c>
    </row>
    <row r="148" customFormat="false" ht="15" hidden="false" customHeight="true" outlineLevel="0" collapsed="false">
      <c r="C148" s="28" t="s">
        <v>369</v>
      </c>
    </row>
    <row r="149" customFormat="false" ht="15" hidden="false" customHeight="true" outlineLevel="0" collapsed="false">
      <c r="C149" s="28" t="s">
        <v>376</v>
      </c>
    </row>
    <row r="150" customFormat="false" ht="15" hidden="false" customHeight="true" outlineLevel="0" collapsed="false">
      <c r="C150" s="28" t="s">
        <v>282</v>
      </c>
    </row>
    <row r="151" customFormat="false" ht="15" hidden="false" customHeight="true" outlineLevel="0" collapsed="false">
      <c r="C151" s="28" t="s">
        <v>306</v>
      </c>
    </row>
    <row r="152" customFormat="false" ht="15" hidden="false" customHeight="true" outlineLevel="0" collapsed="false">
      <c r="C152" s="28" t="s">
        <v>353</v>
      </c>
    </row>
    <row r="153" customFormat="false" ht="15" hidden="false" customHeight="true" outlineLevel="0" collapsed="false">
      <c r="C153" s="28" t="s">
        <v>352</v>
      </c>
    </row>
    <row r="154" customFormat="false" ht="15" hidden="false" customHeight="true" outlineLevel="0" collapsed="false">
      <c r="C154" s="28" t="s">
        <v>332</v>
      </c>
    </row>
    <row r="155" customFormat="false" ht="15" hidden="false" customHeight="true" outlineLevel="0" collapsed="false">
      <c r="C155" s="28" t="s">
        <v>272</v>
      </c>
    </row>
    <row r="156" customFormat="false" ht="15" hidden="false" customHeight="true" outlineLevel="0" collapsed="false">
      <c r="C156" s="28" t="s">
        <v>382</v>
      </c>
    </row>
    <row r="157" customFormat="false" ht="15" hidden="false" customHeight="true" outlineLevel="0" collapsed="false">
      <c r="C157" s="28" t="s">
        <v>380</v>
      </c>
    </row>
    <row r="158" customFormat="false" ht="15" hidden="false" customHeight="true" outlineLevel="0" collapsed="false">
      <c r="C158" s="28" t="s">
        <v>259</v>
      </c>
    </row>
    <row r="159" customFormat="false" ht="15" hidden="false" customHeight="true" outlineLevel="0" collapsed="false">
      <c r="C159" s="28" t="s">
        <v>254</v>
      </c>
    </row>
    <row r="160" customFormat="false" ht="15" hidden="false" customHeight="true" outlineLevel="0" collapsed="false">
      <c r="C160" s="28" t="s">
        <v>341</v>
      </c>
    </row>
    <row r="161" customFormat="false" ht="15" hidden="false" customHeight="true" outlineLevel="0" collapsed="false">
      <c r="C161" s="28" t="s">
        <v>297</v>
      </c>
    </row>
    <row r="162" customFormat="false" ht="15" hidden="false" customHeight="true" outlineLevel="0" collapsed="false">
      <c r="C162" s="8" t="s">
        <v>383</v>
      </c>
    </row>
    <row r="163" customFormat="false" ht="15" hidden="false" customHeight="true" outlineLevel="0" collapsed="false">
      <c r="C163" s="8" t="s">
        <v>381</v>
      </c>
    </row>
    <row r="164" customFormat="false" ht="15" hidden="false" customHeight="true" outlineLevel="0" collapsed="false">
      <c r="C164" s="8" t="s">
        <v>330</v>
      </c>
    </row>
    <row r="165" customFormat="false" ht="15" hidden="false" customHeight="true" outlineLevel="0" collapsed="false">
      <c r="C165" s="8" t="s">
        <v>296</v>
      </c>
    </row>
    <row r="166" customFormat="false" ht="15" hidden="false" customHeight="true" outlineLevel="0" collapsed="false">
      <c r="C166" s="28" t="s">
        <v>277</v>
      </c>
    </row>
    <row r="167" customFormat="false" ht="15" hidden="false" customHeight="true" outlineLevel="0" collapsed="false">
      <c r="C167" s="28" t="s">
        <v>249</v>
      </c>
    </row>
    <row r="168" customFormat="false" ht="15" hidden="false" customHeight="true" outlineLevel="0" collapsed="false">
      <c r="C168" s="28" t="s">
        <v>260</v>
      </c>
    </row>
    <row r="169" customFormat="false" ht="15" hidden="false" customHeight="true" outlineLevel="0" collapsed="false">
      <c r="C169" s="28" t="s">
        <v>356</v>
      </c>
    </row>
    <row r="170" customFormat="false" ht="15" hidden="false" customHeight="true" outlineLevel="0" collapsed="false">
      <c r="C170" s="28" t="s">
        <v>228</v>
      </c>
    </row>
    <row r="171" customFormat="false" ht="15" hidden="false" customHeight="true" outlineLevel="0" collapsed="false">
      <c r="C171" s="28" t="s">
        <v>95</v>
      </c>
    </row>
    <row r="172" customFormat="false" ht="15" hidden="false" customHeight="true" outlineLevel="0" collapsed="false">
      <c r="C172" s="28" t="s">
        <v>113</v>
      </c>
    </row>
    <row r="173" customFormat="false" ht="15" hidden="false" customHeight="true" outlineLevel="0" collapsed="false">
      <c r="C173" s="28" t="s">
        <v>99</v>
      </c>
    </row>
    <row r="174" customFormat="false" ht="15" hidden="false" customHeight="true" outlineLevel="0" collapsed="false">
      <c r="C174" s="28" t="s">
        <v>120</v>
      </c>
    </row>
    <row r="175" customFormat="false" ht="15" hidden="false" customHeight="true" outlineLevel="0" collapsed="false">
      <c r="C175" s="8" t="s">
        <v>303</v>
      </c>
    </row>
    <row r="176" customFormat="false" ht="15" hidden="false" customHeight="true" outlineLevel="0" collapsed="false">
      <c r="C176" s="8" t="s">
        <v>361</v>
      </c>
    </row>
    <row r="177" customFormat="false" ht="15" hidden="false" customHeight="true" outlineLevel="0" collapsed="false">
      <c r="C177" s="28" t="s">
        <v>257</v>
      </c>
    </row>
    <row r="178" customFormat="false" ht="15" hidden="false" customHeight="true" outlineLevel="0" collapsed="false">
      <c r="C178" s="28" t="s">
        <v>178</v>
      </c>
    </row>
    <row r="179" customFormat="false" ht="15" hidden="false" customHeight="true" outlineLevel="0" collapsed="false">
      <c r="C179" s="28" t="s">
        <v>176</v>
      </c>
    </row>
    <row r="180" customFormat="false" ht="15" hidden="false" customHeight="true" outlineLevel="0" collapsed="false">
      <c r="C180" s="28" t="s">
        <v>235</v>
      </c>
    </row>
    <row r="181" customFormat="false" ht="15" hidden="false" customHeight="true" outlineLevel="0" collapsed="false">
      <c r="C181" s="28" t="s">
        <v>224</v>
      </c>
    </row>
    <row r="182" customFormat="false" ht="15" hidden="false" customHeight="true" outlineLevel="0" collapsed="false">
      <c r="C182" s="28" t="s">
        <v>179</v>
      </c>
    </row>
    <row r="183" customFormat="false" ht="15" hidden="false" customHeight="true" outlineLevel="0" collapsed="false">
      <c r="C183" s="28" t="s">
        <v>185</v>
      </c>
    </row>
    <row r="184" customFormat="false" ht="15" hidden="false" customHeight="true" outlineLevel="0" collapsed="false">
      <c r="C184" s="28" t="s">
        <v>360</v>
      </c>
    </row>
    <row r="185" customFormat="false" ht="15" hidden="false" customHeight="true" outlineLevel="0" collapsed="false">
      <c r="C185" s="28" t="s">
        <v>195</v>
      </c>
    </row>
    <row r="186" customFormat="false" ht="15" hidden="false" customHeight="true" outlineLevel="0" collapsed="false">
      <c r="C186" s="28" t="s">
        <v>388</v>
      </c>
    </row>
    <row r="187" customFormat="false" ht="15" hidden="false" customHeight="true" outlineLevel="0" collapsed="false">
      <c r="C187" s="28" t="s">
        <v>273</v>
      </c>
    </row>
    <row r="188" customFormat="false" ht="15" hidden="false" customHeight="true" outlineLevel="0" collapsed="false">
      <c r="C188" s="28" t="s">
        <v>240</v>
      </c>
    </row>
    <row r="189" customFormat="false" ht="15" hidden="false" customHeight="true" outlineLevel="0" collapsed="false">
      <c r="C189" s="28" t="s">
        <v>234</v>
      </c>
    </row>
    <row r="190" customFormat="false" ht="15" hidden="false" customHeight="true" outlineLevel="0" collapsed="false">
      <c r="C190" s="28" t="s">
        <v>247</v>
      </c>
    </row>
    <row r="191" customFormat="false" ht="15" hidden="false" customHeight="true" outlineLevel="0" collapsed="false">
      <c r="C191" s="28" t="s">
        <v>300</v>
      </c>
    </row>
    <row r="192" customFormat="false" ht="15" hidden="false" customHeight="true" outlineLevel="0" collapsed="false">
      <c r="C192" s="28" t="s">
        <v>328</v>
      </c>
    </row>
    <row r="193" customFormat="false" ht="15" hidden="false" customHeight="true" outlineLevel="0" collapsed="false">
      <c r="C193" s="28" t="s">
        <v>367</v>
      </c>
    </row>
    <row r="194" customFormat="false" ht="15" hidden="false" customHeight="true" outlineLevel="0" collapsed="false">
      <c r="C194" s="8" t="s">
        <v>182</v>
      </c>
    </row>
    <row r="195" customFormat="false" ht="15" hidden="false" customHeight="true" outlineLevel="0" collapsed="false">
      <c r="C195" s="28" t="s">
        <v>274</v>
      </c>
    </row>
    <row r="196" customFormat="false" ht="15" hidden="false" customHeight="true" outlineLevel="0" collapsed="false">
      <c r="C196" s="8" t="s">
        <v>170</v>
      </c>
    </row>
    <row r="197" customFormat="false" ht="15" hidden="false" customHeight="true" outlineLevel="0" collapsed="false">
      <c r="C197" s="28" t="s">
        <v>167</v>
      </c>
    </row>
    <row r="198" customFormat="false" ht="15" hidden="false" customHeight="true" outlineLevel="0" collapsed="false">
      <c r="C198" s="28" t="s">
        <v>334</v>
      </c>
    </row>
    <row r="199" customFormat="false" ht="15" hidden="false" customHeight="true" outlineLevel="0" collapsed="false">
      <c r="C199" s="28" t="s">
        <v>323</v>
      </c>
    </row>
    <row r="200" customFormat="false" ht="15" hidden="false" customHeight="true" outlineLevel="0" collapsed="false">
      <c r="C200" s="8" t="s">
        <v>377</v>
      </c>
    </row>
    <row r="201" customFormat="false" ht="15" hidden="false" customHeight="true" outlineLevel="0" collapsed="false">
      <c r="C201" s="8" t="s">
        <v>294</v>
      </c>
    </row>
    <row r="202" customFormat="false" ht="15" hidden="false" customHeight="true" outlineLevel="0" collapsed="false">
      <c r="C202" s="28" t="s">
        <v>315</v>
      </c>
    </row>
    <row r="203" customFormat="false" ht="15" hidden="false" customHeight="true" outlineLevel="0" collapsed="false">
      <c r="C203" s="28" t="s">
        <v>373</v>
      </c>
    </row>
    <row r="204" customFormat="false" ht="15" hidden="false" customHeight="true" outlineLevel="0" collapsed="false">
      <c r="C204" s="28" t="s">
        <v>359</v>
      </c>
    </row>
    <row r="205" customFormat="false" ht="15" hidden="false" customHeight="true" outlineLevel="0" collapsed="false">
      <c r="C205" s="8" t="s">
        <v>386</v>
      </c>
    </row>
    <row r="206" customFormat="false" ht="15" hidden="false" customHeight="true" outlineLevel="0" collapsed="false">
      <c r="C206" s="28" t="s">
        <v>220</v>
      </c>
    </row>
    <row r="207" customFormat="false" ht="15" hidden="false" customHeight="true" outlineLevel="0" collapsed="false">
      <c r="C207" s="28" t="s">
        <v>275</v>
      </c>
    </row>
    <row r="208" customFormat="false" ht="15" hidden="false" customHeight="true" outlineLevel="0" collapsed="false">
      <c r="C208" s="28" t="s">
        <v>233</v>
      </c>
    </row>
    <row r="209" customFormat="false" ht="15" hidden="false" customHeight="true" outlineLevel="0" collapsed="false">
      <c r="C209" s="8" t="s">
        <v>264</v>
      </c>
    </row>
    <row r="210" customFormat="false" ht="15" hidden="false" customHeight="true" outlineLevel="0" collapsed="false">
      <c r="C210" s="28" t="s">
        <v>348</v>
      </c>
    </row>
    <row r="211" customFormat="false" ht="15" hidden="false" customHeight="true" outlineLevel="0" collapsed="false">
      <c r="C211" s="28" t="s">
        <v>258</v>
      </c>
    </row>
    <row r="212" customFormat="false" ht="15" hidden="false" customHeight="true" outlineLevel="0" collapsed="false">
      <c r="C212" s="28" t="s">
        <v>252</v>
      </c>
    </row>
    <row r="213" customFormat="false" ht="15" hidden="false" customHeight="true" outlineLevel="0" collapsed="false">
      <c r="C213" s="28" t="s">
        <v>203</v>
      </c>
    </row>
    <row r="214" customFormat="false" ht="15" hidden="false" customHeight="true" outlineLevel="0" collapsed="false">
      <c r="C214" s="28" t="s">
        <v>211</v>
      </c>
    </row>
    <row r="215" customFormat="false" ht="15" hidden="false" customHeight="true" outlineLevel="0" collapsed="false">
      <c r="C215" s="28" t="s">
        <v>248</v>
      </c>
    </row>
    <row r="216" customFormat="false" ht="15" hidden="false" customHeight="true" outlineLevel="0" collapsed="false">
      <c r="C216" s="8" t="s">
        <v>196</v>
      </c>
    </row>
    <row r="217" customFormat="false" ht="15" hidden="false" customHeight="true" outlineLevel="0" collapsed="false">
      <c r="C217" s="28" t="s">
        <v>212</v>
      </c>
    </row>
    <row r="218" customFormat="false" ht="15" hidden="false" customHeight="true" outlineLevel="0" collapsed="false">
      <c r="C218" s="28" t="s">
        <v>312</v>
      </c>
    </row>
    <row r="219" customFormat="false" ht="15" hidden="false" customHeight="true" outlineLevel="0" collapsed="false">
      <c r="C219" s="28" t="s">
        <v>226</v>
      </c>
    </row>
    <row r="220" customFormat="false" ht="15" hidden="false" customHeight="true" outlineLevel="0" collapsed="false">
      <c r="C220" s="8" t="s">
        <v>370</v>
      </c>
    </row>
    <row r="221" customFormat="false" ht="15" hidden="false" customHeight="true" outlineLevel="0" collapsed="false">
      <c r="C221" s="8" t="s">
        <v>301</v>
      </c>
    </row>
    <row r="222" customFormat="false" ht="15" hidden="false" customHeight="true" outlineLevel="0" collapsed="false">
      <c r="C222" s="8" t="s">
        <v>310</v>
      </c>
    </row>
    <row r="223" customFormat="false" ht="15" hidden="false" customHeight="true" outlineLevel="0" collapsed="false">
      <c r="C223" s="8" t="s">
        <v>343</v>
      </c>
    </row>
    <row r="224" customFormat="false" ht="15" hidden="false" customHeight="true" outlineLevel="0" collapsed="false">
      <c r="C224" s="8" t="s">
        <v>366</v>
      </c>
    </row>
    <row r="225" customFormat="false" ht="15" hidden="false" customHeight="true" outlineLevel="0" collapsed="false">
      <c r="C225" s="8" t="s">
        <v>384</v>
      </c>
    </row>
    <row r="226" customFormat="false" ht="15" hidden="false" customHeight="true" outlineLevel="0" collapsed="false">
      <c r="C226" s="8" t="s">
        <v>344</v>
      </c>
    </row>
    <row r="227" customFormat="false" ht="15" hidden="false" customHeight="true" outlineLevel="0" collapsed="false">
      <c r="C227" s="8" t="s">
        <v>347</v>
      </c>
    </row>
    <row r="228" customFormat="false" ht="15" hidden="false" customHeight="true" outlineLevel="0" collapsed="false">
      <c r="C228" s="8" t="s">
        <v>345</v>
      </c>
    </row>
    <row r="229" customFormat="false" ht="15" hidden="false" customHeight="true" outlineLevel="0" collapsed="false">
      <c r="C229" s="8" t="s">
        <v>350</v>
      </c>
    </row>
    <row r="230" customFormat="false" ht="15" hidden="false" customHeight="true" outlineLevel="0" collapsed="false">
      <c r="C230" s="28" t="s">
        <v>340</v>
      </c>
    </row>
    <row r="231" customFormat="false" ht="15" hidden="false" customHeight="true" outlineLevel="0" collapsed="false">
      <c r="C231" s="28" t="s">
        <v>262</v>
      </c>
    </row>
    <row r="232" customFormat="false" ht="15" hidden="false" customHeight="true" outlineLevel="0" collapsed="false">
      <c r="C232" s="28" t="s">
        <v>387</v>
      </c>
    </row>
    <row r="233" customFormat="false" ht="15" hidden="false" customHeight="true" outlineLevel="0" collapsed="false">
      <c r="C233" s="28" t="s">
        <v>284</v>
      </c>
    </row>
    <row r="234" customFormat="false" ht="15" hidden="false" customHeight="true" outlineLevel="0" collapsed="false">
      <c r="C234" s="28" t="s">
        <v>349</v>
      </c>
    </row>
    <row r="235" customFormat="false" ht="15" hidden="false" customHeight="true" outlineLevel="0" collapsed="false">
      <c r="C235" s="28" t="s">
        <v>200</v>
      </c>
    </row>
    <row r="236" customFormat="false" ht="15" hidden="false" customHeight="true" outlineLevel="0" collapsed="false">
      <c r="C236" s="8" t="s">
        <v>227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2026-09-20T08:11:20Z</dcterms:created>
  <dc:creator>openpyxl</dc:creator>
  <dc:description/>
  <dc:language>en-US</dc:language>
  <cp:lastModifiedBy/>
  <dcterms:modified xsi:type="dcterms:W3CDTF">2026-09-20T09:16:46Z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