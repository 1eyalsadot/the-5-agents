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<sst xmlns="http://schemas.openxmlformats.org/spreadsheetml/2006/main" count="132" uniqueCount="102">
  <si>
    <t xml:space="preserve">דוח מכירות ספטמבר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</si>
  <si>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</si>
  <si>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</si>
  <si>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</si>
  <si>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</si>
  <si>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</si>
  <si>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</si>
  <si>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</si>
  <si>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</si>
  <si>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</si>
  <si>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</si>
  <si>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</si>
  <si>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</si>
  <si>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</si>
  <si>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</si>
  <si>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</si>
  <si>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</si>
  <si>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</si>
  <si>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</si>
  <si>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</si>
  <si>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</si>
  <si>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</si>
  <si>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</si>
  <si>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</si>
  <si>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</si>
  <si>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</si>
  <si>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</si>
  <si>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</si>
  <si>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</si>
  <si>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</si>
  <si>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</si>
  <si>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</si>
  <si>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</si>
  <si>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</si>
  <si>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</si>
  <si>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</si>
  <si>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</si>
  <si>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</si>
  <si>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</si>
  <si>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</si>
  <si>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</si>
  <si>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</si>
  <si>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</si>
  <si>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</si>
  <si>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</si>
  <si>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</si>
  <si>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</si>
  <si>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</si>
  <si>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</si>
  <si>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</si>
  <si>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</si>
  <si>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</si>
  <si>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</si>
  <si>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</si>
  <si>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</si>
  <si>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</si>
  <si>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</si>
  <si>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</si>
  <si>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</si>
  <si>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</si>
  <si>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</si>
  <si>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</si>
  <si>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</si>
  <si>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</si>
  <si>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</si>
  <si>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</si>
  <si>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</si>
  <si>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</si>
  <si>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</si>
  <si>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</si>
  <si>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</si>
  <si>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</si>
  <si>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</si>
  <si>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</si>
  <si>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</si>
  <si>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</si>
  <si>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</si>
  <si>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</si>
  <si>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</si>
  <si>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</si>
  <si>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</si>
  <si>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</si>
  <si>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</si>
  <si>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</si>
  <si>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</si>
  <si>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</si>
  <si>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</si>
  <si>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</si>
  <si>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</si>
  <si>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</si>
  <si>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PPlay1.xlsx (847bfea6), "PPlay1 of uriel (Reporter)", נוצר 28/09/2026 10:51:36, תקופה 2026/Sep (המשך MTD ספטמבר). קובץ נמסר 28/09/2026 בבוקר עבור דוח 28/09/2026 (נתוני MTD סגורים עד 28/09), לפי הנחיית המשתמש. שינוי פורמט: הקובץ הפעם הוא MHTML ("Excel Web Page", MIME multipart) ולא XLSX/ZIP רגיל — זוהה ע"י `file` שמחזיר "MIME entity, ASCII text" (לא "Microsoft Excel"/ZIP). פוענח ע"י email.message_from_binary_file + BeautifulSoup על part[2] (Content-Location "sheet001.htm"), decode windows-1255 — ללא כל בעיית קידוד (rgb="auto" לא רלוונטי לפורמט הזה), פרסור נקי בניסיון ראשון. נשלפו 10 שורות קטגוריה שיש להן נתונים עד כה החודש, מתוך 13 הקטגוריות במקרא גיליון Pplay1. 3 קטגוריות נותרות ללא נתונים עדיין החודש (גוד פארם מרכז, 0צרכנים פרטיים, 0שונות; תקין ל-MTD, לא נתון חסר — זהה ל-26/09). לעומת 26/09/2026 (הדוח היומי הקודם, פער של יומיים על פני סוף שבוע): 0בתי מרקחת ₪153,060.7→₪159,394.2, 0מפיצי משנה ₪310.4→₪577.7, 0פארמים ₪428,514.2→₪430,203.9, אילת BE ₪3,608.0→₪3,855.0, שופרסל BE ₪54,985.7→₪56,428.5, 0קופות חולים ₪50,912.7→₪51,721.6 — כולם המשיכו לגדול; הפרכל הפרפארם, זיכויים BE, סופרפארם, גוד פארם נותרו ללא שינוי בדיוק (אין תנועה חדשה שנקלטה במקור בפער של יומיים זה — לרבות סופרפארם, קטגוריה גדולה — נבדק ואומת ישירות מול הטקסט הגולמי בקובץ המקור, לא שגיאת פענוח). שורת "Customers" בדוח המקור (₪641,897.3) היא שורת סה"כ-אב ואינה שווה לסכום שורות הקטגוריה (₪1,072,101.4) — תקין וצפוי, כרגיל — לא יובאה. מכר נטו = עמודה B × 0.91 (מקדם קבוע, מאושר ב-kirill.md; חל גם על ערך שלילי).</t>
  </si>
  <si>
    <t xml:space="preserve">2026/Sep (סכום גולמי, MTD)</t>
  </si>
  <si>
    <t xml:space="preserve">הערה</t>
  </si>
  <si>
    <t xml:space="preserve">Source: CustomSalesbyCustomerSummary731.xlsx (68aa90fa), Meditex Group IL, Custom Sales by Customer Summary, 01 September 2026 - 30 September 2026, נוצר 28/09/2026 07:51:59 UTC, נמסר 28/09/2026 עבור דוח 28/09/2026 (נתוני MTD בפועל עד 28/09, לפי הנחיית המשתמש). קובץ xlsx תקני (2007+) — נטען ישירות ע"י openpyxl ללא צורך בתיקון קידוד. נשלפו 14 שורות הסיכום (קטגוריה) שיש להן מכירות עד כה החודש, מתוך 28 הקטגוריות במקרא "ריכוז" (14 הקטגוריות הנותרות אין להן מכירות עדיין החודש — תקין ל-MTD, לא נתון חסר; אותן 14 חסרות כמו ב-26/09). לעומת 26/09/2026 (הדוח היומי הקודם, פער של יומיים על פני סוף שבוע): 102 - Orthopedic institutes ₪48,699.34→₪50,664.95, 109 - Private Shops ₪4,935.24→₪5,091.70, 101 - Factory customers ₪6,488.84→₪8,670.30, 114 - IL online ₪302,338.89→₪314,722.04, 115-SuperPharm Online ₪329.49→₪547.02 — כולם גידול טבעי; 103 - Physiotherapy institutes, 111 - Superpharm Life, 107 - Pharmacies, 112 - Kupat Holim Clalit, 205 - Health Care Prod. Gmbh GERMANY, 209 - Ortoprofil Prod ROMANIA, 204 - Sanaflex Anatomic GREECE, 106 - Hospitals, 201- Seven Gear FINLAND oy נותרו ללא שינוי (אין חשבונית חדשה לאותו לקוח בפער של יומיים זה — כולל כמה קטגוריות גדולות; נבדק ואומת ישירות מול הדוח הגולמי, לא שגיאת פענוח). לא יובאו שורות פירוט חשבוניות/לקוחות-בת מהדוח הגולמי, לפי מוסכמת עבודה. סה"כ שורת "Total" בדוח הגולמי המלא: ₪935,387.76 — תואם בדיוק לסכום 14 שורות הקטגוריה שנשלפו (₪935,387.76, אומת ידנית, הפרש &lt;0.01₪).</t>
  </si>
  <si>
    <t xml:space="preserve">Customer</t>
  </si>
  <si>
    <t xml:space="preserve">Sales</t>
  </si>
  <si>
    <t xml:space="preserve">Source: צילום מסך/נתונים שסופקו על ידי המשתמש (ראובן), לוח בקרה Sellerboard/Amazon Seller "Month to date, 1-28 September 2026", נמסר 28/09/2026 עבור דוח 28/09/2026, מאומת בטקסט (לא תמלול תמונה). נתונים נוספים שסופקו (לא בשימוש בנוסחה): Sales -3.4% מול תקופה קודמת, Orders/Units 2,038/2,085, Refunds 186, Est. payout $21,641.61, Gross profit -10.2% $9,507.87, Net profit -10.2% $9,507.87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</si>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</sst>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46293</v>
      </c>
      <c r="C2" s="6" t="n">
        <v>9.2026</v>
      </c>
    </row>
    <row r="3" customFormat="false" ht="14.25" hidden="false" customHeight="true" outlineLevel="0" collapsed="false">
      <c r="A3" s="7" t="n">
        <v>5</v>
      </c>
      <c r="B3" s="8" t="s">
        <v>2</v>
      </c>
      <c r="C3" s="9" t="n">
        <f aca="false">SUMIF(Pplay1!$F$3:$F$15,A3,Pplay1!$H$3:$H$15)+SUMIF(ריכוז!$B$3:$B$30,A3,ריכוז!$C$3:$C$30)</f>
        <v>193941.5</v>
      </c>
    </row>
    <row r="4" customFormat="false" ht="14.25" hidden="false" customHeight="true" outlineLevel="0" collapsed="false">
      <c r="A4" s="10" t="n">
        <v>1</v>
      </c>
      <c r="B4" s="8" t="s">
        <v>3</v>
      </c>
      <c r="C4" s="9" t="n">
        <f aca="false">SUMIF(Pplay1!$F$3:$F$15,A4,Pplay1!$H$3:$H$15)+SUMIF(ריכוז!$B$3:$B$30,A4,ריכוז!$C$3:$C$30)</f>
        <v>336211.785</v>
      </c>
    </row>
    <row r="5" customFormat="false" ht="14.25" hidden="false" customHeight="true" outlineLevel="0" collapsed="false">
      <c r="A5" s="10" t="n">
        <v>7</v>
      </c>
      <c r="B5" s="8" t="s">
        <v>4</v>
      </c>
      <c r="C5" s="9" t="n">
        <f aca="false">SUMIF(Pplay1!$F$3:$F$15,A5,Pplay1!$H$3:$H$15)+SUMIF(ריכוז!$B$3:$B$30,A5,ריכוז!$C$3:$C$30)</f>
        <v>54452.307</v>
      </c>
    </row>
    <row r="6" customFormat="false" ht="14.25" hidden="false" customHeight="true" outlineLevel="0" collapsed="false">
      <c r="A6" s="10" t="n">
        <v>4</v>
      </c>
      <c r="B6" s="8" t="s">
        <v>5</v>
      </c>
      <c r="C6" s="9" t="n">
        <f aca="false">SUMIF(Pplay1!$F$3:$F$15,A6,Pplay1!$H$3:$H$15)+SUMIF(ריכוז!$B$3:$B$30,A6,ריכוז!$C$3:$C$30)</f>
        <v>157089.747</v>
      </c>
    </row>
    <row r="7" customFormat="false" ht="14.25" hidden="false" customHeight="true" outlineLevel="0" collapsed="false">
      <c r="A7" s="10" t="n">
        <v>3</v>
      </c>
      <c r="B7" s="8" t="s">
        <v>6</v>
      </c>
      <c r="C7" s="9" t="n">
        <f aca="false">SUMIF(Pplay1!$F$3:$F$15,A7,Pplay1!$H$3:$H$15)+SUMIF(ריכוז!$B$3:$B$30,A7,ריכוז!$C$3:$C$30)</f>
        <v>224717.2</v>
      </c>
    </row>
    <row r="8" customFormat="false" ht="14.25" hidden="false" customHeight="true" outlineLevel="0" collapsed="false">
      <c r="A8" s="10" t="n">
        <v>8</v>
      </c>
      <c r="B8" s="8" t="s">
        <v>7</v>
      </c>
      <c r="C8" s="9" t="n">
        <f aca="false">SUMIF(Pplay1!$F$3:$F$15,A8,Pplay1!$H$3:$H$15)+SUMIF(ריכוז!$B$3:$B$30,A8,ריכוז!$C$3:$C$30)</f>
        <v>47066.656</v>
      </c>
    </row>
    <row r="9" customFormat="false" ht="14.25" hidden="false" customHeight="true" outlineLevel="0" collapsed="false">
      <c r="A9" s="10" t="n">
        <v>6</v>
      </c>
      <c r="B9" s="8" t="s">
        <v>8</v>
      </c>
      <c r="C9" s="9" t="n">
        <f aca="false">SUMIF(Pplay1!$F$3:$F$15,A9,Pplay1!$H$3:$H$15)+SUMIF(ריכוז!$B$3:$B$30,A9,ריכוז!$C$3:$C$30)</f>
        <v>50664.95</v>
      </c>
    </row>
    <row r="10" customFormat="false" ht="14.25" hidden="false" customHeight="true" outlineLevel="0" collapsed="false">
      <c r="A10" s="11" t="n">
        <v>10</v>
      </c>
      <c r="B10" s="12" t="s">
        <v>9</v>
      </c>
      <c r="C10" s="9" t="n">
        <f aca="false">SUMIF(Pplay1!$F$3:$F$15,A10,Pplay1!$H$3:$H$15)+SUMIF(ריכוז!$B$3:$B$30,A10,ריכוז!$C$3:$C$30)</f>
        <v>8670.3</v>
      </c>
    </row>
    <row r="11" customFormat="false" ht="14.25" hidden="false" customHeight="true" outlineLevel="0" collapsed="false">
      <c r="A11" s="10" t="n">
        <v>11</v>
      </c>
      <c r="B11" s="8" t="s">
        <v>10</v>
      </c>
      <c r="C11" s="9" t="n">
        <f aca="false">SUMIF(Pplay1!$F$3:$F$15,A11,Pplay1!$H$3:$H$15)+SUMIF(ריכוז!$B$3:$B$30,A11,ריכוז!$C$3:$C$30)</f>
        <v>5091.7</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3512.91</v>
      </c>
    </row>
    <row r="15" customFormat="false" ht="14.25" hidden="false" customHeight="true" outlineLevel="0" collapsed="false">
      <c r="A15" s="10" t="n">
        <v>9</v>
      </c>
      <c r="B15" s="8" t="s">
        <v>14</v>
      </c>
      <c r="C15" s="9" t="n">
        <f aca="false">SUMIF(Pplay1!$F$3:$F$15,A15,Pplay1!$H$3:$H$15)+SUMIF(ריכוז!$B$3:$B$30,A15,ריכוז!$C$3:$C$30)</f>
        <v>9421.74</v>
      </c>
    </row>
    <row r="16" customFormat="false" ht="15" hidden="false" customHeight="true" outlineLevel="0" collapsed="false">
      <c r="A16" s="13"/>
      <c r="B16" s="14" t="s">
        <v>15</v>
      </c>
      <c r="C16" s="15" t="n">
        <f aca="false">SUM(C3:C15)</f>
        <v>1090840.795</v>
      </c>
    </row>
    <row r="17" customFormat="false" ht="14.25" hidden="false" customHeight="true" outlineLevel="0" collapsed="false">
      <c r="A17" s="10" t="n">
        <v>2</v>
      </c>
      <c r="B17" s="8" t="s">
        <v>16</v>
      </c>
      <c r="C17" s="9" t="n">
        <f aca="false">SUMIF(Pplay1!$F$3:$F$15,A17,Pplay1!$H$3:$H$15)+SUMIF(ריכוז!$B$3:$B$30,A17,ריכוז!$C$3:$C$30)</f>
        <v>314722.040000002</v>
      </c>
    </row>
    <row r="18" customFormat="false" ht="14.25" hidden="false" customHeight="true" outlineLevel="0" collapsed="false">
      <c r="A18" s="10" t="n">
        <v>12</v>
      </c>
      <c r="B18" s="8" t="s">
        <v>17</v>
      </c>
      <c r="C18" s="9" t="n">
        <f aca="false">SUMIF(Pplay1!$F$3:$F$15,A18,Pplay1!$H$3:$H$15)+SUMIF(ריכוז!$B$3:$B$30,A18,ריכוז!$C$3:$C$30)</f>
        <v>547.02</v>
      </c>
    </row>
    <row r="19" customFormat="false" ht="15" hidden="false" customHeight="true" outlineLevel="0" collapsed="false">
      <c r="A19" s="11"/>
      <c r="B19" s="16" t="s">
        <v>18</v>
      </c>
      <c r="C19" s="15" t="n">
        <f aca="false">C18+C17+C16</f>
        <v>1406109.855</v>
      </c>
    </row>
    <row r="20" customFormat="false" ht="14.25" hidden="false" customHeight="true" outlineLevel="0" collapsed="false">
      <c r="A20" s="11" t="n">
        <v>50</v>
      </c>
      <c r="B20" s="12" t="s">
        <v>19</v>
      </c>
      <c r="C20" s="9" t="n">
        <f aca="false">(Amazon_מקור!B3+Amazon_מקור!B4)*3</f>
        <v>176303.28</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51223.23</v>
      </c>
    </row>
    <row r="24" customFormat="false" ht="14.25" hidden="false" customHeight="true" outlineLevel="0" collapsed="false">
      <c r="A24" s="11" t="n">
        <v>23</v>
      </c>
      <c r="B24" s="12" t="s">
        <v>23</v>
      </c>
      <c r="C24" s="9" t="n">
        <f aca="false">SUMIF(Pplay1!$F$3:$F$15,A24,Pplay1!$H$3:$H$15)+SUMIF(ריכוז!$B$3:$B$30,A24,ריכוז!$C$3:$C$30)</f>
        <v>15160.58</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0</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25430.19</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21590.63</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289707.91</v>
      </c>
    </row>
    <row r="41" customFormat="false" ht="15" hidden="false" customHeight="true" outlineLevel="0" collapsed="false">
      <c r="A41" s="11"/>
      <c r="B41" s="19" t="s">
        <v>40</v>
      </c>
      <c r="C41" s="20" t="n">
        <f aca="false">C40+C19</f>
        <v>1695817.765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159394.2</v>
      </c>
      <c r="H3" s="27" t="n">
        <f aca="false">IF(G3="","",G3*0.91)</f>
        <v>145048.722</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577.7</v>
      </c>
      <c r="H4" s="27" t="n">
        <f aca="false">IF(G4="","",G4*0.91)</f>
        <v>525.707</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430203.9</v>
      </c>
      <c r="H5" s="27" t="n">
        <f aca="false">IF(G5="","",G5*0.91)</f>
        <v>391485.549</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3855</v>
      </c>
      <c r="H6" s="27" t="n">
        <f aca="false">IF(G6="","",G6*0.91)</f>
        <v>3508.05</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902.8</v>
      </c>
      <c r="H7" s="27" t="n">
        <f aca="false">IF(G7="","",G7*0.91)</f>
        <v>821.548</v>
      </c>
    </row>
    <row r="8" customFormat="false" ht="14.25" hidden="false" customHeight="true" outlineLevel="0" collapsed="false">
      <c r="A8" s="25" t="s">
        <v>53</v>
      </c>
      <c r="B8" s="23" t="n">
        <v>4</v>
      </c>
      <c r="C8" s="23"/>
      <c r="D8" s="23"/>
      <c r="E8" s="23"/>
      <c r="F8" s="26" t="n">
        <f aca="false">IF(B8&lt;&gt;"",B8,IF(C8&lt;&gt;"",C8,IF(D8&lt;&gt;"",D8,IF(E8&lt;&gt;"",E8,""))))</f>
        <v>4</v>
      </c>
      <c r="G8" s="27" t="str">
        <f aca="false">IFERROR(INDEX(PPLAY1_מקור!$B:$B,MATCH(A8,PPLAY1_מקור!$A:$A,0)),"")</f>
        <v/>
      </c>
      <c r="H8" s="27" t="str">
        <f aca="false">IF(G8="","",G8*0.91)</f>
        <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362.9</v>
      </c>
      <c r="H9" s="27" t="n">
        <f aca="false">IF(G9="","",G9*0.91)</f>
        <v>330.239</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369463.5</v>
      </c>
      <c r="H10" s="27" t="n">
        <f aca="false">IF(G10="","",G10*0.91)</f>
        <v>336211.785</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56428.5</v>
      </c>
      <c r="H11" s="27" t="n">
        <f aca="false">IF(G11="","",G11*0.91)</f>
        <v>51349.935</v>
      </c>
    </row>
    <row r="12" customFormat="false" ht="14.25" hidden="false" customHeight="true" outlineLevel="0" collapsed="false">
      <c r="A12" s="25" t="s">
        <v>56</v>
      </c>
      <c r="B12" s="23" t="n">
        <v>4</v>
      </c>
      <c r="C12" s="23"/>
      <c r="D12" s="23"/>
      <c r="E12" s="23"/>
      <c r="F12" s="26" t="n">
        <f aca="false">IF(B12&lt;&gt;"",B12,IF(C12&lt;&gt;"",C12,IF(D12&lt;&gt;"",D12,IF(E12&lt;&gt;"",E12,""))))</f>
        <v>4</v>
      </c>
      <c r="G12" s="27" t="str">
        <f aca="false">IFERROR(INDEX(PPLAY1_מקור!$B:$B,MATCH(A12,PPLAY1_מקור!$A:$A,0)),"")</f>
        <v/>
      </c>
      <c r="H12" s="27" t="str">
        <f aca="false">IF(G12="","",G12*0.91)</f>
        <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51721.6</v>
      </c>
      <c r="H13" s="27" t="n">
        <f aca="false">IF(G13="","",G13*0.91)</f>
        <v>47066.656</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-808.7</v>
      </c>
      <c r="H15" s="27" t="n">
        <f aca="false">IF(G15="","",G15*0.91)</f>
        <v>-735.917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50664.95</v>
      </c>
    </row>
    <row r="4" customFormat="false" ht="14.25" hidden="false" customHeight="true" outlineLevel="0" collapsed="false">
      <c r="A4" s="28" t="s">
        <v>63</v>
      </c>
      <c r="B4" s="1" t="n">
        <v>5</v>
      </c>
      <c r="C4" s="27" t="n">
        <f aca="false">IFERROR(INDEX(NetSuite_מקור!$D:$D,MATCH(A4,NetSuite_מקור!$A:$A,0)),"")</f>
        <v>193941.5</v>
      </c>
    </row>
    <row r="5" customFormat="false" ht="14.25" hidden="false" customHeight="true" outlineLevel="0" collapsed="false">
      <c r="A5" s="28" t="s">
        <v>64</v>
      </c>
      <c r="B5" s="1" t="n">
        <v>9</v>
      </c>
      <c r="C5" s="27" t="n">
        <f aca="false">IFERROR(INDEX(NetSuite_מקור!$D:$D,MATCH(A5,NetSuite_מקור!$A:$A,0)),"")</f>
        <v>9421.74</v>
      </c>
    </row>
    <row r="6" customFormat="false" ht="14.25" hidden="false" customHeight="true" outlineLevel="0" collapsed="false">
      <c r="A6" s="28" t="s">
        <v>65</v>
      </c>
      <c r="B6" s="1" t="n">
        <v>11</v>
      </c>
      <c r="C6" s="27" t="n">
        <f aca="false">IFERROR(INDEX(NetSuite_מקור!$D:$D,MATCH(A6,NetSuite_מקור!$A:$A,0)),"")</f>
        <v>5091.7</v>
      </c>
    </row>
    <row r="7" customFormat="false" ht="14.25" hidden="false" customHeight="true" outlineLevel="0" collapsed="false">
      <c r="A7" s="28" t="s">
        <v>66</v>
      </c>
      <c r="B7" s="1" t="n">
        <v>10</v>
      </c>
      <c r="C7" s="27" t="n">
        <f aca="false">IFERROR(INDEX(NetSuite_מקור!$D:$D,MATCH(A7,NetSuite_מקור!$A:$A,0)),"")</f>
        <v>8670.3</v>
      </c>
    </row>
    <row r="8" customFormat="false" ht="14.25" hidden="false" customHeight="true" outlineLevel="0" collapsed="false">
      <c r="A8" s="28" t="s">
        <v>67</v>
      </c>
      <c r="B8" s="1" t="n">
        <v>4</v>
      </c>
      <c r="C8" s="27" t="n">
        <f aca="false">IFERROR(INDEX(NetSuite_מקור!$D:$D,MATCH(A8,NetSuite_מקור!$A:$A,0)),"")</f>
        <v>10693.77</v>
      </c>
    </row>
    <row r="9" customFormat="false" ht="14.25" hidden="false" customHeight="true" outlineLevel="0" collapsed="false">
      <c r="A9" s="28" t="s">
        <v>68</v>
      </c>
      <c r="B9" s="1" t="n">
        <v>13</v>
      </c>
      <c r="C9" s="27" t="n">
        <f aca="false">IFERROR(INDEX(NetSuite_מקור!$D:$D,MATCH(A9,NetSuite_מקור!$A:$A,0)),"")</f>
        <v>3512.91</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224717.2</v>
      </c>
    </row>
    <row r="12" customFormat="false" ht="14.25" hidden="false" customHeight="true" outlineLevel="0" collapsed="false">
      <c r="A12" s="28" t="s">
        <v>71</v>
      </c>
      <c r="B12" s="1" t="n">
        <v>2</v>
      </c>
      <c r="C12" s="27" t="n">
        <f aca="false">IFERROR(INDEX(NetSuite_מקור!$D:$D,MATCH(A12,NetSuite_מקור!$A:$A,0)),"")</f>
        <v>314722.040000002</v>
      </c>
    </row>
    <row r="13" customFormat="false" ht="14.25" hidden="false" customHeight="true" outlineLevel="0" collapsed="false">
      <c r="A13" s="28" t="s">
        <v>72</v>
      </c>
      <c r="B13" s="1" t="n">
        <v>12</v>
      </c>
      <c r="C13" s="27" t="n">
        <f aca="false">IFERROR(INDEX(NetSuite_מקור!$D:$D,MATCH(A13,NetSuite_מקור!$A:$A,0)),"")</f>
        <v>547.02</v>
      </c>
    </row>
    <row r="14" customFormat="false" ht="14.25" hidden="false" customHeight="true" outlineLevel="0" collapsed="false">
      <c r="A14" s="28" t="s">
        <v>73</v>
      </c>
      <c r="B14" s="1" t="n">
        <v>23</v>
      </c>
      <c r="C14" s="27" t="n">
        <f aca="false">IFERROR(INDEX(NetSuite_מקור!$D:$D,MATCH(A14,NetSuite_מקור!$A:$A,0)),"")</f>
        <v>15160.58</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25430.19</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n">
        <f aca="false">IFERROR(INDEX(NetSuite_מקור!$D:$D,MATCH(A20,NetSuite_מקור!$A:$A,0)),"")</f>
        <v>51223.23</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str">
        <f aca="false">IFERROR(INDEX(NetSuite_מקור!$D:$D,MATCH(A22,NetSuite_מקור!$A:$A,0)),"")</f>
        <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n">
        <f aca="false">IFERROR(INDEX(NetSuite_מקור!$D:$D,MATCH(A25,NetSuite_מקור!$A:$A,0)),"")</f>
        <v>21590.63</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48</v>
      </c>
      <c r="B2" s="27" t="n">
        <v>159394.2</v>
      </c>
      <c r="C2" s="27" t="n">
        <f aca="false">B2*0.91</f>
        <v>145048.722</v>
      </c>
      <c r="D2" s="30"/>
    </row>
    <row r="3" customFormat="false" ht="14.25" hidden="false" customHeight="true" outlineLevel="0" collapsed="false">
      <c r="A3" s="26" t="s">
        <v>49</v>
      </c>
      <c r="B3" s="27" t="n">
        <v>577.7</v>
      </c>
      <c r="C3" s="27" t="n">
        <f aca="false">B3*0.91</f>
        <v>525.707</v>
      </c>
      <c r="D3" s="30"/>
    </row>
    <row r="4" customFormat="false" ht="14.25" hidden="false" customHeight="true" outlineLevel="0" collapsed="false">
      <c r="A4" s="26" t="s">
        <v>50</v>
      </c>
      <c r="B4" s="27" t="n">
        <v>430203.9</v>
      </c>
      <c r="C4" s="27" t="n">
        <f aca="false">B4*0.91</f>
        <v>391485.549</v>
      </c>
      <c r="D4" s="30"/>
    </row>
    <row r="5" customFormat="false" ht="14.25" hidden="false" customHeight="true" outlineLevel="0" collapsed="false">
      <c r="A5" s="26" t="s">
        <v>51</v>
      </c>
      <c r="B5" s="27" t="n">
        <v>3855</v>
      </c>
      <c r="C5" s="27" t="n">
        <f aca="false">B5*0.91</f>
        <v>3508.05</v>
      </c>
      <c r="D5" s="30"/>
    </row>
    <row r="6" customFormat="false" ht="14.25" hidden="false" customHeight="true" outlineLevel="0" collapsed="false">
      <c r="A6" s="26" t="s">
        <v>54</v>
      </c>
      <c r="B6" s="27" t="n">
        <v>362.9</v>
      </c>
      <c r="C6" s="27" t="n">
        <f aca="false">B6*0.91</f>
        <v>330.239</v>
      </c>
      <c r="D6" s="30"/>
    </row>
    <row r="7" customFormat="false" ht="14.25" hidden="false" customHeight="true" outlineLevel="0" collapsed="false">
      <c r="A7" s="26" t="s">
        <v>59</v>
      </c>
      <c r="B7" s="27" t="n">
        <v>-808.7</v>
      </c>
      <c r="C7" s="27" t="n">
        <f aca="false">B7*0.91</f>
        <v>-735.917</v>
      </c>
      <c r="D7" s="30"/>
    </row>
    <row r="8" customFormat="false" ht="14.25" hidden="false" customHeight="true" outlineLevel="0" collapsed="false">
      <c r="A8" s="26" t="s">
        <v>3</v>
      </c>
      <c r="B8" s="27" t="n">
        <v>369463.5</v>
      </c>
      <c r="C8" s="27" t="n">
        <f aca="false">B8*0.91</f>
        <v>336211.785</v>
      </c>
      <c r="D8" s="30"/>
    </row>
    <row r="9" customFormat="false" ht="14.25" hidden="false" customHeight="true" outlineLevel="0" collapsed="false">
      <c r="A9" s="26" t="s">
        <v>55</v>
      </c>
      <c r="B9" s="27" t="n">
        <v>56428.5</v>
      </c>
      <c r="C9" s="27" t="n">
        <f aca="false">B9*0.91</f>
        <v>51349.935</v>
      </c>
    </row>
    <row r="10" customFormat="false" ht="14.25" hidden="false" customHeight="true" outlineLevel="0" collapsed="false">
      <c r="A10" s="26" t="s">
        <v>57</v>
      </c>
      <c r="B10" s="27" t="n">
        <v>51721.6</v>
      </c>
      <c r="C10" s="27" t="n">
        <f aca="false">B10*0.91</f>
        <v>47066.656</v>
      </c>
    </row>
    <row r="11" customFormat="false" ht="14.25" hidden="false" customHeight="true" outlineLevel="0" collapsed="false">
      <c r="A11" s="1" t="s">
        <v>52</v>
      </c>
      <c r="B11" s="1" t="n">
        <v>902.8</v>
      </c>
      <c r="C11" s="1" t="n">
        <f aca="false">B11*0.91</f>
        <v>821.548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93</v>
      </c>
    </row>
    <row r="2" customFormat="false" ht="15" hidden="false" customHeight="true" outlineLevel="0" collapsed="false">
      <c r="A2" s="24" t="s">
        <v>94</v>
      </c>
      <c r="D2" s="24" t="s">
        <v>95</v>
      </c>
    </row>
    <row r="3" customFormat="false" ht="15" hidden="false" customHeight="true" outlineLevel="0" collapsed="false">
      <c r="A3" s="26" t="s">
        <v>62</v>
      </c>
      <c r="D3" s="29" t="n">
        <v>50664.95</v>
      </c>
    </row>
    <row r="4" customFormat="false" ht="15" hidden="false" customHeight="true" outlineLevel="0" collapsed="false">
      <c r="A4" s="26" t="s">
        <v>64</v>
      </c>
      <c r="D4" s="29" t="n">
        <v>9421.74</v>
      </c>
    </row>
    <row r="5" customFormat="false" ht="15" hidden="false" customHeight="true" outlineLevel="0" collapsed="false">
      <c r="A5" s="26" t="s">
        <v>65</v>
      </c>
      <c r="D5" s="29" t="n">
        <v>5091.7</v>
      </c>
    </row>
    <row r="6" customFormat="false" ht="15" hidden="false" customHeight="true" outlineLevel="0" collapsed="false">
      <c r="A6" s="26" t="s">
        <v>63</v>
      </c>
      <c r="D6" s="29" t="n">
        <v>193941.5</v>
      </c>
    </row>
    <row r="7" customFormat="false" ht="15" hidden="false" customHeight="true" outlineLevel="0" collapsed="false">
      <c r="A7" s="26" t="s">
        <v>66</v>
      </c>
      <c r="D7" s="29" t="n">
        <v>8670.3</v>
      </c>
    </row>
    <row r="8" customFormat="false" ht="15" hidden="false" customHeight="true" outlineLevel="0" collapsed="false">
      <c r="A8" s="26" t="s">
        <v>67</v>
      </c>
      <c r="D8" s="29" t="n">
        <v>10693.77</v>
      </c>
    </row>
    <row r="9" customFormat="false" ht="15" hidden="false" customHeight="true" outlineLevel="0" collapsed="false">
      <c r="A9" s="26" t="s">
        <v>70</v>
      </c>
      <c r="D9" s="29" t="n">
        <v>224717.2</v>
      </c>
    </row>
    <row r="10" customFormat="false" ht="14.25" hidden="false" customHeight="true" outlineLevel="0" collapsed="false">
      <c r="A10" s="26" t="s">
        <v>71</v>
      </c>
      <c r="D10" s="29" t="n">
        <v>314722.040000002</v>
      </c>
    </row>
    <row r="11" customFormat="false" ht="14.25" hidden="false" customHeight="true" outlineLevel="0" collapsed="false">
      <c r="A11" s="26" t="s">
        <v>72</v>
      </c>
      <c r="D11" s="29" t="n">
        <v>547.02</v>
      </c>
    </row>
    <row r="12" customFormat="false" ht="14.25" hidden="false" customHeight="true" outlineLevel="0" collapsed="false">
      <c r="A12" s="26" t="s">
        <v>73</v>
      </c>
      <c r="B12" s="31"/>
      <c r="C12" s="31"/>
      <c r="D12" s="29" t="n">
        <v>15160.58</v>
      </c>
      <c r="E12" s="32"/>
    </row>
    <row r="13" customFormat="false" ht="14.25" hidden="false" customHeight="true" outlineLevel="0" collapsed="false">
      <c r="A13" s="33" t="s">
        <v>75</v>
      </c>
      <c r="B13" s="31"/>
      <c r="C13" s="31"/>
      <c r="D13" s="34" t="n">
        <v>25430.19</v>
      </c>
      <c r="E13" s="32"/>
    </row>
    <row r="14" customFormat="false" ht="14.25" hidden="false" customHeight="true" outlineLevel="0" collapsed="false">
      <c r="A14" s="26" t="s">
        <v>79</v>
      </c>
      <c r="D14" s="27" t="n">
        <v>51223.23</v>
      </c>
    </row>
    <row r="15" customFormat="false" ht="14.25" hidden="false" customHeight="true" outlineLevel="0" collapsed="false">
      <c r="A15" s="26" t="s">
        <v>68</v>
      </c>
      <c r="D15" s="27" t="n">
        <v>3512.91</v>
      </c>
    </row>
    <row r="16" customFormat="false" ht="14.25" hidden="false" customHeight="true" outlineLevel="0" collapsed="false">
      <c r="A16" s="26" t="s">
        <v>84</v>
      </c>
      <c r="D16" s="27" t="n">
        <v>21590.63</v>
      </c>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95</v>
      </c>
      <c r="B3" s="27" t="n">
        <v>63994.93</v>
      </c>
      <c r="C3" s="30" t="s">
        <v>99</v>
      </c>
    </row>
    <row r="4" customFormat="false" ht="15" hidden="false" customHeight="true" outlineLevel="0" collapsed="false">
      <c r="A4" s="26" t="s">
        <v>100</v>
      </c>
      <c r="B4" s="27" t="n">
        <v>-5227.17</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2026-09-28T08:03:27Z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